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i\Downloads\"/>
    </mc:Choice>
  </mc:AlternateContent>
  <xr:revisionPtr revIDLastSave="0" documentId="13_ncr:8001_{02B53C49-AABC-4099-9872-89A6078EE59F}" xr6:coauthVersionLast="47" xr6:coauthVersionMax="47" xr10:uidLastSave="{00000000-0000-0000-0000-000000000000}"/>
  <bookViews>
    <workbookView xWindow="-120" yWindow="-120" windowWidth="29040" windowHeight="15840" activeTab="2" xr2:uid="{E0A55755-1C25-48EC-B8D7-EEE2451D08B3}"/>
  </bookViews>
  <sheets>
    <sheet name="FORMULAS" sheetId="4" r:id="rId1"/>
    <sheet name="TCA" sheetId="1" state="hidden" r:id="rId2"/>
    <sheet name="DIETA" sheetId="2" r:id="rId3"/>
    <sheet name="MUJER" sheetId="3" r:id="rId4"/>
    <sheet name="HOMBR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4" i="3" l="1"/>
  <c r="Q108" i="3"/>
  <c r="P108" i="3"/>
  <c r="O108" i="3"/>
  <c r="Q107" i="3"/>
  <c r="P107" i="3"/>
  <c r="O107" i="3"/>
  <c r="Q106" i="3"/>
  <c r="P106" i="3"/>
  <c r="O106" i="3"/>
  <c r="Q105" i="3"/>
  <c r="P105" i="3"/>
  <c r="O105" i="3"/>
  <c r="Q104" i="3"/>
  <c r="P104" i="3"/>
  <c r="O104" i="3"/>
  <c r="Q103" i="3"/>
  <c r="P103" i="3"/>
  <c r="O103" i="3"/>
  <c r="Q102" i="3"/>
  <c r="P102" i="3"/>
  <c r="O102" i="3"/>
  <c r="Q101" i="3"/>
  <c r="P101" i="3"/>
  <c r="O101" i="3"/>
  <c r="Q100" i="3"/>
  <c r="P100" i="3"/>
  <c r="O100" i="3"/>
  <c r="Q99" i="3"/>
  <c r="P99" i="3"/>
  <c r="O99" i="3"/>
  <c r="Q98" i="3"/>
  <c r="P98" i="3"/>
  <c r="O98" i="3"/>
  <c r="Q97" i="3"/>
  <c r="P97" i="3"/>
  <c r="O97" i="3"/>
  <c r="Q96" i="3"/>
  <c r="P96" i="3"/>
  <c r="O96" i="3"/>
  <c r="Q95" i="3"/>
  <c r="P95" i="3"/>
  <c r="O95" i="3"/>
  <c r="Q94" i="3"/>
  <c r="P94" i="3"/>
  <c r="Q86" i="3"/>
  <c r="P86" i="3"/>
  <c r="O86" i="3"/>
  <c r="Q85" i="3"/>
  <c r="P85" i="3"/>
  <c r="O85" i="3"/>
  <c r="Q84" i="3"/>
  <c r="P84" i="3"/>
  <c r="O84" i="3"/>
  <c r="Q83" i="3"/>
  <c r="P83" i="3"/>
  <c r="O83" i="3"/>
  <c r="Q82" i="3"/>
  <c r="P82" i="3"/>
  <c r="O82" i="3"/>
  <c r="Q81" i="3"/>
  <c r="P81" i="3"/>
  <c r="O81" i="3"/>
  <c r="Q80" i="3"/>
  <c r="P80" i="3"/>
  <c r="O80" i="3"/>
  <c r="Q79" i="3"/>
  <c r="P79" i="3"/>
  <c r="O79" i="3"/>
  <c r="Q78" i="3"/>
  <c r="P78" i="3"/>
  <c r="O78" i="3"/>
  <c r="Q77" i="3"/>
  <c r="P77" i="3"/>
  <c r="O77" i="3"/>
  <c r="Q76" i="3"/>
  <c r="P76" i="3"/>
  <c r="O76" i="3"/>
  <c r="Q75" i="3"/>
  <c r="P75" i="3"/>
  <c r="O75" i="3"/>
  <c r="Q74" i="3"/>
  <c r="P74" i="3"/>
  <c r="O74" i="3"/>
  <c r="Q73" i="3"/>
  <c r="P73" i="3"/>
  <c r="O73" i="3"/>
  <c r="Q72" i="3"/>
  <c r="P72" i="3"/>
  <c r="O72" i="3"/>
  <c r="Q64" i="3"/>
  <c r="P64" i="3"/>
  <c r="O64" i="3"/>
  <c r="Q63" i="3"/>
  <c r="P63" i="3"/>
  <c r="O63" i="3"/>
  <c r="Q62" i="3"/>
  <c r="P62" i="3"/>
  <c r="O62" i="3"/>
  <c r="Q61" i="3"/>
  <c r="P61" i="3"/>
  <c r="O61" i="3"/>
  <c r="Q60" i="3"/>
  <c r="P60" i="3"/>
  <c r="O60" i="3"/>
  <c r="Q59" i="3"/>
  <c r="P59" i="3"/>
  <c r="O59" i="3"/>
  <c r="Q58" i="3"/>
  <c r="P58" i="3"/>
  <c r="O58" i="3"/>
  <c r="Q57" i="3"/>
  <c r="P57" i="3"/>
  <c r="O57" i="3"/>
  <c r="Q56" i="3"/>
  <c r="P56" i="3"/>
  <c r="O56" i="3"/>
  <c r="Q55" i="3"/>
  <c r="P55" i="3"/>
  <c r="O55" i="3"/>
  <c r="Q54" i="3"/>
  <c r="P54" i="3"/>
  <c r="O54" i="3"/>
  <c r="Q53" i="3"/>
  <c r="P53" i="3"/>
  <c r="O53" i="3"/>
  <c r="Q52" i="3"/>
  <c r="P52" i="3"/>
  <c r="O52" i="3"/>
  <c r="Q51" i="3"/>
  <c r="P51" i="3"/>
  <c r="O51" i="3"/>
  <c r="Q50" i="3"/>
  <c r="P50" i="3"/>
  <c r="O50" i="3"/>
  <c r="Q42" i="3"/>
  <c r="P42" i="3"/>
  <c r="O42" i="3"/>
  <c r="Q41" i="3"/>
  <c r="P41" i="3"/>
  <c r="O41" i="3"/>
  <c r="Q40" i="3"/>
  <c r="P40" i="3"/>
  <c r="O40" i="3"/>
  <c r="Q39" i="3"/>
  <c r="P39" i="3"/>
  <c r="O39" i="3"/>
  <c r="Q38" i="3"/>
  <c r="P38" i="3"/>
  <c r="O38" i="3"/>
  <c r="Q37" i="3"/>
  <c r="P37" i="3"/>
  <c r="O37" i="3"/>
  <c r="Q36" i="3"/>
  <c r="P36" i="3"/>
  <c r="O36" i="3"/>
  <c r="Q35" i="3"/>
  <c r="P35" i="3"/>
  <c r="O35" i="3"/>
  <c r="Q34" i="3"/>
  <c r="P34" i="3"/>
  <c r="O34" i="3"/>
  <c r="Q33" i="3"/>
  <c r="P33" i="3"/>
  <c r="O33" i="3"/>
  <c r="Q32" i="3"/>
  <c r="P32" i="3"/>
  <c r="O32" i="3"/>
  <c r="Q31" i="3"/>
  <c r="P31" i="3"/>
  <c r="O31" i="3"/>
  <c r="Q30" i="3"/>
  <c r="P30" i="3"/>
  <c r="O30" i="3"/>
  <c r="Q29" i="3"/>
  <c r="P29" i="3"/>
  <c r="O29" i="3"/>
  <c r="Q28" i="3"/>
  <c r="P28" i="3"/>
  <c r="O28" i="3"/>
  <c r="Q20" i="3"/>
  <c r="P20" i="3"/>
  <c r="O20" i="3"/>
  <c r="Q19" i="3"/>
  <c r="P19" i="3"/>
  <c r="O19" i="3"/>
  <c r="Q18" i="3"/>
  <c r="P18" i="3"/>
  <c r="O18" i="3"/>
  <c r="Q17" i="3"/>
  <c r="P17" i="3"/>
  <c r="O17" i="3"/>
  <c r="Q16" i="3"/>
  <c r="P16" i="3"/>
  <c r="O16" i="3"/>
  <c r="Q15" i="3"/>
  <c r="P15" i="3"/>
  <c r="O15" i="3"/>
  <c r="Q14" i="3"/>
  <c r="P14" i="3"/>
  <c r="O14" i="3"/>
  <c r="Q13" i="3"/>
  <c r="P13" i="3"/>
  <c r="O13" i="3"/>
  <c r="Q12" i="3"/>
  <c r="P12" i="3"/>
  <c r="O12" i="3"/>
  <c r="Q11" i="3"/>
  <c r="P11" i="3"/>
  <c r="O11" i="3"/>
  <c r="Q10" i="3"/>
  <c r="P10" i="3"/>
  <c r="O10" i="3"/>
  <c r="Q9" i="3"/>
  <c r="P9" i="3"/>
  <c r="O9" i="3"/>
  <c r="Q8" i="3"/>
  <c r="P8" i="3"/>
  <c r="O8" i="3"/>
  <c r="Q7" i="3"/>
  <c r="P7" i="3"/>
  <c r="O7" i="3"/>
  <c r="Q6" i="3"/>
  <c r="P6" i="3"/>
  <c r="O6" i="3"/>
  <c r="G32" i="3"/>
  <c r="B21" i="3"/>
  <c r="V108" i="3"/>
  <c r="U108" i="3"/>
  <c r="V107" i="3"/>
  <c r="U107" i="3"/>
  <c r="V106" i="3"/>
  <c r="U106" i="3"/>
  <c r="V105" i="3"/>
  <c r="U105" i="3"/>
  <c r="V104" i="3"/>
  <c r="U104" i="3"/>
  <c r="V103" i="3"/>
  <c r="U103" i="3"/>
  <c r="V102" i="3"/>
  <c r="U102" i="3"/>
  <c r="V101" i="3"/>
  <c r="U101" i="3"/>
  <c r="V100" i="3"/>
  <c r="U100" i="3"/>
  <c r="V99" i="3"/>
  <c r="U99" i="3"/>
  <c r="V98" i="3"/>
  <c r="U98" i="3"/>
  <c r="V97" i="3"/>
  <c r="U97" i="3"/>
  <c r="V96" i="3"/>
  <c r="U96" i="3"/>
  <c r="V95" i="3"/>
  <c r="U95" i="3"/>
  <c r="V94" i="3"/>
  <c r="U94" i="3"/>
  <c r="V86" i="3"/>
  <c r="U86" i="3"/>
  <c r="V85" i="3"/>
  <c r="U85" i="3"/>
  <c r="V84" i="3"/>
  <c r="U84" i="3"/>
  <c r="V83" i="3"/>
  <c r="U83" i="3"/>
  <c r="V82" i="3"/>
  <c r="U82" i="3"/>
  <c r="V81" i="3"/>
  <c r="U81" i="3"/>
  <c r="V80" i="3"/>
  <c r="U80" i="3"/>
  <c r="V79" i="3"/>
  <c r="U79" i="3"/>
  <c r="V78" i="3"/>
  <c r="U78" i="3"/>
  <c r="V77" i="3"/>
  <c r="U77" i="3"/>
  <c r="V76" i="3"/>
  <c r="U76" i="3"/>
  <c r="V75" i="3"/>
  <c r="U75" i="3"/>
  <c r="V74" i="3"/>
  <c r="U74" i="3"/>
  <c r="V73" i="3"/>
  <c r="U73" i="3"/>
  <c r="V72" i="3"/>
  <c r="U72" i="3"/>
  <c r="V64" i="3"/>
  <c r="U64" i="3"/>
  <c r="V63" i="3"/>
  <c r="U63" i="3"/>
  <c r="V62" i="3"/>
  <c r="U62" i="3"/>
  <c r="V61" i="3"/>
  <c r="U61" i="3"/>
  <c r="V60" i="3"/>
  <c r="U60" i="3"/>
  <c r="V59" i="3"/>
  <c r="U59" i="3"/>
  <c r="V58" i="3"/>
  <c r="U58" i="3"/>
  <c r="V57" i="3"/>
  <c r="U57" i="3"/>
  <c r="V56" i="3"/>
  <c r="U56" i="3"/>
  <c r="V55" i="3"/>
  <c r="U55" i="3"/>
  <c r="V54" i="3"/>
  <c r="U54" i="3"/>
  <c r="V53" i="3"/>
  <c r="U53" i="3"/>
  <c r="V52" i="3"/>
  <c r="U52" i="3"/>
  <c r="V51" i="3"/>
  <c r="U51" i="3"/>
  <c r="V50" i="3"/>
  <c r="U50" i="3"/>
  <c r="V42" i="3"/>
  <c r="U42" i="3"/>
  <c r="V41" i="3"/>
  <c r="U41" i="3"/>
  <c r="V40" i="3"/>
  <c r="U40" i="3"/>
  <c r="V39" i="3"/>
  <c r="U39" i="3"/>
  <c r="V38" i="3"/>
  <c r="U38" i="3"/>
  <c r="V37" i="3"/>
  <c r="U37" i="3"/>
  <c r="V36" i="3"/>
  <c r="U36" i="3"/>
  <c r="V35" i="3"/>
  <c r="U35" i="3"/>
  <c r="V34" i="3"/>
  <c r="U34" i="3"/>
  <c r="V33" i="3"/>
  <c r="U33" i="3"/>
  <c r="V32" i="3"/>
  <c r="U32" i="3"/>
  <c r="V31" i="3"/>
  <c r="U31" i="3"/>
  <c r="V30" i="3"/>
  <c r="U30" i="3"/>
  <c r="V29" i="3"/>
  <c r="U29" i="3"/>
  <c r="V28" i="3"/>
  <c r="U28" i="3"/>
  <c r="V20" i="3"/>
  <c r="U20" i="3"/>
  <c r="V19" i="3"/>
  <c r="U19" i="3"/>
  <c r="V18" i="3"/>
  <c r="U18" i="3"/>
  <c r="V17" i="3"/>
  <c r="U17" i="3"/>
  <c r="V16" i="3"/>
  <c r="U16" i="3"/>
  <c r="V15" i="3"/>
  <c r="U15" i="3"/>
  <c r="V14" i="3"/>
  <c r="U14" i="3"/>
  <c r="V13" i="3"/>
  <c r="U13" i="3"/>
  <c r="V12" i="3"/>
  <c r="U12" i="3"/>
  <c r="V11" i="3"/>
  <c r="U11" i="3"/>
  <c r="V10" i="3"/>
  <c r="U10" i="3"/>
  <c r="V9" i="3"/>
  <c r="U9" i="3"/>
  <c r="V8" i="3"/>
  <c r="U8" i="3"/>
  <c r="V7" i="3"/>
  <c r="U7" i="3"/>
  <c r="V6" i="3"/>
  <c r="U6" i="3"/>
  <c r="V108" i="5"/>
  <c r="U108" i="5"/>
  <c r="V107" i="5"/>
  <c r="U107" i="5"/>
  <c r="V106" i="5"/>
  <c r="U106" i="5"/>
  <c r="V105" i="5"/>
  <c r="U105" i="5"/>
  <c r="V104" i="5"/>
  <c r="U104" i="5"/>
  <c r="V103" i="5"/>
  <c r="U103" i="5"/>
  <c r="V102" i="5"/>
  <c r="U102" i="5"/>
  <c r="V101" i="5"/>
  <c r="U101" i="5"/>
  <c r="V100" i="5"/>
  <c r="U100" i="5"/>
  <c r="V99" i="5"/>
  <c r="U99" i="5"/>
  <c r="V98" i="5"/>
  <c r="U98" i="5"/>
  <c r="V97" i="5"/>
  <c r="U97" i="5"/>
  <c r="V96" i="5"/>
  <c r="U96" i="5"/>
  <c r="V95" i="5"/>
  <c r="U95" i="5"/>
  <c r="V94" i="5"/>
  <c r="U94" i="5"/>
  <c r="V86" i="5"/>
  <c r="U86" i="5"/>
  <c r="V85" i="5"/>
  <c r="U85" i="5"/>
  <c r="V84" i="5"/>
  <c r="U84" i="5"/>
  <c r="V83" i="5"/>
  <c r="U83" i="5"/>
  <c r="V82" i="5"/>
  <c r="U82" i="5"/>
  <c r="V81" i="5"/>
  <c r="U81" i="5"/>
  <c r="V80" i="5"/>
  <c r="U80" i="5"/>
  <c r="V79" i="5"/>
  <c r="U79" i="5"/>
  <c r="V78" i="5"/>
  <c r="U78" i="5"/>
  <c r="V77" i="5"/>
  <c r="U77" i="5"/>
  <c r="V76" i="5"/>
  <c r="U76" i="5"/>
  <c r="V75" i="5"/>
  <c r="U75" i="5"/>
  <c r="V74" i="5"/>
  <c r="U74" i="5"/>
  <c r="V73" i="5"/>
  <c r="U73" i="5"/>
  <c r="V72" i="5"/>
  <c r="U72" i="5"/>
  <c r="V64" i="5"/>
  <c r="U64" i="5"/>
  <c r="V63" i="5"/>
  <c r="U63" i="5"/>
  <c r="V62" i="5"/>
  <c r="U62" i="5"/>
  <c r="V61" i="5"/>
  <c r="U61" i="5"/>
  <c r="V60" i="5"/>
  <c r="U60" i="5"/>
  <c r="V59" i="5"/>
  <c r="U59" i="5"/>
  <c r="V58" i="5"/>
  <c r="U58" i="5"/>
  <c r="V57" i="5"/>
  <c r="U57" i="5"/>
  <c r="V56" i="5"/>
  <c r="U56" i="5"/>
  <c r="V55" i="5"/>
  <c r="U55" i="5"/>
  <c r="V54" i="5"/>
  <c r="U54" i="5"/>
  <c r="V53" i="5"/>
  <c r="U53" i="5"/>
  <c r="V52" i="5"/>
  <c r="U52" i="5"/>
  <c r="V51" i="5"/>
  <c r="U51" i="5"/>
  <c r="V50" i="5"/>
  <c r="U50" i="5"/>
  <c r="V42" i="5"/>
  <c r="U42" i="5"/>
  <c r="V41" i="5"/>
  <c r="U41" i="5"/>
  <c r="V40" i="5"/>
  <c r="U40" i="5"/>
  <c r="V39" i="5"/>
  <c r="U39" i="5"/>
  <c r="V38" i="5"/>
  <c r="U38" i="5"/>
  <c r="V37" i="5"/>
  <c r="U37" i="5"/>
  <c r="V36" i="5"/>
  <c r="U36" i="5"/>
  <c r="V35" i="5"/>
  <c r="U35" i="5"/>
  <c r="V34" i="5"/>
  <c r="U34" i="5"/>
  <c r="V33" i="5"/>
  <c r="U33" i="5"/>
  <c r="V32" i="5"/>
  <c r="U32" i="5"/>
  <c r="V31" i="5"/>
  <c r="U31" i="5"/>
  <c r="V30" i="5"/>
  <c r="U30" i="5"/>
  <c r="V29" i="5"/>
  <c r="U29" i="5"/>
  <c r="V28" i="5"/>
  <c r="U28" i="5"/>
  <c r="V10" i="5"/>
  <c r="V11" i="5"/>
  <c r="U10" i="5"/>
  <c r="U11" i="5"/>
  <c r="V6" i="5"/>
  <c r="U6" i="5"/>
  <c r="V7" i="5"/>
  <c r="U7" i="5"/>
  <c r="F20" i="5"/>
  <c r="Q108" i="5"/>
  <c r="P108" i="5"/>
  <c r="O108" i="5"/>
  <c r="Q107" i="5"/>
  <c r="P107" i="5"/>
  <c r="O107" i="5"/>
  <c r="Q106" i="5"/>
  <c r="P106" i="5"/>
  <c r="O106" i="5"/>
  <c r="Q105" i="5"/>
  <c r="P105" i="5"/>
  <c r="O105" i="5"/>
  <c r="Q104" i="5"/>
  <c r="P104" i="5"/>
  <c r="O104" i="5"/>
  <c r="Q103" i="5"/>
  <c r="P103" i="5"/>
  <c r="O103" i="5"/>
  <c r="Q102" i="5"/>
  <c r="P102" i="5"/>
  <c r="O102" i="5"/>
  <c r="Q101" i="5"/>
  <c r="P101" i="5"/>
  <c r="O101" i="5"/>
  <c r="Q100" i="5"/>
  <c r="P100" i="5"/>
  <c r="O100" i="5"/>
  <c r="Q99" i="5"/>
  <c r="P99" i="5"/>
  <c r="O99" i="5"/>
  <c r="Q98" i="5"/>
  <c r="P98" i="5"/>
  <c r="O98" i="5"/>
  <c r="Q97" i="5"/>
  <c r="P97" i="5"/>
  <c r="O97" i="5"/>
  <c r="Q96" i="5"/>
  <c r="P96" i="5"/>
  <c r="O96" i="5"/>
  <c r="Q95" i="5"/>
  <c r="P95" i="5"/>
  <c r="O95" i="5"/>
  <c r="Q94" i="5"/>
  <c r="P94" i="5"/>
  <c r="O94" i="5"/>
  <c r="Q86" i="5"/>
  <c r="P86" i="5"/>
  <c r="O86" i="5"/>
  <c r="Q85" i="5"/>
  <c r="P85" i="5"/>
  <c r="O85" i="5"/>
  <c r="Q84" i="5"/>
  <c r="P84" i="5"/>
  <c r="O84" i="5"/>
  <c r="Q83" i="5"/>
  <c r="P83" i="5"/>
  <c r="O83" i="5"/>
  <c r="Q82" i="5"/>
  <c r="P82" i="5"/>
  <c r="O82" i="5"/>
  <c r="Q81" i="5"/>
  <c r="P81" i="5"/>
  <c r="O81" i="5"/>
  <c r="Q80" i="5"/>
  <c r="P80" i="5"/>
  <c r="O80" i="5"/>
  <c r="Q79" i="5"/>
  <c r="P79" i="5"/>
  <c r="O79" i="5"/>
  <c r="Q78" i="5"/>
  <c r="P78" i="5"/>
  <c r="O78" i="5"/>
  <c r="Q77" i="5"/>
  <c r="P77" i="5"/>
  <c r="O77" i="5"/>
  <c r="Q76" i="5"/>
  <c r="P76" i="5"/>
  <c r="O76" i="5"/>
  <c r="Q75" i="5"/>
  <c r="P75" i="5"/>
  <c r="O75" i="5"/>
  <c r="Q74" i="5"/>
  <c r="P74" i="5"/>
  <c r="O74" i="5"/>
  <c r="Q73" i="5"/>
  <c r="P73" i="5"/>
  <c r="O73" i="5"/>
  <c r="Q72" i="5"/>
  <c r="P72" i="5"/>
  <c r="O72" i="5"/>
  <c r="Q64" i="5"/>
  <c r="P64" i="5"/>
  <c r="O64" i="5"/>
  <c r="Q63" i="5"/>
  <c r="P63" i="5"/>
  <c r="O63" i="5"/>
  <c r="Q62" i="5"/>
  <c r="P62" i="5"/>
  <c r="O62" i="5"/>
  <c r="Q61" i="5"/>
  <c r="P61" i="5"/>
  <c r="O61" i="5"/>
  <c r="Q60" i="5"/>
  <c r="P60" i="5"/>
  <c r="O60" i="5"/>
  <c r="Q59" i="5"/>
  <c r="P59" i="5"/>
  <c r="O59" i="5"/>
  <c r="Q58" i="5"/>
  <c r="P58" i="5"/>
  <c r="O58" i="5"/>
  <c r="Q57" i="5"/>
  <c r="P57" i="5"/>
  <c r="O57" i="5"/>
  <c r="Q56" i="5"/>
  <c r="P56" i="5"/>
  <c r="O56" i="5"/>
  <c r="Q55" i="5"/>
  <c r="P55" i="5"/>
  <c r="O55" i="5"/>
  <c r="Q54" i="5"/>
  <c r="P54" i="5"/>
  <c r="O54" i="5"/>
  <c r="Q53" i="5"/>
  <c r="P53" i="5"/>
  <c r="O53" i="5"/>
  <c r="Q52" i="5"/>
  <c r="P52" i="5"/>
  <c r="O52" i="5"/>
  <c r="Q51" i="5"/>
  <c r="P51" i="5"/>
  <c r="O51" i="5"/>
  <c r="Q50" i="5"/>
  <c r="P50" i="5"/>
  <c r="O50" i="5"/>
  <c r="Q42" i="5"/>
  <c r="P42" i="5"/>
  <c r="O42" i="5"/>
  <c r="Q41" i="5"/>
  <c r="P41" i="5"/>
  <c r="O41" i="5"/>
  <c r="Q40" i="5"/>
  <c r="P40" i="5"/>
  <c r="O40" i="5"/>
  <c r="Q39" i="5"/>
  <c r="P39" i="5"/>
  <c r="O39" i="5"/>
  <c r="Q38" i="5"/>
  <c r="P38" i="5"/>
  <c r="O38" i="5"/>
  <c r="Q37" i="5"/>
  <c r="P37" i="5"/>
  <c r="O37" i="5"/>
  <c r="Q36" i="5"/>
  <c r="P36" i="5"/>
  <c r="O36" i="5"/>
  <c r="Q35" i="5"/>
  <c r="P35" i="5"/>
  <c r="O35" i="5"/>
  <c r="Q34" i="5"/>
  <c r="P34" i="5"/>
  <c r="O34" i="5"/>
  <c r="Q33" i="5"/>
  <c r="P33" i="5"/>
  <c r="O33" i="5"/>
  <c r="Q32" i="5"/>
  <c r="P32" i="5"/>
  <c r="O32" i="5"/>
  <c r="Q31" i="5"/>
  <c r="P31" i="5"/>
  <c r="O31" i="5"/>
  <c r="Q30" i="5"/>
  <c r="P30" i="5"/>
  <c r="O30" i="5"/>
  <c r="Q29" i="5"/>
  <c r="P29" i="5"/>
  <c r="O29" i="5"/>
  <c r="Q28" i="5"/>
  <c r="P28" i="5"/>
  <c r="O28" i="5"/>
  <c r="Q10" i="5"/>
  <c r="P10" i="5"/>
  <c r="O10" i="5"/>
  <c r="Q7" i="5"/>
  <c r="P7" i="5"/>
  <c r="O7" i="5"/>
  <c r="O87" i="3" l="1"/>
  <c r="P87" i="3"/>
  <c r="O65" i="5"/>
  <c r="Q87" i="3"/>
  <c r="Q109" i="5"/>
  <c r="P109" i="5"/>
  <c r="O109" i="3"/>
  <c r="P109" i="3"/>
  <c r="Q109" i="3"/>
  <c r="O65" i="3"/>
  <c r="Q65" i="3"/>
  <c r="P65" i="3"/>
  <c r="P43" i="3"/>
  <c r="O43" i="3"/>
  <c r="Q43" i="3"/>
  <c r="P21" i="3"/>
  <c r="Q21" i="3"/>
  <c r="O21" i="3"/>
  <c r="F32" i="3"/>
  <c r="Q65" i="5"/>
  <c r="O109" i="5"/>
  <c r="Q87" i="5"/>
  <c r="P65" i="5"/>
  <c r="O87" i="5"/>
  <c r="P87" i="5"/>
  <c r="O43" i="5"/>
  <c r="P43" i="5"/>
  <c r="Q43" i="5"/>
  <c r="B4" i="5"/>
  <c r="B4" i="3"/>
  <c r="U20" i="5"/>
  <c r="U19" i="5"/>
  <c r="U18" i="5"/>
  <c r="U17" i="5"/>
  <c r="U16" i="5"/>
  <c r="U15" i="5"/>
  <c r="U14" i="5"/>
  <c r="U13" i="5"/>
  <c r="U12" i="5"/>
  <c r="U9" i="5"/>
  <c r="U8" i="5"/>
  <c r="V8" i="5"/>
  <c r="V9" i="5"/>
  <c r="V12" i="5"/>
  <c r="V13" i="5"/>
  <c r="V14" i="5"/>
  <c r="V15" i="5"/>
  <c r="V16" i="5"/>
  <c r="V17" i="5"/>
  <c r="V18" i="5"/>
  <c r="V19" i="5"/>
  <c r="V20" i="5"/>
  <c r="O6" i="5"/>
  <c r="F32" i="5" s="1"/>
  <c r="O12" i="5"/>
  <c r="Q20" i="5"/>
  <c r="P20" i="5"/>
  <c r="O20" i="5"/>
  <c r="G32" i="5" s="1"/>
  <c r="Q19" i="5"/>
  <c r="Q18" i="5"/>
  <c r="P19" i="5"/>
  <c r="P18" i="5"/>
  <c r="O19" i="5"/>
  <c r="O18" i="5"/>
  <c r="Q17" i="5"/>
  <c r="P17" i="5"/>
  <c r="O17" i="5"/>
  <c r="Q16" i="5"/>
  <c r="Q15" i="5"/>
  <c r="P16" i="5"/>
  <c r="P15" i="5"/>
  <c r="O16" i="5"/>
  <c r="O15" i="5"/>
  <c r="Q14" i="5"/>
  <c r="P14" i="5"/>
  <c r="O14" i="5"/>
  <c r="Q13" i="5"/>
  <c r="P13" i="5"/>
  <c r="O13" i="5"/>
  <c r="Q12" i="5"/>
  <c r="P12" i="5"/>
  <c r="Q11" i="5"/>
  <c r="P11" i="5"/>
  <c r="O11" i="5"/>
  <c r="Q9" i="5"/>
  <c r="P9" i="5"/>
  <c r="O9" i="5"/>
  <c r="Q8" i="5"/>
  <c r="P8" i="5"/>
  <c r="O8" i="5"/>
  <c r="Q6" i="5"/>
  <c r="P6" i="5"/>
  <c r="F20" i="3"/>
  <c r="B21" i="5"/>
  <c r="B19" i="5"/>
  <c r="B19" i="3"/>
  <c r="B23" i="3" s="1"/>
  <c r="B24" i="3" s="1"/>
  <c r="B14" i="5"/>
  <c r="H6" i="5" s="1"/>
  <c r="G6" i="5" s="1"/>
  <c r="B14" i="3"/>
  <c r="H6" i="3" s="1"/>
  <c r="G6" i="3" s="1"/>
  <c r="G24" i="3" l="1"/>
  <c r="G26" i="3"/>
  <c r="G25" i="3"/>
  <c r="O21" i="5"/>
  <c r="B23" i="5"/>
  <c r="B22" i="3"/>
  <c r="P21" i="5"/>
  <c r="H16" i="3"/>
  <c r="H19" i="3"/>
  <c r="H18" i="3"/>
  <c r="H17" i="3"/>
  <c r="H15" i="3"/>
  <c r="P5" i="3" s="1"/>
  <c r="P22" i="3" s="1"/>
  <c r="Q21" i="5"/>
  <c r="H18" i="5"/>
  <c r="H17" i="5"/>
  <c r="H15" i="5"/>
  <c r="P5" i="5" s="1"/>
  <c r="H16" i="5"/>
  <c r="H19" i="5"/>
  <c r="B22" i="5"/>
  <c r="I15" i="4"/>
  <c r="I14" i="4"/>
  <c r="B4" i="4"/>
  <c r="E4" i="4"/>
  <c r="E3" i="4"/>
  <c r="E5" i="4"/>
  <c r="E2" i="4"/>
  <c r="C15" i="4" s="1"/>
  <c r="B3" i="4"/>
  <c r="B5" i="4"/>
  <c r="B2" i="4"/>
  <c r="B35" i="4" s="1"/>
  <c r="H19" i="4"/>
  <c r="E906" i="2"/>
  <c r="F906" i="2"/>
  <c r="G906" i="2"/>
  <c r="H906" i="2"/>
  <c r="I906" i="2"/>
  <c r="J906" i="2"/>
  <c r="K906" i="2"/>
  <c r="L906" i="2"/>
  <c r="M906" i="2"/>
  <c r="N906" i="2"/>
  <c r="O906" i="2"/>
  <c r="Q906" i="2"/>
  <c r="R906" i="2"/>
  <c r="S906" i="2"/>
  <c r="T906" i="2"/>
  <c r="U906" i="2"/>
  <c r="V906" i="2"/>
  <c r="W906" i="2"/>
  <c r="X906" i="2"/>
  <c r="E907" i="2"/>
  <c r="F907" i="2"/>
  <c r="G907" i="2"/>
  <c r="H907" i="2"/>
  <c r="I907" i="2"/>
  <c r="J907" i="2"/>
  <c r="K907" i="2"/>
  <c r="L907" i="2"/>
  <c r="M907" i="2"/>
  <c r="N907" i="2"/>
  <c r="O907" i="2"/>
  <c r="P907" i="2" s="1"/>
  <c r="Q907" i="2"/>
  <c r="R907" i="2"/>
  <c r="S907" i="2"/>
  <c r="T907" i="2"/>
  <c r="U907" i="2"/>
  <c r="V907" i="2"/>
  <c r="W907" i="2"/>
  <c r="X907" i="2"/>
  <c r="E908" i="2"/>
  <c r="F908" i="2"/>
  <c r="G908" i="2"/>
  <c r="H908" i="2"/>
  <c r="I908" i="2"/>
  <c r="J908" i="2"/>
  <c r="K908" i="2"/>
  <c r="L908" i="2"/>
  <c r="M908" i="2"/>
  <c r="N908" i="2"/>
  <c r="O908" i="2"/>
  <c r="Q908" i="2"/>
  <c r="R908" i="2"/>
  <c r="S908" i="2"/>
  <c r="T908" i="2"/>
  <c r="U908" i="2"/>
  <c r="V908" i="2"/>
  <c r="W908" i="2"/>
  <c r="X908" i="2"/>
  <c r="E909" i="2"/>
  <c r="F909" i="2"/>
  <c r="G909" i="2"/>
  <c r="H909" i="2"/>
  <c r="I909" i="2"/>
  <c r="J909" i="2"/>
  <c r="K909" i="2"/>
  <c r="L909" i="2"/>
  <c r="M909" i="2"/>
  <c r="N909" i="2"/>
  <c r="O909" i="2"/>
  <c r="P909" i="2" s="1"/>
  <c r="Q909" i="2"/>
  <c r="R909" i="2"/>
  <c r="S909" i="2"/>
  <c r="T909" i="2"/>
  <c r="U909" i="2"/>
  <c r="V909" i="2"/>
  <c r="W909" i="2"/>
  <c r="X909" i="2"/>
  <c r="E910" i="2"/>
  <c r="F910" i="2"/>
  <c r="G910" i="2"/>
  <c r="H910" i="2"/>
  <c r="I910" i="2"/>
  <c r="J910" i="2"/>
  <c r="K910" i="2"/>
  <c r="L910" i="2"/>
  <c r="M910" i="2"/>
  <c r="N910" i="2"/>
  <c r="O910" i="2"/>
  <c r="Q910" i="2"/>
  <c r="R910" i="2"/>
  <c r="S910" i="2"/>
  <c r="T910" i="2"/>
  <c r="U910" i="2"/>
  <c r="V910" i="2"/>
  <c r="W910" i="2"/>
  <c r="X910" i="2"/>
  <c r="E911" i="2"/>
  <c r="F911" i="2"/>
  <c r="G911" i="2"/>
  <c r="H911" i="2"/>
  <c r="I911" i="2"/>
  <c r="J911" i="2"/>
  <c r="K911" i="2"/>
  <c r="L911" i="2"/>
  <c r="M911" i="2"/>
  <c r="N911" i="2"/>
  <c r="O911" i="2"/>
  <c r="P911" i="2" s="1"/>
  <c r="Q911" i="2"/>
  <c r="R911" i="2"/>
  <c r="S911" i="2"/>
  <c r="T911" i="2"/>
  <c r="U911" i="2"/>
  <c r="V911" i="2"/>
  <c r="W911" i="2"/>
  <c r="X911" i="2"/>
  <c r="E912" i="2"/>
  <c r="F912" i="2"/>
  <c r="G912" i="2"/>
  <c r="H912" i="2"/>
  <c r="I912" i="2"/>
  <c r="J912" i="2"/>
  <c r="K912" i="2"/>
  <c r="L912" i="2"/>
  <c r="M912" i="2"/>
  <c r="N912" i="2"/>
  <c r="O912" i="2"/>
  <c r="Q912" i="2"/>
  <c r="R912" i="2"/>
  <c r="S912" i="2"/>
  <c r="T912" i="2"/>
  <c r="U912" i="2"/>
  <c r="V912" i="2"/>
  <c r="W912" i="2"/>
  <c r="X912" i="2"/>
  <c r="E913" i="2"/>
  <c r="F913" i="2"/>
  <c r="G913" i="2"/>
  <c r="H913" i="2"/>
  <c r="I913" i="2"/>
  <c r="J913" i="2"/>
  <c r="K913" i="2"/>
  <c r="L913" i="2"/>
  <c r="M913" i="2"/>
  <c r="N913" i="2"/>
  <c r="O913" i="2"/>
  <c r="P913" i="2" s="1"/>
  <c r="Q913" i="2"/>
  <c r="R913" i="2"/>
  <c r="S913" i="2"/>
  <c r="T913" i="2"/>
  <c r="U913" i="2"/>
  <c r="V913" i="2"/>
  <c r="W913" i="2"/>
  <c r="X913" i="2"/>
  <c r="E914" i="2"/>
  <c r="F914" i="2"/>
  <c r="G914" i="2"/>
  <c r="H914" i="2"/>
  <c r="I914" i="2"/>
  <c r="J914" i="2"/>
  <c r="K914" i="2"/>
  <c r="L914" i="2"/>
  <c r="M914" i="2"/>
  <c r="N914" i="2"/>
  <c r="O914" i="2"/>
  <c r="Q914" i="2"/>
  <c r="R914" i="2"/>
  <c r="S914" i="2"/>
  <c r="T914" i="2"/>
  <c r="U914" i="2"/>
  <c r="V914" i="2"/>
  <c r="W914" i="2"/>
  <c r="X914" i="2"/>
  <c r="E915" i="2"/>
  <c r="F915" i="2"/>
  <c r="G915" i="2"/>
  <c r="H915" i="2"/>
  <c r="I915" i="2"/>
  <c r="J915" i="2"/>
  <c r="K915" i="2"/>
  <c r="L915" i="2"/>
  <c r="M915" i="2"/>
  <c r="N915" i="2"/>
  <c r="O915" i="2"/>
  <c r="P915" i="2" s="1"/>
  <c r="Q915" i="2"/>
  <c r="R915" i="2"/>
  <c r="S915" i="2"/>
  <c r="T915" i="2"/>
  <c r="U915" i="2"/>
  <c r="V915" i="2"/>
  <c r="W915" i="2"/>
  <c r="X915" i="2"/>
  <c r="E916" i="2"/>
  <c r="F916" i="2"/>
  <c r="G916" i="2"/>
  <c r="H916" i="2"/>
  <c r="I916" i="2"/>
  <c r="J916" i="2"/>
  <c r="K916" i="2"/>
  <c r="L916" i="2"/>
  <c r="M916" i="2"/>
  <c r="N916" i="2"/>
  <c r="O916" i="2"/>
  <c r="Q916" i="2"/>
  <c r="R916" i="2"/>
  <c r="S916" i="2"/>
  <c r="T916" i="2"/>
  <c r="U916" i="2"/>
  <c r="V916" i="2"/>
  <c r="W916" i="2"/>
  <c r="X916" i="2"/>
  <c r="E917" i="2"/>
  <c r="F917" i="2"/>
  <c r="G917" i="2"/>
  <c r="H917" i="2"/>
  <c r="I917" i="2"/>
  <c r="J917" i="2"/>
  <c r="K917" i="2"/>
  <c r="L917" i="2"/>
  <c r="M917" i="2"/>
  <c r="N917" i="2"/>
  <c r="O917" i="2"/>
  <c r="P917" i="2" s="1"/>
  <c r="Q917" i="2"/>
  <c r="R917" i="2"/>
  <c r="S917" i="2"/>
  <c r="T917" i="2"/>
  <c r="U917" i="2"/>
  <c r="V917" i="2"/>
  <c r="W917" i="2"/>
  <c r="X917" i="2"/>
  <c r="E918" i="2"/>
  <c r="F918" i="2"/>
  <c r="G918" i="2"/>
  <c r="H918" i="2"/>
  <c r="I918" i="2"/>
  <c r="J918" i="2"/>
  <c r="K918" i="2"/>
  <c r="L918" i="2"/>
  <c r="M918" i="2"/>
  <c r="N918" i="2"/>
  <c r="O918" i="2"/>
  <c r="Q918" i="2"/>
  <c r="R918" i="2"/>
  <c r="S918" i="2"/>
  <c r="T918" i="2"/>
  <c r="U918" i="2"/>
  <c r="V918" i="2"/>
  <c r="W918" i="2"/>
  <c r="X918" i="2"/>
  <c r="E919" i="2"/>
  <c r="F919" i="2"/>
  <c r="G919" i="2"/>
  <c r="H919" i="2"/>
  <c r="I919" i="2"/>
  <c r="J919" i="2"/>
  <c r="K919" i="2"/>
  <c r="L919" i="2"/>
  <c r="M919" i="2"/>
  <c r="N919" i="2"/>
  <c r="O919" i="2"/>
  <c r="P919" i="2" s="1"/>
  <c r="Q919" i="2"/>
  <c r="R919" i="2"/>
  <c r="S919" i="2"/>
  <c r="T919" i="2"/>
  <c r="U919" i="2"/>
  <c r="V919" i="2"/>
  <c r="W919" i="2"/>
  <c r="X919" i="2"/>
  <c r="E920" i="2"/>
  <c r="F920" i="2"/>
  <c r="G920" i="2"/>
  <c r="H920" i="2"/>
  <c r="I920" i="2"/>
  <c r="J920" i="2"/>
  <c r="K920" i="2"/>
  <c r="L920" i="2"/>
  <c r="M920" i="2"/>
  <c r="N920" i="2"/>
  <c r="O920" i="2"/>
  <c r="Q920" i="2"/>
  <c r="R920" i="2"/>
  <c r="S920" i="2"/>
  <c r="T920" i="2"/>
  <c r="U920" i="2"/>
  <c r="V920" i="2"/>
  <c r="W920" i="2"/>
  <c r="X920" i="2"/>
  <c r="E921" i="2"/>
  <c r="F921" i="2"/>
  <c r="G921" i="2"/>
  <c r="H921" i="2"/>
  <c r="I921" i="2"/>
  <c r="J921" i="2"/>
  <c r="K921" i="2"/>
  <c r="L921" i="2"/>
  <c r="M921" i="2"/>
  <c r="N921" i="2"/>
  <c r="O921" i="2"/>
  <c r="P921" i="2" s="1"/>
  <c r="Q921" i="2"/>
  <c r="R921" i="2"/>
  <c r="S921" i="2"/>
  <c r="T921" i="2"/>
  <c r="U921" i="2"/>
  <c r="V921" i="2"/>
  <c r="W921" i="2"/>
  <c r="X921" i="2"/>
  <c r="E922" i="2"/>
  <c r="F922" i="2"/>
  <c r="G922" i="2"/>
  <c r="H922" i="2"/>
  <c r="I922" i="2"/>
  <c r="J922" i="2"/>
  <c r="K922" i="2"/>
  <c r="L922" i="2"/>
  <c r="M922" i="2"/>
  <c r="N922" i="2"/>
  <c r="O922" i="2"/>
  <c r="Q922" i="2"/>
  <c r="R922" i="2"/>
  <c r="S922" i="2"/>
  <c r="T922" i="2"/>
  <c r="U922" i="2"/>
  <c r="V922" i="2"/>
  <c r="W922" i="2"/>
  <c r="X922" i="2"/>
  <c r="E923" i="2"/>
  <c r="F923" i="2"/>
  <c r="G923" i="2"/>
  <c r="H923" i="2"/>
  <c r="I923" i="2"/>
  <c r="J923" i="2"/>
  <c r="K923" i="2"/>
  <c r="L923" i="2"/>
  <c r="M923" i="2"/>
  <c r="N923" i="2"/>
  <c r="O923" i="2"/>
  <c r="P923" i="2" s="1"/>
  <c r="Q923" i="2"/>
  <c r="R923" i="2"/>
  <c r="S923" i="2"/>
  <c r="T923" i="2"/>
  <c r="U923" i="2"/>
  <c r="V923" i="2"/>
  <c r="W923" i="2"/>
  <c r="X923" i="2"/>
  <c r="E924" i="2"/>
  <c r="F924" i="2"/>
  <c r="G924" i="2"/>
  <c r="H924" i="2"/>
  <c r="I924" i="2"/>
  <c r="J924" i="2"/>
  <c r="K924" i="2"/>
  <c r="L924" i="2"/>
  <c r="M924" i="2"/>
  <c r="N924" i="2"/>
  <c r="O924" i="2"/>
  <c r="Q924" i="2"/>
  <c r="R924" i="2"/>
  <c r="S924" i="2"/>
  <c r="T924" i="2"/>
  <c r="U924" i="2"/>
  <c r="V924" i="2"/>
  <c r="W924" i="2"/>
  <c r="X924" i="2"/>
  <c r="E925" i="2"/>
  <c r="F925" i="2"/>
  <c r="G925" i="2"/>
  <c r="H925" i="2"/>
  <c r="I925" i="2"/>
  <c r="J925" i="2"/>
  <c r="K925" i="2"/>
  <c r="L925" i="2"/>
  <c r="M925" i="2"/>
  <c r="N925" i="2"/>
  <c r="O925" i="2"/>
  <c r="P925" i="2" s="1"/>
  <c r="Q925" i="2"/>
  <c r="R925" i="2"/>
  <c r="S925" i="2"/>
  <c r="T925" i="2"/>
  <c r="U925" i="2"/>
  <c r="V925" i="2"/>
  <c r="W925" i="2"/>
  <c r="X925" i="2"/>
  <c r="E926" i="2"/>
  <c r="F926" i="2"/>
  <c r="G926" i="2"/>
  <c r="H926" i="2"/>
  <c r="I926" i="2"/>
  <c r="J926" i="2"/>
  <c r="K926" i="2"/>
  <c r="L926" i="2"/>
  <c r="M926" i="2"/>
  <c r="N926" i="2"/>
  <c r="O926" i="2"/>
  <c r="Q926" i="2"/>
  <c r="R926" i="2"/>
  <c r="S926" i="2"/>
  <c r="T926" i="2"/>
  <c r="U926" i="2"/>
  <c r="V926" i="2"/>
  <c r="W926" i="2"/>
  <c r="X926" i="2"/>
  <c r="E927" i="2"/>
  <c r="F927" i="2"/>
  <c r="G927" i="2"/>
  <c r="H927" i="2"/>
  <c r="I927" i="2"/>
  <c r="J927" i="2"/>
  <c r="K927" i="2"/>
  <c r="L927" i="2"/>
  <c r="M927" i="2"/>
  <c r="N927" i="2"/>
  <c r="O927" i="2"/>
  <c r="P927" i="2" s="1"/>
  <c r="Q927" i="2"/>
  <c r="R927" i="2"/>
  <c r="S927" i="2"/>
  <c r="T927" i="2"/>
  <c r="U927" i="2"/>
  <c r="V927" i="2"/>
  <c r="W927" i="2"/>
  <c r="X927" i="2"/>
  <c r="E928" i="2"/>
  <c r="F928" i="2"/>
  <c r="G928" i="2"/>
  <c r="H928" i="2"/>
  <c r="I928" i="2"/>
  <c r="J928" i="2"/>
  <c r="K928" i="2"/>
  <c r="L928" i="2"/>
  <c r="M928" i="2"/>
  <c r="N928" i="2"/>
  <c r="O928" i="2"/>
  <c r="Q928" i="2"/>
  <c r="R928" i="2"/>
  <c r="S928" i="2"/>
  <c r="T928" i="2"/>
  <c r="U928" i="2"/>
  <c r="V928" i="2"/>
  <c r="W928" i="2"/>
  <c r="X928" i="2"/>
  <c r="E929" i="2"/>
  <c r="F929" i="2"/>
  <c r="G929" i="2"/>
  <c r="H929" i="2"/>
  <c r="I929" i="2"/>
  <c r="J929" i="2"/>
  <c r="K929" i="2"/>
  <c r="L929" i="2"/>
  <c r="M929" i="2"/>
  <c r="N929" i="2"/>
  <c r="O929" i="2"/>
  <c r="P929" i="2" s="1"/>
  <c r="Q929" i="2"/>
  <c r="R929" i="2"/>
  <c r="S929" i="2"/>
  <c r="T929" i="2"/>
  <c r="U929" i="2"/>
  <c r="V929" i="2"/>
  <c r="W929" i="2"/>
  <c r="X929" i="2"/>
  <c r="E930" i="2"/>
  <c r="F930" i="2"/>
  <c r="G930" i="2"/>
  <c r="H930" i="2"/>
  <c r="I930" i="2"/>
  <c r="J930" i="2"/>
  <c r="K930" i="2"/>
  <c r="L930" i="2"/>
  <c r="M930" i="2"/>
  <c r="N930" i="2"/>
  <c r="O930" i="2"/>
  <c r="Q930" i="2"/>
  <c r="R930" i="2"/>
  <c r="S930" i="2"/>
  <c r="T930" i="2"/>
  <c r="U930" i="2"/>
  <c r="V930" i="2"/>
  <c r="W930" i="2"/>
  <c r="X930" i="2"/>
  <c r="E931" i="2"/>
  <c r="F931" i="2"/>
  <c r="G931" i="2"/>
  <c r="H931" i="2"/>
  <c r="I931" i="2"/>
  <c r="J931" i="2"/>
  <c r="K931" i="2"/>
  <c r="L931" i="2"/>
  <c r="M931" i="2"/>
  <c r="N931" i="2"/>
  <c r="O931" i="2"/>
  <c r="P931" i="2" s="1"/>
  <c r="Q931" i="2"/>
  <c r="R931" i="2"/>
  <c r="S931" i="2"/>
  <c r="T931" i="2"/>
  <c r="U931" i="2"/>
  <c r="V931" i="2"/>
  <c r="W931" i="2"/>
  <c r="X931" i="2"/>
  <c r="E932" i="2"/>
  <c r="F932" i="2"/>
  <c r="G932" i="2"/>
  <c r="H932" i="2"/>
  <c r="I932" i="2"/>
  <c r="J932" i="2"/>
  <c r="K932" i="2"/>
  <c r="L932" i="2"/>
  <c r="M932" i="2"/>
  <c r="N932" i="2"/>
  <c r="O932" i="2"/>
  <c r="Q932" i="2"/>
  <c r="R932" i="2"/>
  <c r="S932" i="2"/>
  <c r="T932" i="2"/>
  <c r="U932" i="2"/>
  <c r="V932" i="2"/>
  <c r="W932" i="2"/>
  <c r="X932" i="2"/>
  <c r="E933" i="2"/>
  <c r="F933" i="2"/>
  <c r="G933" i="2"/>
  <c r="H933" i="2"/>
  <c r="I933" i="2"/>
  <c r="J933" i="2"/>
  <c r="K933" i="2"/>
  <c r="L933" i="2"/>
  <c r="M933" i="2"/>
  <c r="N933" i="2"/>
  <c r="O933" i="2"/>
  <c r="P933" i="2" s="1"/>
  <c r="Q933" i="2"/>
  <c r="R933" i="2"/>
  <c r="S933" i="2"/>
  <c r="T933" i="2"/>
  <c r="U933" i="2"/>
  <c r="V933" i="2"/>
  <c r="W933" i="2"/>
  <c r="X933" i="2"/>
  <c r="E934" i="2"/>
  <c r="F934" i="2"/>
  <c r="G934" i="2"/>
  <c r="H934" i="2"/>
  <c r="I934" i="2"/>
  <c r="J934" i="2"/>
  <c r="K934" i="2"/>
  <c r="L934" i="2"/>
  <c r="M934" i="2"/>
  <c r="N934" i="2"/>
  <c r="O934" i="2"/>
  <c r="Q934" i="2"/>
  <c r="R934" i="2"/>
  <c r="S934" i="2"/>
  <c r="T934" i="2"/>
  <c r="U934" i="2"/>
  <c r="V934" i="2"/>
  <c r="W934" i="2"/>
  <c r="X934" i="2"/>
  <c r="E935" i="2"/>
  <c r="F935" i="2"/>
  <c r="G935" i="2"/>
  <c r="H935" i="2"/>
  <c r="I935" i="2"/>
  <c r="J935" i="2"/>
  <c r="K935" i="2"/>
  <c r="L935" i="2"/>
  <c r="M935" i="2"/>
  <c r="N935" i="2"/>
  <c r="O935" i="2"/>
  <c r="P935" i="2" s="1"/>
  <c r="Q935" i="2"/>
  <c r="R935" i="2"/>
  <c r="S935" i="2"/>
  <c r="T935" i="2"/>
  <c r="U935" i="2"/>
  <c r="V935" i="2"/>
  <c r="W935" i="2"/>
  <c r="X935" i="2"/>
  <c r="E936" i="2"/>
  <c r="F936" i="2"/>
  <c r="G936" i="2"/>
  <c r="H936" i="2"/>
  <c r="I936" i="2"/>
  <c r="J936" i="2"/>
  <c r="K936" i="2"/>
  <c r="L936" i="2"/>
  <c r="M936" i="2"/>
  <c r="N936" i="2"/>
  <c r="O936" i="2"/>
  <c r="Q936" i="2"/>
  <c r="R936" i="2"/>
  <c r="S936" i="2"/>
  <c r="T936" i="2"/>
  <c r="U936" i="2"/>
  <c r="V936" i="2"/>
  <c r="W936" i="2"/>
  <c r="X936" i="2"/>
  <c r="E937" i="2"/>
  <c r="F937" i="2"/>
  <c r="G937" i="2"/>
  <c r="H937" i="2"/>
  <c r="I937" i="2"/>
  <c r="J937" i="2"/>
  <c r="K937" i="2"/>
  <c r="L937" i="2"/>
  <c r="M937" i="2"/>
  <c r="N937" i="2"/>
  <c r="O937" i="2"/>
  <c r="P937" i="2" s="1"/>
  <c r="Q937" i="2"/>
  <c r="R937" i="2"/>
  <c r="S937" i="2"/>
  <c r="T937" i="2"/>
  <c r="U937" i="2"/>
  <c r="V937" i="2"/>
  <c r="W937" i="2"/>
  <c r="X937" i="2"/>
  <c r="E938" i="2"/>
  <c r="F938" i="2"/>
  <c r="G938" i="2"/>
  <c r="H938" i="2"/>
  <c r="I938" i="2"/>
  <c r="J938" i="2"/>
  <c r="K938" i="2"/>
  <c r="L938" i="2"/>
  <c r="M938" i="2"/>
  <c r="N938" i="2"/>
  <c r="O938" i="2"/>
  <c r="Q938" i="2"/>
  <c r="R938" i="2"/>
  <c r="S938" i="2"/>
  <c r="T938" i="2"/>
  <c r="U938" i="2"/>
  <c r="V938" i="2"/>
  <c r="W938" i="2"/>
  <c r="X938" i="2"/>
  <c r="E939" i="2"/>
  <c r="F939" i="2"/>
  <c r="G939" i="2"/>
  <c r="H939" i="2"/>
  <c r="I939" i="2"/>
  <c r="J939" i="2"/>
  <c r="K939" i="2"/>
  <c r="L939" i="2"/>
  <c r="M939" i="2"/>
  <c r="N939" i="2"/>
  <c r="O939" i="2"/>
  <c r="P939" i="2" s="1"/>
  <c r="Q939" i="2"/>
  <c r="R939" i="2"/>
  <c r="S939" i="2"/>
  <c r="T939" i="2"/>
  <c r="U939" i="2"/>
  <c r="V939" i="2"/>
  <c r="W939" i="2"/>
  <c r="X939" i="2"/>
  <c r="E940" i="2"/>
  <c r="F940" i="2"/>
  <c r="G940" i="2"/>
  <c r="H940" i="2"/>
  <c r="I940" i="2"/>
  <c r="J940" i="2"/>
  <c r="K940" i="2"/>
  <c r="L940" i="2"/>
  <c r="M940" i="2"/>
  <c r="N940" i="2"/>
  <c r="O940" i="2"/>
  <c r="Q940" i="2"/>
  <c r="R940" i="2"/>
  <c r="S940" i="2"/>
  <c r="T940" i="2"/>
  <c r="U940" i="2"/>
  <c r="V940" i="2"/>
  <c r="W940" i="2"/>
  <c r="X940" i="2"/>
  <c r="E941" i="2"/>
  <c r="F941" i="2"/>
  <c r="G941" i="2"/>
  <c r="H941" i="2"/>
  <c r="I941" i="2"/>
  <c r="J941" i="2"/>
  <c r="K941" i="2"/>
  <c r="L941" i="2"/>
  <c r="M941" i="2"/>
  <c r="N941" i="2"/>
  <c r="O941" i="2"/>
  <c r="P941" i="2" s="1"/>
  <c r="Q941" i="2"/>
  <c r="R941" i="2"/>
  <c r="S941" i="2"/>
  <c r="T941" i="2"/>
  <c r="U941" i="2"/>
  <c r="V941" i="2"/>
  <c r="W941" i="2"/>
  <c r="X941" i="2"/>
  <c r="E942" i="2"/>
  <c r="F942" i="2"/>
  <c r="G942" i="2"/>
  <c r="H942" i="2"/>
  <c r="I942" i="2"/>
  <c r="J942" i="2"/>
  <c r="K942" i="2"/>
  <c r="L942" i="2"/>
  <c r="M942" i="2"/>
  <c r="N942" i="2"/>
  <c r="O942" i="2"/>
  <c r="Q942" i="2"/>
  <c r="R942" i="2"/>
  <c r="S942" i="2"/>
  <c r="T942" i="2"/>
  <c r="U942" i="2"/>
  <c r="V942" i="2"/>
  <c r="W942" i="2"/>
  <c r="X942" i="2"/>
  <c r="E943" i="2"/>
  <c r="F943" i="2"/>
  <c r="G943" i="2"/>
  <c r="H943" i="2"/>
  <c r="I943" i="2"/>
  <c r="J943" i="2"/>
  <c r="K943" i="2"/>
  <c r="L943" i="2"/>
  <c r="M943" i="2"/>
  <c r="N943" i="2"/>
  <c r="O943" i="2"/>
  <c r="P943" i="2" s="1"/>
  <c r="Q943" i="2"/>
  <c r="R943" i="2"/>
  <c r="S943" i="2"/>
  <c r="T943" i="2"/>
  <c r="U943" i="2"/>
  <c r="V943" i="2"/>
  <c r="W943" i="2"/>
  <c r="X943" i="2"/>
  <c r="E944" i="2"/>
  <c r="F944" i="2"/>
  <c r="G944" i="2"/>
  <c r="H944" i="2"/>
  <c r="I944" i="2"/>
  <c r="J944" i="2"/>
  <c r="K944" i="2"/>
  <c r="L944" i="2"/>
  <c r="M944" i="2"/>
  <c r="N944" i="2"/>
  <c r="O944" i="2"/>
  <c r="Q944" i="2"/>
  <c r="R944" i="2"/>
  <c r="S944" i="2"/>
  <c r="T944" i="2"/>
  <c r="U944" i="2"/>
  <c r="V944" i="2"/>
  <c r="W944" i="2"/>
  <c r="X944" i="2"/>
  <c r="E945" i="2"/>
  <c r="F945" i="2"/>
  <c r="G945" i="2"/>
  <c r="H945" i="2"/>
  <c r="I945" i="2"/>
  <c r="J945" i="2"/>
  <c r="K945" i="2"/>
  <c r="L945" i="2"/>
  <c r="M945" i="2"/>
  <c r="N945" i="2"/>
  <c r="O945" i="2"/>
  <c r="P945" i="2" s="1"/>
  <c r="Q945" i="2"/>
  <c r="R945" i="2"/>
  <c r="S945" i="2"/>
  <c r="T945" i="2"/>
  <c r="U945" i="2"/>
  <c r="V945" i="2"/>
  <c r="W945" i="2"/>
  <c r="X945" i="2"/>
  <c r="E946" i="2"/>
  <c r="F946" i="2"/>
  <c r="G946" i="2"/>
  <c r="H946" i="2"/>
  <c r="I946" i="2"/>
  <c r="J946" i="2"/>
  <c r="K946" i="2"/>
  <c r="L946" i="2"/>
  <c r="M946" i="2"/>
  <c r="N946" i="2"/>
  <c r="O946" i="2"/>
  <c r="Q946" i="2"/>
  <c r="R946" i="2"/>
  <c r="S946" i="2"/>
  <c r="T946" i="2"/>
  <c r="U946" i="2"/>
  <c r="V946" i="2"/>
  <c r="W946" i="2"/>
  <c r="X946" i="2"/>
  <c r="E947" i="2"/>
  <c r="F947" i="2"/>
  <c r="G947" i="2"/>
  <c r="H947" i="2"/>
  <c r="I947" i="2"/>
  <c r="J947" i="2"/>
  <c r="K947" i="2"/>
  <c r="L947" i="2"/>
  <c r="M947" i="2"/>
  <c r="N947" i="2"/>
  <c r="O947" i="2"/>
  <c r="P947" i="2" s="1"/>
  <c r="Q947" i="2"/>
  <c r="R947" i="2"/>
  <c r="S947" i="2"/>
  <c r="T947" i="2"/>
  <c r="U947" i="2"/>
  <c r="V947" i="2"/>
  <c r="W947" i="2"/>
  <c r="X947" i="2"/>
  <c r="E948" i="2"/>
  <c r="F948" i="2"/>
  <c r="G948" i="2"/>
  <c r="H948" i="2"/>
  <c r="I948" i="2"/>
  <c r="J948" i="2"/>
  <c r="K948" i="2"/>
  <c r="L948" i="2"/>
  <c r="M948" i="2"/>
  <c r="N948" i="2"/>
  <c r="O948" i="2"/>
  <c r="Q948" i="2"/>
  <c r="R948" i="2"/>
  <c r="S948" i="2"/>
  <c r="T948" i="2"/>
  <c r="U948" i="2"/>
  <c r="V948" i="2"/>
  <c r="W948" i="2"/>
  <c r="X948" i="2"/>
  <c r="E949" i="2"/>
  <c r="F949" i="2"/>
  <c r="G949" i="2"/>
  <c r="H949" i="2"/>
  <c r="I949" i="2"/>
  <c r="J949" i="2"/>
  <c r="K949" i="2"/>
  <c r="L949" i="2"/>
  <c r="M949" i="2"/>
  <c r="N949" i="2"/>
  <c r="O949" i="2"/>
  <c r="P949" i="2" s="1"/>
  <c r="Q949" i="2"/>
  <c r="R949" i="2"/>
  <c r="S949" i="2"/>
  <c r="T949" i="2"/>
  <c r="U949" i="2"/>
  <c r="V949" i="2"/>
  <c r="W949" i="2"/>
  <c r="X949" i="2"/>
  <c r="E950" i="2"/>
  <c r="F950" i="2"/>
  <c r="G950" i="2"/>
  <c r="H950" i="2"/>
  <c r="I950" i="2"/>
  <c r="J950" i="2"/>
  <c r="K950" i="2"/>
  <c r="L950" i="2"/>
  <c r="M950" i="2"/>
  <c r="N950" i="2"/>
  <c r="O950" i="2"/>
  <c r="Q950" i="2"/>
  <c r="R950" i="2"/>
  <c r="S950" i="2"/>
  <c r="T950" i="2"/>
  <c r="U950" i="2"/>
  <c r="V950" i="2"/>
  <c r="W950" i="2"/>
  <c r="X950" i="2"/>
  <c r="E951" i="2"/>
  <c r="F951" i="2"/>
  <c r="G951" i="2"/>
  <c r="H951" i="2"/>
  <c r="I951" i="2"/>
  <c r="J951" i="2"/>
  <c r="K951" i="2"/>
  <c r="L951" i="2"/>
  <c r="M951" i="2"/>
  <c r="N951" i="2"/>
  <c r="O951" i="2"/>
  <c r="P951" i="2" s="1"/>
  <c r="Q951" i="2"/>
  <c r="R951" i="2"/>
  <c r="S951" i="2"/>
  <c r="T951" i="2"/>
  <c r="U951" i="2"/>
  <c r="V951" i="2"/>
  <c r="W951" i="2"/>
  <c r="X951" i="2"/>
  <c r="E952" i="2"/>
  <c r="F952" i="2"/>
  <c r="G952" i="2"/>
  <c r="H952" i="2"/>
  <c r="I952" i="2"/>
  <c r="J952" i="2"/>
  <c r="K952" i="2"/>
  <c r="L952" i="2"/>
  <c r="M952" i="2"/>
  <c r="N952" i="2"/>
  <c r="O952" i="2"/>
  <c r="Q952" i="2"/>
  <c r="R952" i="2"/>
  <c r="S952" i="2"/>
  <c r="T952" i="2"/>
  <c r="U952" i="2"/>
  <c r="V952" i="2"/>
  <c r="W952" i="2"/>
  <c r="X952" i="2"/>
  <c r="E953" i="2"/>
  <c r="F953" i="2"/>
  <c r="G953" i="2"/>
  <c r="H953" i="2"/>
  <c r="I953" i="2"/>
  <c r="J953" i="2"/>
  <c r="K953" i="2"/>
  <c r="L953" i="2"/>
  <c r="M953" i="2"/>
  <c r="N953" i="2"/>
  <c r="O953" i="2"/>
  <c r="P953" i="2" s="1"/>
  <c r="Q953" i="2"/>
  <c r="R953" i="2"/>
  <c r="S953" i="2"/>
  <c r="T953" i="2"/>
  <c r="U953" i="2"/>
  <c r="V953" i="2"/>
  <c r="W953" i="2"/>
  <c r="X953" i="2"/>
  <c r="E954" i="2"/>
  <c r="F954" i="2"/>
  <c r="G954" i="2"/>
  <c r="H954" i="2"/>
  <c r="I954" i="2"/>
  <c r="J954" i="2"/>
  <c r="K954" i="2"/>
  <c r="L954" i="2"/>
  <c r="M954" i="2"/>
  <c r="N954" i="2"/>
  <c r="O954" i="2"/>
  <c r="Q954" i="2"/>
  <c r="R954" i="2"/>
  <c r="S954" i="2"/>
  <c r="T954" i="2"/>
  <c r="U954" i="2"/>
  <c r="V954" i="2"/>
  <c r="W954" i="2"/>
  <c r="X954" i="2"/>
  <c r="E955" i="2"/>
  <c r="F955" i="2"/>
  <c r="G955" i="2"/>
  <c r="H955" i="2"/>
  <c r="I955" i="2"/>
  <c r="J955" i="2"/>
  <c r="K955" i="2"/>
  <c r="L955" i="2"/>
  <c r="M955" i="2"/>
  <c r="N955" i="2"/>
  <c r="O955" i="2"/>
  <c r="P955" i="2" s="1"/>
  <c r="Q955" i="2"/>
  <c r="R955" i="2"/>
  <c r="S955" i="2"/>
  <c r="T955" i="2"/>
  <c r="U955" i="2"/>
  <c r="V955" i="2"/>
  <c r="W955" i="2"/>
  <c r="X955" i="2"/>
  <c r="E956" i="2"/>
  <c r="F956" i="2"/>
  <c r="G956" i="2"/>
  <c r="H956" i="2"/>
  <c r="I956" i="2"/>
  <c r="J956" i="2"/>
  <c r="K956" i="2"/>
  <c r="L956" i="2"/>
  <c r="M956" i="2"/>
  <c r="N956" i="2"/>
  <c r="O956" i="2"/>
  <c r="Q956" i="2"/>
  <c r="R956" i="2"/>
  <c r="S956" i="2"/>
  <c r="T956" i="2"/>
  <c r="U956" i="2"/>
  <c r="V956" i="2"/>
  <c r="W956" i="2"/>
  <c r="X956" i="2"/>
  <c r="E957" i="2"/>
  <c r="F957" i="2"/>
  <c r="G957" i="2"/>
  <c r="H957" i="2"/>
  <c r="I957" i="2"/>
  <c r="J957" i="2"/>
  <c r="K957" i="2"/>
  <c r="L957" i="2"/>
  <c r="M957" i="2"/>
  <c r="N957" i="2"/>
  <c r="O957" i="2"/>
  <c r="P957" i="2" s="1"/>
  <c r="Q957" i="2"/>
  <c r="R957" i="2"/>
  <c r="S957" i="2"/>
  <c r="T957" i="2"/>
  <c r="U957" i="2"/>
  <c r="V957" i="2"/>
  <c r="W957" i="2"/>
  <c r="X957" i="2"/>
  <c r="E958" i="2"/>
  <c r="F958" i="2"/>
  <c r="G958" i="2"/>
  <c r="H958" i="2"/>
  <c r="I958" i="2"/>
  <c r="J958" i="2"/>
  <c r="K958" i="2"/>
  <c r="L958" i="2"/>
  <c r="M958" i="2"/>
  <c r="N958" i="2"/>
  <c r="O958" i="2"/>
  <c r="Q958" i="2"/>
  <c r="R958" i="2"/>
  <c r="S958" i="2"/>
  <c r="T958" i="2"/>
  <c r="U958" i="2"/>
  <c r="V958" i="2"/>
  <c r="W958" i="2"/>
  <c r="X958" i="2"/>
  <c r="E959" i="2"/>
  <c r="F959" i="2"/>
  <c r="G959" i="2"/>
  <c r="H959" i="2"/>
  <c r="I959" i="2"/>
  <c r="J959" i="2"/>
  <c r="K959" i="2"/>
  <c r="L959" i="2"/>
  <c r="M959" i="2"/>
  <c r="N959" i="2"/>
  <c r="O959" i="2"/>
  <c r="P959" i="2" s="1"/>
  <c r="Q959" i="2"/>
  <c r="R959" i="2"/>
  <c r="S959" i="2"/>
  <c r="T959" i="2"/>
  <c r="U959" i="2"/>
  <c r="V959" i="2"/>
  <c r="W959" i="2"/>
  <c r="X959" i="2"/>
  <c r="E960" i="2"/>
  <c r="F960" i="2"/>
  <c r="G960" i="2"/>
  <c r="H960" i="2"/>
  <c r="I960" i="2"/>
  <c r="J960" i="2"/>
  <c r="K960" i="2"/>
  <c r="L960" i="2"/>
  <c r="M960" i="2"/>
  <c r="N960" i="2"/>
  <c r="O960" i="2"/>
  <c r="Q960" i="2"/>
  <c r="R960" i="2"/>
  <c r="S960" i="2"/>
  <c r="T960" i="2"/>
  <c r="U960" i="2"/>
  <c r="V960" i="2"/>
  <c r="W960" i="2"/>
  <c r="X960" i="2"/>
  <c r="E961" i="2"/>
  <c r="F961" i="2"/>
  <c r="G961" i="2"/>
  <c r="H961" i="2"/>
  <c r="I961" i="2"/>
  <c r="J961" i="2"/>
  <c r="K961" i="2"/>
  <c r="L961" i="2"/>
  <c r="M961" i="2"/>
  <c r="N961" i="2"/>
  <c r="O961" i="2"/>
  <c r="P961" i="2" s="1"/>
  <c r="Q961" i="2"/>
  <c r="R961" i="2"/>
  <c r="S961" i="2"/>
  <c r="T961" i="2"/>
  <c r="U961" i="2"/>
  <c r="V961" i="2"/>
  <c r="W961" i="2"/>
  <c r="X961" i="2"/>
  <c r="E962" i="2"/>
  <c r="F962" i="2"/>
  <c r="G962" i="2"/>
  <c r="H962" i="2"/>
  <c r="I962" i="2"/>
  <c r="J962" i="2"/>
  <c r="K962" i="2"/>
  <c r="L962" i="2"/>
  <c r="M962" i="2"/>
  <c r="N962" i="2"/>
  <c r="O962" i="2"/>
  <c r="Q962" i="2"/>
  <c r="R962" i="2"/>
  <c r="S962" i="2"/>
  <c r="T962" i="2"/>
  <c r="U962" i="2"/>
  <c r="V962" i="2"/>
  <c r="W962" i="2"/>
  <c r="X962" i="2"/>
  <c r="E963" i="2"/>
  <c r="F963" i="2"/>
  <c r="G963" i="2"/>
  <c r="H963" i="2"/>
  <c r="I963" i="2"/>
  <c r="J963" i="2"/>
  <c r="K963" i="2"/>
  <c r="L963" i="2"/>
  <c r="M963" i="2"/>
  <c r="N963" i="2"/>
  <c r="O963" i="2"/>
  <c r="P963" i="2" s="1"/>
  <c r="Q963" i="2"/>
  <c r="R963" i="2"/>
  <c r="S963" i="2"/>
  <c r="T963" i="2"/>
  <c r="U963" i="2"/>
  <c r="V963" i="2"/>
  <c r="W963" i="2"/>
  <c r="X963" i="2"/>
  <c r="E964" i="2"/>
  <c r="F964" i="2"/>
  <c r="G964" i="2"/>
  <c r="H964" i="2"/>
  <c r="I964" i="2"/>
  <c r="J964" i="2"/>
  <c r="K964" i="2"/>
  <c r="L964" i="2"/>
  <c r="M964" i="2"/>
  <c r="N964" i="2"/>
  <c r="O964" i="2"/>
  <c r="Q964" i="2"/>
  <c r="R964" i="2"/>
  <c r="S964" i="2"/>
  <c r="T964" i="2"/>
  <c r="U964" i="2"/>
  <c r="V964" i="2"/>
  <c r="W964" i="2"/>
  <c r="X964" i="2"/>
  <c r="E965" i="2"/>
  <c r="F965" i="2"/>
  <c r="G965" i="2"/>
  <c r="H965" i="2"/>
  <c r="I965" i="2"/>
  <c r="J965" i="2"/>
  <c r="K965" i="2"/>
  <c r="L965" i="2"/>
  <c r="M965" i="2"/>
  <c r="N965" i="2"/>
  <c r="O965" i="2"/>
  <c r="P965" i="2" s="1"/>
  <c r="Q965" i="2"/>
  <c r="R965" i="2"/>
  <c r="S965" i="2"/>
  <c r="T965" i="2"/>
  <c r="U965" i="2"/>
  <c r="V965" i="2"/>
  <c r="W965" i="2"/>
  <c r="X965" i="2"/>
  <c r="E966" i="2"/>
  <c r="F966" i="2"/>
  <c r="G966" i="2"/>
  <c r="H966" i="2"/>
  <c r="I966" i="2"/>
  <c r="J966" i="2"/>
  <c r="K966" i="2"/>
  <c r="L966" i="2"/>
  <c r="M966" i="2"/>
  <c r="N966" i="2"/>
  <c r="O966" i="2"/>
  <c r="Q966" i="2"/>
  <c r="R966" i="2"/>
  <c r="S966" i="2"/>
  <c r="T966" i="2"/>
  <c r="U966" i="2"/>
  <c r="V966" i="2"/>
  <c r="W966" i="2"/>
  <c r="X966" i="2"/>
  <c r="E967" i="2"/>
  <c r="F967" i="2"/>
  <c r="G967" i="2"/>
  <c r="H967" i="2"/>
  <c r="I967" i="2"/>
  <c r="J967" i="2"/>
  <c r="K967" i="2"/>
  <c r="L967" i="2"/>
  <c r="M967" i="2"/>
  <c r="N967" i="2"/>
  <c r="O967" i="2"/>
  <c r="P967" i="2" s="1"/>
  <c r="Q967" i="2"/>
  <c r="R967" i="2"/>
  <c r="S967" i="2"/>
  <c r="T967" i="2"/>
  <c r="U967" i="2"/>
  <c r="V967" i="2"/>
  <c r="W967" i="2"/>
  <c r="X967" i="2"/>
  <c r="E968" i="2"/>
  <c r="F968" i="2"/>
  <c r="G968" i="2"/>
  <c r="H968" i="2"/>
  <c r="I968" i="2"/>
  <c r="J968" i="2"/>
  <c r="K968" i="2"/>
  <c r="L968" i="2"/>
  <c r="M968" i="2"/>
  <c r="N968" i="2"/>
  <c r="O968" i="2"/>
  <c r="Q968" i="2"/>
  <c r="R968" i="2"/>
  <c r="S968" i="2"/>
  <c r="T968" i="2"/>
  <c r="U968" i="2"/>
  <c r="V968" i="2"/>
  <c r="W968" i="2"/>
  <c r="X968" i="2"/>
  <c r="E969" i="2"/>
  <c r="F969" i="2"/>
  <c r="G969" i="2"/>
  <c r="H969" i="2"/>
  <c r="I969" i="2"/>
  <c r="J969" i="2"/>
  <c r="K969" i="2"/>
  <c r="L969" i="2"/>
  <c r="M969" i="2"/>
  <c r="N969" i="2"/>
  <c r="O969" i="2"/>
  <c r="P969" i="2" s="1"/>
  <c r="Q969" i="2"/>
  <c r="R969" i="2"/>
  <c r="S969" i="2"/>
  <c r="T969" i="2"/>
  <c r="U969" i="2"/>
  <c r="V969" i="2"/>
  <c r="W969" i="2"/>
  <c r="X969" i="2"/>
  <c r="E970" i="2"/>
  <c r="F970" i="2"/>
  <c r="G970" i="2"/>
  <c r="H970" i="2"/>
  <c r="I970" i="2"/>
  <c r="J970" i="2"/>
  <c r="K970" i="2"/>
  <c r="L970" i="2"/>
  <c r="M970" i="2"/>
  <c r="N970" i="2"/>
  <c r="O970" i="2"/>
  <c r="Q970" i="2"/>
  <c r="R970" i="2"/>
  <c r="S970" i="2"/>
  <c r="T970" i="2"/>
  <c r="U970" i="2"/>
  <c r="V970" i="2"/>
  <c r="W970" i="2"/>
  <c r="X970" i="2"/>
  <c r="E971" i="2"/>
  <c r="F971" i="2"/>
  <c r="G971" i="2"/>
  <c r="H971" i="2"/>
  <c r="I971" i="2"/>
  <c r="J971" i="2"/>
  <c r="K971" i="2"/>
  <c r="L971" i="2"/>
  <c r="M971" i="2"/>
  <c r="N971" i="2"/>
  <c r="O971" i="2"/>
  <c r="P971" i="2" s="1"/>
  <c r="Q971" i="2"/>
  <c r="R971" i="2"/>
  <c r="S971" i="2"/>
  <c r="T971" i="2"/>
  <c r="U971" i="2"/>
  <c r="V971" i="2"/>
  <c r="W971" i="2"/>
  <c r="X971" i="2"/>
  <c r="E972" i="2"/>
  <c r="F972" i="2"/>
  <c r="G972" i="2"/>
  <c r="H972" i="2"/>
  <c r="I972" i="2"/>
  <c r="J972" i="2"/>
  <c r="K972" i="2"/>
  <c r="L972" i="2"/>
  <c r="M972" i="2"/>
  <c r="N972" i="2"/>
  <c r="O972" i="2"/>
  <c r="Q972" i="2"/>
  <c r="R972" i="2"/>
  <c r="S972" i="2"/>
  <c r="T972" i="2"/>
  <c r="U972" i="2"/>
  <c r="V972" i="2"/>
  <c r="W972" i="2"/>
  <c r="X972" i="2"/>
  <c r="E973" i="2"/>
  <c r="F973" i="2"/>
  <c r="G973" i="2"/>
  <c r="H973" i="2"/>
  <c r="I973" i="2"/>
  <c r="J973" i="2"/>
  <c r="K973" i="2"/>
  <c r="L973" i="2"/>
  <c r="M973" i="2"/>
  <c r="N973" i="2"/>
  <c r="O973" i="2"/>
  <c r="P973" i="2" s="1"/>
  <c r="Q973" i="2"/>
  <c r="R973" i="2"/>
  <c r="S973" i="2"/>
  <c r="T973" i="2"/>
  <c r="U973" i="2"/>
  <c r="V973" i="2"/>
  <c r="W973" i="2"/>
  <c r="X973" i="2"/>
  <c r="E974" i="2"/>
  <c r="F974" i="2"/>
  <c r="G974" i="2"/>
  <c r="H974" i="2"/>
  <c r="I974" i="2"/>
  <c r="J974" i="2"/>
  <c r="K974" i="2"/>
  <c r="L974" i="2"/>
  <c r="M974" i="2"/>
  <c r="N974" i="2"/>
  <c r="O974" i="2"/>
  <c r="Q974" i="2"/>
  <c r="R974" i="2"/>
  <c r="S974" i="2"/>
  <c r="T974" i="2"/>
  <c r="U974" i="2"/>
  <c r="V974" i="2"/>
  <c r="W974" i="2"/>
  <c r="X974" i="2"/>
  <c r="E975" i="2"/>
  <c r="F975" i="2"/>
  <c r="G975" i="2"/>
  <c r="H975" i="2"/>
  <c r="I975" i="2"/>
  <c r="J975" i="2"/>
  <c r="K975" i="2"/>
  <c r="L975" i="2"/>
  <c r="M975" i="2"/>
  <c r="N975" i="2"/>
  <c r="O975" i="2"/>
  <c r="P975" i="2" s="1"/>
  <c r="Q975" i="2"/>
  <c r="R975" i="2"/>
  <c r="S975" i="2"/>
  <c r="T975" i="2"/>
  <c r="U975" i="2"/>
  <c r="V975" i="2"/>
  <c r="W975" i="2"/>
  <c r="X975" i="2"/>
  <c r="E976" i="2"/>
  <c r="F976" i="2"/>
  <c r="G976" i="2"/>
  <c r="H976" i="2"/>
  <c r="I976" i="2"/>
  <c r="J976" i="2"/>
  <c r="K976" i="2"/>
  <c r="L976" i="2"/>
  <c r="M976" i="2"/>
  <c r="N976" i="2"/>
  <c r="O976" i="2"/>
  <c r="Q976" i="2"/>
  <c r="R976" i="2"/>
  <c r="S976" i="2"/>
  <c r="T976" i="2"/>
  <c r="U976" i="2"/>
  <c r="V976" i="2"/>
  <c r="W976" i="2"/>
  <c r="X976" i="2"/>
  <c r="E977" i="2"/>
  <c r="F977" i="2"/>
  <c r="G977" i="2"/>
  <c r="H977" i="2"/>
  <c r="I977" i="2"/>
  <c r="J977" i="2"/>
  <c r="K977" i="2"/>
  <c r="L977" i="2"/>
  <c r="M977" i="2"/>
  <c r="N977" i="2"/>
  <c r="O977" i="2"/>
  <c r="P977" i="2" s="1"/>
  <c r="Q977" i="2"/>
  <c r="R977" i="2"/>
  <c r="S977" i="2"/>
  <c r="T977" i="2"/>
  <c r="U977" i="2"/>
  <c r="V977" i="2"/>
  <c r="W977" i="2"/>
  <c r="X977" i="2"/>
  <c r="E978" i="2"/>
  <c r="F978" i="2"/>
  <c r="G978" i="2"/>
  <c r="H978" i="2"/>
  <c r="I978" i="2"/>
  <c r="J978" i="2"/>
  <c r="K978" i="2"/>
  <c r="L978" i="2"/>
  <c r="M978" i="2"/>
  <c r="N978" i="2"/>
  <c r="O978" i="2"/>
  <c r="Q978" i="2"/>
  <c r="R978" i="2"/>
  <c r="S978" i="2"/>
  <c r="T978" i="2"/>
  <c r="U978" i="2"/>
  <c r="V978" i="2"/>
  <c r="W978" i="2"/>
  <c r="X978" i="2"/>
  <c r="E979" i="2"/>
  <c r="F979" i="2"/>
  <c r="G979" i="2"/>
  <c r="H979" i="2"/>
  <c r="I979" i="2"/>
  <c r="J979" i="2"/>
  <c r="K979" i="2"/>
  <c r="L979" i="2"/>
  <c r="M979" i="2"/>
  <c r="N979" i="2"/>
  <c r="O979" i="2"/>
  <c r="P979" i="2" s="1"/>
  <c r="Q979" i="2"/>
  <c r="R979" i="2"/>
  <c r="S979" i="2"/>
  <c r="T979" i="2"/>
  <c r="U979" i="2"/>
  <c r="V979" i="2"/>
  <c r="W979" i="2"/>
  <c r="X979" i="2"/>
  <c r="E980" i="2"/>
  <c r="F980" i="2"/>
  <c r="G980" i="2"/>
  <c r="H980" i="2"/>
  <c r="I980" i="2"/>
  <c r="J980" i="2"/>
  <c r="K980" i="2"/>
  <c r="L980" i="2"/>
  <c r="M980" i="2"/>
  <c r="N980" i="2"/>
  <c r="O980" i="2"/>
  <c r="Q980" i="2"/>
  <c r="R980" i="2"/>
  <c r="S980" i="2"/>
  <c r="T980" i="2"/>
  <c r="U980" i="2"/>
  <c r="V980" i="2"/>
  <c r="W980" i="2"/>
  <c r="X980" i="2"/>
  <c r="E981" i="2"/>
  <c r="F981" i="2"/>
  <c r="G981" i="2"/>
  <c r="H981" i="2"/>
  <c r="I981" i="2"/>
  <c r="J981" i="2"/>
  <c r="K981" i="2"/>
  <c r="L981" i="2"/>
  <c r="M981" i="2"/>
  <c r="N981" i="2"/>
  <c r="O981" i="2"/>
  <c r="P981" i="2" s="1"/>
  <c r="Q981" i="2"/>
  <c r="R981" i="2"/>
  <c r="S981" i="2"/>
  <c r="T981" i="2"/>
  <c r="U981" i="2"/>
  <c r="V981" i="2"/>
  <c r="W981" i="2"/>
  <c r="X981" i="2"/>
  <c r="E982" i="2"/>
  <c r="F982" i="2"/>
  <c r="G982" i="2"/>
  <c r="H982" i="2"/>
  <c r="I982" i="2"/>
  <c r="J982" i="2"/>
  <c r="K982" i="2"/>
  <c r="L982" i="2"/>
  <c r="M982" i="2"/>
  <c r="N982" i="2"/>
  <c r="O982" i="2"/>
  <c r="Q982" i="2"/>
  <c r="R982" i="2"/>
  <c r="S982" i="2"/>
  <c r="T982" i="2"/>
  <c r="U982" i="2"/>
  <c r="V982" i="2"/>
  <c r="W982" i="2"/>
  <c r="X982" i="2"/>
  <c r="E983" i="2"/>
  <c r="F983" i="2"/>
  <c r="G983" i="2"/>
  <c r="H983" i="2"/>
  <c r="I983" i="2"/>
  <c r="J983" i="2"/>
  <c r="K983" i="2"/>
  <c r="L983" i="2"/>
  <c r="M983" i="2"/>
  <c r="N983" i="2"/>
  <c r="O983" i="2"/>
  <c r="P983" i="2" s="1"/>
  <c r="Q983" i="2"/>
  <c r="R983" i="2"/>
  <c r="S983" i="2"/>
  <c r="T983" i="2"/>
  <c r="U983" i="2"/>
  <c r="V983" i="2"/>
  <c r="W983" i="2"/>
  <c r="X983" i="2"/>
  <c r="E984" i="2"/>
  <c r="F984" i="2"/>
  <c r="G984" i="2"/>
  <c r="H984" i="2"/>
  <c r="I984" i="2"/>
  <c r="J984" i="2"/>
  <c r="K984" i="2"/>
  <c r="L984" i="2"/>
  <c r="M984" i="2"/>
  <c r="N984" i="2"/>
  <c r="O984" i="2"/>
  <c r="Q984" i="2"/>
  <c r="R984" i="2"/>
  <c r="S984" i="2"/>
  <c r="T984" i="2"/>
  <c r="U984" i="2"/>
  <c r="V984" i="2"/>
  <c r="W984" i="2"/>
  <c r="X984" i="2"/>
  <c r="E985" i="2"/>
  <c r="F985" i="2"/>
  <c r="G985" i="2"/>
  <c r="H985" i="2"/>
  <c r="I985" i="2"/>
  <c r="J985" i="2"/>
  <c r="K985" i="2"/>
  <c r="L985" i="2"/>
  <c r="M985" i="2"/>
  <c r="N985" i="2"/>
  <c r="O985" i="2"/>
  <c r="P985" i="2" s="1"/>
  <c r="Q985" i="2"/>
  <c r="R985" i="2"/>
  <c r="S985" i="2"/>
  <c r="T985" i="2"/>
  <c r="U985" i="2"/>
  <c r="V985" i="2"/>
  <c r="W985" i="2"/>
  <c r="X985" i="2"/>
  <c r="E986" i="2"/>
  <c r="F986" i="2"/>
  <c r="G986" i="2"/>
  <c r="H986" i="2"/>
  <c r="I986" i="2"/>
  <c r="J986" i="2"/>
  <c r="K986" i="2"/>
  <c r="L986" i="2"/>
  <c r="M986" i="2"/>
  <c r="N986" i="2"/>
  <c r="O986" i="2"/>
  <c r="Q986" i="2"/>
  <c r="R986" i="2"/>
  <c r="S986" i="2"/>
  <c r="T986" i="2"/>
  <c r="U986" i="2"/>
  <c r="V986" i="2"/>
  <c r="W986" i="2"/>
  <c r="X986" i="2"/>
  <c r="E987" i="2"/>
  <c r="F987" i="2"/>
  <c r="G987" i="2"/>
  <c r="H987" i="2"/>
  <c r="I987" i="2"/>
  <c r="J987" i="2"/>
  <c r="K987" i="2"/>
  <c r="L987" i="2"/>
  <c r="M987" i="2"/>
  <c r="N987" i="2"/>
  <c r="O987" i="2"/>
  <c r="P987" i="2" s="1"/>
  <c r="Q987" i="2"/>
  <c r="R987" i="2"/>
  <c r="S987" i="2"/>
  <c r="T987" i="2"/>
  <c r="U987" i="2"/>
  <c r="V987" i="2"/>
  <c r="W987" i="2"/>
  <c r="X987" i="2"/>
  <c r="E988" i="2"/>
  <c r="F988" i="2"/>
  <c r="G988" i="2"/>
  <c r="H988" i="2"/>
  <c r="I988" i="2"/>
  <c r="J988" i="2"/>
  <c r="K988" i="2"/>
  <c r="L988" i="2"/>
  <c r="M988" i="2"/>
  <c r="N988" i="2"/>
  <c r="O988" i="2"/>
  <c r="Q988" i="2"/>
  <c r="R988" i="2"/>
  <c r="S988" i="2"/>
  <c r="T988" i="2"/>
  <c r="U988" i="2"/>
  <c r="V988" i="2"/>
  <c r="W988" i="2"/>
  <c r="X988" i="2"/>
  <c r="E989" i="2"/>
  <c r="F989" i="2"/>
  <c r="G989" i="2"/>
  <c r="H989" i="2"/>
  <c r="I989" i="2"/>
  <c r="J989" i="2"/>
  <c r="K989" i="2"/>
  <c r="L989" i="2"/>
  <c r="M989" i="2"/>
  <c r="N989" i="2"/>
  <c r="O989" i="2"/>
  <c r="P989" i="2" s="1"/>
  <c r="Q989" i="2"/>
  <c r="R989" i="2"/>
  <c r="S989" i="2"/>
  <c r="T989" i="2"/>
  <c r="U989" i="2"/>
  <c r="V989" i="2"/>
  <c r="W989" i="2"/>
  <c r="X989" i="2"/>
  <c r="E990" i="2"/>
  <c r="F990" i="2"/>
  <c r="G990" i="2"/>
  <c r="H990" i="2"/>
  <c r="I990" i="2"/>
  <c r="J990" i="2"/>
  <c r="K990" i="2"/>
  <c r="L990" i="2"/>
  <c r="M990" i="2"/>
  <c r="N990" i="2"/>
  <c r="O990" i="2"/>
  <c r="Q990" i="2"/>
  <c r="R990" i="2"/>
  <c r="S990" i="2"/>
  <c r="T990" i="2"/>
  <c r="U990" i="2"/>
  <c r="V990" i="2"/>
  <c r="W990" i="2"/>
  <c r="X990" i="2"/>
  <c r="E991" i="2"/>
  <c r="F991" i="2"/>
  <c r="G991" i="2"/>
  <c r="H991" i="2"/>
  <c r="I991" i="2"/>
  <c r="J991" i="2"/>
  <c r="K991" i="2"/>
  <c r="L991" i="2"/>
  <c r="M991" i="2"/>
  <c r="N991" i="2"/>
  <c r="O991" i="2"/>
  <c r="P991" i="2" s="1"/>
  <c r="Q991" i="2"/>
  <c r="R991" i="2"/>
  <c r="S991" i="2"/>
  <c r="T991" i="2"/>
  <c r="U991" i="2"/>
  <c r="V991" i="2"/>
  <c r="W991" i="2"/>
  <c r="X991" i="2"/>
  <c r="E992" i="2"/>
  <c r="F992" i="2"/>
  <c r="G992" i="2"/>
  <c r="H992" i="2"/>
  <c r="I992" i="2"/>
  <c r="J992" i="2"/>
  <c r="K992" i="2"/>
  <c r="L992" i="2"/>
  <c r="M992" i="2"/>
  <c r="N992" i="2"/>
  <c r="O992" i="2"/>
  <c r="Q992" i="2"/>
  <c r="R992" i="2"/>
  <c r="S992" i="2"/>
  <c r="T992" i="2"/>
  <c r="U992" i="2"/>
  <c r="V992" i="2"/>
  <c r="W992" i="2"/>
  <c r="X992" i="2"/>
  <c r="E993" i="2"/>
  <c r="F993" i="2"/>
  <c r="G993" i="2"/>
  <c r="H993" i="2"/>
  <c r="I993" i="2"/>
  <c r="J993" i="2"/>
  <c r="K993" i="2"/>
  <c r="L993" i="2"/>
  <c r="M993" i="2"/>
  <c r="N993" i="2"/>
  <c r="O993" i="2"/>
  <c r="P993" i="2" s="1"/>
  <c r="Q993" i="2"/>
  <c r="R993" i="2"/>
  <c r="S993" i="2"/>
  <c r="T993" i="2"/>
  <c r="U993" i="2"/>
  <c r="V993" i="2"/>
  <c r="W993" i="2"/>
  <c r="X993" i="2"/>
  <c r="E994" i="2"/>
  <c r="F994" i="2"/>
  <c r="G994" i="2"/>
  <c r="H994" i="2"/>
  <c r="I994" i="2"/>
  <c r="J994" i="2"/>
  <c r="K994" i="2"/>
  <c r="L994" i="2"/>
  <c r="M994" i="2"/>
  <c r="N994" i="2"/>
  <c r="O994" i="2"/>
  <c r="Q994" i="2"/>
  <c r="R994" i="2"/>
  <c r="S994" i="2"/>
  <c r="T994" i="2"/>
  <c r="U994" i="2"/>
  <c r="V994" i="2"/>
  <c r="W994" i="2"/>
  <c r="X994" i="2"/>
  <c r="E995" i="2"/>
  <c r="F995" i="2"/>
  <c r="G995" i="2"/>
  <c r="H995" i="2"/>
  <c r="I995" i="2"/>
  <c r="J995" i="2"/>
  <c r="K995" i="2"/>
  <c r="L995" i="2"/>
  <c r="M995" i="2"/>
  <c r="N995" i="2"/>
  <c r="O995" i="2"/>
  <c r="P995" i="2" s="1"/>
  <c r="Q995" i="2"/>
  <c r="R995" i="2"/>
  <c r="S995" i="2"/>
  <c r="T995" i="2"/>
  <c r="U995" i="2"/>
  <c r="V995" i="2"/>
  <c r="W995" i="2"/>
  <c r="X995" i="2"/>
  <c r="E996" i="2"/>
  <c r="F996" i="2"/>
  <c r="G996" i="2"/>
  <c r="H996" i="2"/>
  <c r="I996" i="2"/>
  <c r="J996" i="2"/>
  <c r="K996" i="2"/>
  <c r="L996" i="2"/>
  <c r="M996" i="2"/>
  <c r="N996" i="2"/>
  <c r="O996" i="2"/>
  <c r="Q996" i="2"/>
  <c r="R996" i="2"/>
  <c r="S996" i="2"/>
  <c r="T996" i="2"/>
  <c r="U996" i="2"/>
  <c r="V996" i="2"/>
  <c r="W996" i="2"/>
  <c r="X996" i="2"/>
  <c r="E997" i="2"/>
  <c r="F997" i="2"/>
  <c r="G997" i="2"/>
  <c r="H997" i="2"/>
  <c r="I997" i="2"/>
  <c r="J997" i="2"/>
  <c r="K997" i="2"/>
  <c r="L997" i="2"/>
  <c r="M997" i="2"/>
  <c r="N997" i="2"/>
  <c r="O997" i="2"/>
  <c r="P997" i="2" s="1"/>
  <c r="Q997" i="2"/>
  <c r="R997" i="2"/>
  <c r="S997" i="2"/>
  <c r="T997" i="2"/>
  <c r="U997" i="2"/>
  <c r="V997" i="2"/>
  <c r="W997" i="2"/>
  <c r="X997" i="2"/>
  <c r="E998" i="2"/>
  <c r="F998" i="2"/>
  <c r="G998" i="2"/>
  <c r="H998" i="2"/>
  <c r="I998" i="2"/>
  <c r="J998" i="2"/>
  <c r="K998" i="2"/>
  <c r="L998" i="2"/>
  <c r="M998" i="2"/>
  <c r="N998" i="2"/>
  <c r="O998" i="2"/>
  <c r="Q998" i="2"/>
  <c r="R998" i="2"/>
  <c r="S998" i="2"/>
  <c r="T998" i="2"/>
  <c r="U998" i="2"/>
  <c r="V998" i="2"/>
  <c r="W998" i="2"/>
  <c r="X998" i="2"/>
  <c r="E999" i="2"/>
  <c r="F999" i="2"/>
  <c r="G999" i="2"/>
  <c r="H999" i="2"/>
  <c r="I999" i="2"/>
  <c r="J999" i="2"/>
  <c r="K999" i="2"/>
  <c r="L999" i="2"/>
  <c r="M999" i="2"/>
  <c r="N999" i="2"/>
  <c r="O999" i="2"/>
  <c r="P999" i="2" s="1"/>
  <c r="Q999" i="2"/>
  <c r="R999" i="2"/>
  <c r="S999" i="2"/>
  <c r="T999" i="2"/>
  <c r="U999" i="2"/>
  <c r="V999" i="2"/>
  <c r="W999" i="2"/>
  <c r="X999" i="2"/>
  <c r="E1000" i="2"/>
  <c r="F1000" i="2"/>
  <c r="G1000" i="2"/>
  <c r="H1000" i="2"/>
  <c r="I1000" i="2"/>
  <c r="J1000" i="2"/>
  <c r="K1000" i="2"/>
  <c r="L1000" i="2"/>
  <c r="M1000" i="2"/>
  <c r="N1000" i="2"/>
  <c r="O1000" i="2"/>
  <c r="Q1000" i="2"/>
  <c r="R1000" i="2"/>
  <c r="S1000" i="2"/>
  <c r="T1000" i="2"/>
  <c r="U1000" i="2"/>
  <c r="V1000" i="2"/>
  <c r="W1000" i="2"/>
  <c r="X1000" i="2"/>
  <c r="E1001" i="2"/>
  <c r="F1001" i="2"/>
  <c r="G1001" i="2"/>
  <c r="H1001" i="2"/>
  <c r="I1001" i="2"/>
  <c r="J1001" i="2"/>
  <c r="K1001" i="2"/>
  <c r="L1001" i="2"/>
  <c r="M1001" i="2"/>
  <c r="N1001" i="2"/>
  <c r="O1001" i="2"/>
  <c r="P1001" i="2" s="1"/>
  <c r="Q1001" i="2"/>
  <c r="R1001" i="2"/>
  <c r="S1001" i="2"/>
  <c r="T1001" i="2"/>
  <c r="U1001" i="2"/>
  <c r="V1001" i="2"/>
  <c r="W1001" i="2"/>
  <c r="X1001" i="2"/>
  <c r="E1002" i="2"/>
  <c r="F1002" i="2"/>
  <c r="G1002" i="2"/>
  <c r="H1002" i="2"/>
  <c r="I1002" i="2"/>
  <c r="J1002" i="2"/>
  <c r="K1002" i="2"/>
  <c r="L1002" i="2"/>
  <c r="M1002" i="2"/>
  <c r="N1002" i="2"/>
  <c r="O1002" i="2"/>
  <c r="Q1002" i="2"/>
  <c r="R1002" i="2"/>
  <c r="S1002" i="2"/>
  <c r="T1002" i="2"/>
  <c r="U1002" i="2"/>
  <c r="V1002" i="2"/>
  <c r="W1002" i="2"/>
  <c r="X1002" i="2"/>
  <c r="E1003" i="2"/>
  <c r="F1003" i="2"/>
  <c r="G1003" i="2"/>
  <c r="H1003" i="2"/>
  <c r="I1003" i="2"/>
  <c r="J1003" i="2"/>
  <c r="K1003" i="2"/>
  <c r="L1003" i="2"/>
  <c r="M1003" i="2"/>
  <c r="N1003" i="2"/>
  <c r="O1003" i="2"/>
  <c r="P1003" i="2" s="1"/>
  <c r="Q1003" i="2"/>
  <c r="R1003" i="2"/>
  <c r="S1003" i="2"/>
  <c r="T1003" i="2"/>
  <c r="U1003" i="2"/>
  <c r="V1003" i="2"/>
  <c r="W1003" i="2"/>
  <c r="X1003" i="2"/>
  <c r="E1004" i="2"/>
  <c r="F1004" i="2"/>
  <c r="G1004" i="2"/>
  <c r="H1004" i="2"/>
  <c r="I1004" i="2"/>
  <c r="J1004" i="2"/>
  <c r="K1004" i="2"/>
  <c r="L1004" i="2"/>
  <c r="M1004" i="2"/>
  <c r="N1004" i="2"/>
  <c r="O1004" i="2"/>
  <c r="Q1004" i="2"/>
  <c r="R1004" i="2"/>
  <c r="S1004" i="2"/>
  <c r="T1004" i="2"/>
  <c r="U1004" i="2"/>
  <c r="V1004" i="2"/>
  <c r="W1004" i="2"/>
  <c r="X1004" i="2"/>
  <c r="E1005" i="2"/>
  <c r="F1005" i="2"/>
  <c r="G1005" i="2"/>
  <c r="H1005" i="2"/>
  <c r="I1005" i="2"/>
  <c r="J1005" i="2"/>
  <c r="K1005" i="2"/>
  <c r="L1005" i="2"/>
  <c r="M1005" i="2"/>
  <c r="N1005" i="2"/>
  <c r="O1005" i="2"/>
  <c r="P1005" i="2" s="1"/>
  <c r="Q1005" i="2"/>
  <c r="R1005" i="2"/>
  <c r="S1005" i="2"/>
  <c r="T1005" i="2"/>
  <c r="U1005" i="2"/>
  <c r="V1005" i="2"/>
  <c r="W1005" i="2"/>
  <c r="X1005" i="2"/>
  <c r="E1006" i="2"/>
  <c r="F1006" i="2"/>
  <c r="G1006" i="2"/>
  <c r="H1006" i="2"/>
  <c r="I1006" i="2"/>
  <c r="J1006" i="2"/>
  <c r="K1006" i="2"/>
  <c r="L1006" i="2"/>
  <c r="M1006" i="2"/>
  <c r="N1006" i="2"/>
  <c r="O1006" i="2"/>
  <c r="Q1006" i="2"/>
  <c r="R1006" i="2"/>
  <c r="S1006" i="2"/>
  <c r="T1006" i="2"/>
  <c r="U1006" i="2"/>
  <c r="V1006" i="2"/>
  <c r="W1006" i="2"/>
  <c r="X1006" i="2"/>
  <c r="E1007" i="2"/>
  <c r="F1007" i="2"/>
  <c r="G1007" i="2"/>
  <c r="H1007" i="2"/>
  <c r="I1007" i="2"/>
  <c r="J1007" i="2"/>
  <c r="K1007" i="2"/>
  <c r="L1007" i="2"/>
  <c r="M1007" i="2"/>
  <c r="N1007" i="2"/>
  <c r="O1007" i="2"/>
  <c r="P1007" i="2" s="1"/>
  <c r="Q1007" i="2"/>
  <c r="R1007" i="2"/>
  <c r="S1007" i="2"/>
  <c r="T1007" i="2"/>
  <c r="U1007" i="2"/>
  <c r="V1007" i="2"/>
  <c r="W1007" i="2"/>
  <c r="X1007" i="2"/>
  <c r="E1008" i="2"/>
  <c r="F1008" i="2"/>
  <c r="G1008" i="2"/>
  <c r="H1008" i="2"/>
  <c r="I1008" i="2"/>
  <c r="J1008" i="2"/>
  <c r="K1008" i="2"/>
  <c r="L1008" i="2"/>
  <c r="M1008" i="2"/>
  <c r="N1008" i="2"/>
  <c r="O1008" i="2"/>
  <c r="Q1008" i="2"/>
  <c r="R1008" i="2"/>
  <c r="S1008" i="2"/>
  <c r="T1008" i="2"/>
  <c r="U1008" i="2"/>
  <c r="V1008" i="2"/>
  <c r="W1008" i="2"/>
  <c r="X1008" i="2"/>
  <c r="E1009" i="2"/>
  <c r="F1009" i="2"/>
  <c r="G1009" i="2"/>
  <c r="H1009" i="2"/>
  <c r="I1009" i="2"/>
  <c r="J1009" i="2"/>
  <c r="K1009" i="2"/>
  <c r="L1009" i="2"/>
  <c r="M1009" i="2"/>
  <c r="N1009" i="2"/>
  <c r="O1009" i="2"/>
  <c r="P1009" i="2" s="1"/>
  <c r="Q1009" i="2"/>
  <c r="R1009" i="2"/>
  <c r="S1009" i="2"/>
  <c r="T1009" i="2"/>
  <c r="U1009" i="2"/>
  <c r="V1009" i="2"/>
  <c r="W1009" i="2"/>
  <c r="X1009" i="2"/>
  <c r="E1010" i="2"/>
  <c r="F1010" i="2"/>
  <c r="G1010" i="2"/>
  <c r="H1010" i="2"/>
  <c r="I1010" i="2"/>
  <c r="J1010" i="2"/>
  <c r="K1010" i="2"/>
  <c r="L1010" i="2"/>
  <c r="M1010" i="2"/>
  <c r="N1010" i="2"/>
  <c r="O1010" i="2"/>
  <c r="Q1010" i="2"/>
  <c r="R1010" i="2"/>
  <c r="S1010" i="2"/>
  <c r="T1010" i="2"/>
  <c r="U1010" i="2"/>
  <c r="V1010" i="2"/>
  <c r="W1010" i="2"/>
  <c r="X1010" i="2"/>
  <c r="E1011" i="2"/>
  <c r="F1011" i="2"/>
  <c r="G1011" i="2"/>
  <c r="H1011" i="2"/>
  <c r="I1011" i="2"/>
  <c r="J1011" i="2"/>
  <c r="K1011" i="2"/>
  <c r="L1011" i="2"/>
  <c r="M1011" i="2"/>
  <c r="N1011" i="2"/>
  <c r="O1011" i="2"/>
  <c r="P1011" i="2" s="1"/>
  <c r="Q1011" i="2"/>
  <c r="R1011" i="2"/>
  <c r="S1011" i="2"/>
  <c r="T1011" i="2"/>
  <c r="U1011" i="2"/>
  <c r="V1011" i="2"/>
  <c r="W1011" i="2"/>
  <c r="X1011" i="2"/>
  <c r="E1012" i="2"/>
  <c r="F1012" i="2"/>
  <c r="G1012" i="2"/>
  <c r="H1012" i="2"/>
  <c r="I1012" i="2"/>
  <c r="J1012" i="2"/>
  <c r="K1012" i="2"/>
  <c r="L1012" i="2"/>
  <c r="M1012" i="2"/>
  <c r="N1012" i="2"/>
  <c r="O1012" i="2"/>
  <c r="Q1012" i="2"/>
  <c r="R1012" i="2"/>
  <c r="S1012" i="2"/>
  <c r="T1012" i="2"/>
  <c r="U1012" i="2"/>
  <c r="V1012" i="2"/>
  <c r="W1012" i="2"/>
  <c r="X1012" i="2"/>
  <c r="E1013" i="2"/>
  <c r="F1013" i="2"/>
  <c r="G1013" i="2"/>
  <c r="H1013" i="2"/>
  <c r="I1013" i="2"/>
  <c r="J1013" i="2"/>
  <c r="K1013" i="2"/>
  <c r="L1013" i="2"/>
  <c r="M1013" i="2"/>
  <c r="N1013" i="2"/>
  <c r="O1013" i="2"/>
  <c r="P1013" i="2" s="1"/>
  <c r="Q1013" i="2"/>
  <c r="R1013" i="2"/>
  <c r="S1013" i="2"/>
  <c r="T1013" i="2"/>
  <c r="U1013" i="2"/>
  <c r="V1013" i="2"/>
  <c r="W1013" i="2"/>
  <c r="X1013" i="2"/>
  <c r="E1014" i="2"/>
  <c r="F1014" i="2"/>
  <c r="G1014" i="2"/>
  <c r="H1014" i="2"/>
  <c r="I1014" i="2"/>
  <c r="J1014" i="2"/>
  <c r="K1014" i="2"/>
  <c r="L1014" i="2"/>
  <c r="M1014" i="2"/>
  <c r="N1014" i="2"/>
  <c r="O1014" i="2"/>
  <c r="Q1014" i="2"/>
  <c r="R1014" i="2"/>
  <c r="S1014" i="2"/>
  <c r="T1014" i="2"/>
  <c r="U1014" i="2"/>
  <c r="V1014" i="2"/>
  <c r="W1014" i="2"/>
  <c r="X1014" i="2"/>
  <c r="E1015" i="2"/>
  <c r="F1015" i="2"/>
  <c r="G1015" i="2"/>
  <c r="H1015" i="2"/>
  <c r="I1015" i="2"/>
  <c r="J1015" i="2"/>
  <c r="K1015" i="2"/>
  <c r="L1015" i="2"/>
  <c r="M1015" i="2"/>
  <c r="N1015" i="2"/>
  <c r="O1015" i="2"/>
  <c r="P1015" i="2" s="1"/>
  <c r="Q1015" i="2"/>
  <c r="R1015" i="2"/>
  <c r="S1015" i="2"/>
  <c r="T1015" i="2"/>
  <c r="U1015" i="2"/>
  <c r="V1015" i="2"/>
  <c r="W1015" i="2"/>
  <c r="X1015" i="2"/>
  <c r="X905" i="2"/>
  <c r="W905" i="2"/>
  <c r="V905" i="2"/>
  <c r="U905" i="2"/>
  <c r="T905" i="2"/>
  <c r="S905" i="2"/>
  <c r="R905" i="2"/>
  <c r="Q905" i="2"/>
  <c r="O905" i="2"/>
  <c r="N905" i="2"/>
  <c r="M905" i="2"/>
  <c r="L905" i="2"/>
  <c r="K905" i="2"/>
  <c r="J905" i="2"/>
  <c r="I905" i="2"/>
  <c r="H905" i="2"/>
  <c r="G905" i="2"/>
  <c r="F905" i="2"/>
  <c r="E905" i="2"/>
  <c r="E804" i="2"/>
  <c r="F804" i="2"/>
  <c r="G804" i="2"/>
  <c r="H804" i="2"/>
  <c r="I804" i="2"/>
  <c r="J804" i="2"/>
  <c r="K804" i="2"/>
  <c r="L804" i="2"/>
  <c r="M804" i="2"/>
  <c r="N804" i="2"/>
  <c r="O804" i="2"/>
  <c r="P804" i="2" s="1"/>
  <c r="Q804" i="2"/>
  <c r="R804" i="2"/>
  <c r="S804" i="2"/>
  <c r="T804" i="2"/>
  <c r="U804" i="2"/>
  <c r="V804" i="2"/>
  <c r="W804" i="2"/>
  <c r="X804" i="2"/>
  <c r="E805" i="2"/>
  <c r="F805" i="2"/>
  <c r="G805" i="2"/>
  <c r="H805" i="2"/>
  <c r="I805" i="2"/>
  <c r="J805" i="2"/>
  <c r="K805" i="2"/>
  <c r="L805" i="2"/>
  <c r="M805" i="2"/>
  <c r="N805" i="2"/>
  <c r="O805" i="2"/>
  <c r="Q805" i="2"/>
  <c r="R805" i="2"/>
  <c r="S805" i="2"/>
  <c r="T805" i="2"/>
  <c r="U805" i="2"/>
  <c r="V805" i="2"/>
  <c r="W805" i="2"/>
  <c r="X805" i="2"/>
  <c r="E806" i="2"/>
  <c r="F806" i="2"/>
  <c r="G806" i="2"/>
  <c r="H806" i="2"/>
  <c r="I806" i="2"/>
  <c r="J806" i="2"/>
  <c r="K806" i="2"/>
  <c r="L806" i="2"/>
  <c r="M806" i="2"/>
  <c r="N806" i="2"/>
  <c r="O806" i="2"/>
  <c r="P806" i="2" s="1"/>
  <c r="Q806" i="2"/>
  <c r="R806" i="2"/>
  <c r="S806" i="2"/>
  <c r="T806" i="2"/>
  <c r="U806" i="2"/>
  <c r="V806" i="2"/>
  <c r="W806" i="2"/>
  <c r="X806" i="2"/>
  <c r="E807" i="2"/>
  <c r="F807" i="2"/>
  <c r="G807" i="2"/>
  <c r="H807" i="2"/>
  <c r="I807" i="2"/>
  <c r="J807" i="2"/>
  <c r="K807" i="2"/>
  <c r="L807" i="2"/>
  <c r="M807" i="2"/>
  <c r="N807" i="2"/>
  <c r="O807" i="2"/>
  <c r="Q807" i="2"/>
  <c r="R807" i="2"/>
  <c r="S807" i="2"/>
  <c r="T807" i="2"/>
  <c r="U807" i="2"/>
  <c r="V807" i="2"/>
  <c r="W807" i="2"/>
  <c r="X807" i="2"/>
  <c r="E808" i="2"/>
  <c r="F808" i="2"/>
  <c r="G808" i="2"/>
  <c r="H808" i="2"/>
  <c r="I808" i="2"/>
  <c r="J808" i="2"/>
  <c r="K808" i="2"/>
  <c r="L808" i="2"/>
  <c r="M808" i="2"/>
  <c r="N808" i="2"/>
  <c r="O808" i="2"/>
  <c r="P808" i="2" s="1"/>
  <c r="Q808" i="2"/>
  <c r="R808" i="2"/>
  <c r="S808" i="2"/>
  <c r="T808" i="2"/>
  <c r="U808" i="2"/>
  <c r="V808" i="2"/>
  <c r="W808" i="2"/>
  <c r="X808" i="2"/>
  <c r="E809" i="2"/>
  <c r="F809" i="2"/>
  <c r="G809" i="2"/>
  <c r="H809" i="2"/>
  <c r="I809" i="2"/>
  <c r="J809" i="2"/>
  <c r="K809" i="2"/>
  <c r="L809" i="2"/>
  <c r="M809" i="2"/>
  <c r="N809" i="2"/>
  <c r="O809" i="2"/>
  <c r="Q809" i="2"/>
  <c r="R809" i="2"/>
  <c r="S809" i="2"/>
  <c r="T809" i="2"/>
  <c r="U809" i="2"/>
  <c r="V809" i="2"/>
  <c r="W809" i="2"/>
  <c r="X809" i="2"/>
  <c r="E810" i="2"/>
  <c r="F810" i="2"/>
  <c r="G810" i="2"/>
  <c r="H810" i="2"/>
  <c r="I810" i="2"/>
  <c r="J810" i="2"/>
  <c r="K810" i="2"/>
  <c r="L810" i="2"/>
  <c r="M810" i="2"/>
  <c r="N810" i="2"/>
  <c r="O810" i="2"/>
  <c r="P810" i="2" s="1"/>
  <c r="Q810" i="2"/>
  <c r="R810" i="2"/>
  <c r="S810" i="2"/>
  <c r="T810" i="2"/>
  <c r="U810" i="2"/>
  <c r="V810" i="2"/>
  <c r="W810" i="2"/>
  <c r="X810" i="2"/>
  <c r="E811" i="2"/>
  <c r="F811" i="2"/>
  <c r="G811" i="2"/>
  <c r="H811" i="2"/>
  <c r="I811" i="2"/>
  <c r="J811" i="2"/>
  <c r="K811" i="2"/>
  <c r="L811" i="2"/>
  <c r="M811" i="2"/>
  <c r="N811" i="2"/>
  <c r="O811" i="2"/>
  <c r="Q811" i="2"/>
  <c r="R811" i="2"/>
  <c r="S811" i="2"/>
  <c r="T811" i="2"/>
  <c r="U811" i="2"/>
  <c r="V811" i="2"/>
  <c r="W811" i="2"/>
  <c r="X811" i="2"/>
  <c r="E812" i="2"/>
  <c r="F812" i="2"/>
  <c r="G812" i="2"/>
  <c r="H812" i="2"/>
  <c r="I812" i="2"/>
  <c r="J812" i="2"/>
  <c r="K812" i="2"/>
  <c r="L812" i="2"/>
  <c r="M812" i="2"/>
  <c r="N812" i="2"/>
  <c r="O812" i="2"/>
  <c r="P812" i="2" s="1"/>
  <c r="Q812" i="2"/>
  <c r="R812" i="2"/>
  <c r="S812" i="2"/>
  <c r="T812" i="2"/>
  <c r="U812" i="2"/>
  <c r="V812" i="2"/>
  <c r="W812" i="2"/>
  <c r="X812" i="2"/>
  <c r="E813" i="2"/>
  <c r="F813" i="2"/>
  <c r="G813" i="2"/>
  <c r="H813" i="2"/>
  <c r="I813" i="2"/>
  <c r="J813" i="2"/>
  <c r="K813" i="2"/>
  <c r="L813" i="2"/>
  <c r="M813" i="2"/>
  <c r="N813" i="2"/>
  <c r="O813" i="2"/>
  <c r="Q813" i="2"/>
  <c r="R813" i="2"/>
  <c r="S813" i="2"/>
  <c r="T813" i="2"/>
  <c r="U813" i="2"/>
  <c r="V813" i="2"/>
  <c r="W813" i="2"/>
  <c r="X813" i="2"/>
  <c r="E814" i="2"/>
  <c r="F814" i="2"/>
  <c r="G814" i="2"/>
  <c r="H814" i="2"/>
  <c r="I814" i="2"/>
  <c r="J814" i="2"/>
  <c r="K814" i="2"/>
  <c r="L814" i="2"/>
  <c r="M814" i="2"/>
  <c r="N814" i="2"/>
  <c r="O814" i="2"/>
  <c r="P814" i="2" s="1"/>
  <c r="Q814" i="2"/>
  <c r="R814" i="2"/>
  <c r="S814" i="2"/>
  <c r="T814" i="2"/>
  <c r="U814" i="2"/>
  <c r="V814" i="2"/>
  <c r="W814" i="2"/>
  <c r="X814" i="2"/>
  <c r="E815" i="2"/>
  <c r="F815" i="2"/>
  <c r="G815" i="2"/>
  <c r="H815" i="2"/>
  <c r="I815" i="2"/>
  <c r="J815" i="2"/>
  <c r="K815" i="2"/>
  <c r="L815" i="2"/>
  <c r="M815" i="2"/>
  <c r="N815" i="2"/>
  <c r="O815" i="2"/>
  <c r="Q815" i="2"/>
  <c r="R815" i="2"/>
  <c r="S815" i="2"/>
  <c r="T815" i="2"/>
  <c r="U815" i="2"/>
  <c r="V815" i="2"/>
  <c r="W815" i="2"/>
  <c r="X815" i="2"/>
  <c r="E816" i="2"/>
  <c r="F816" i="2"/>
  <c r="G816" i="2"/>
  <c r="H816" i="2"/>
  <c r="I816" i="2"/>
  <c r="J816" i="2"/>
  <c r="K816" i="2"/>
  <c r="L816" i="2"/>
  <c r="M816" i="2"/>
  <c r="N816" i="2"/>
  <c r="O816" i="2"/>
  <c r="P816" i="2" s="1"/>
  <c r="Q816" i="2"/>
  <c r="R816" i="2"/>
  <c r="S816" i="2"/>
  <c r="T816" i="2"/>
  <c r="U816" i="2"/>
  <c r="V816" i="2"/>
  <c r="W816" i="2"/>
  <c r="X816" i="2"/>
  <c r="E817" i="2"/>
  <c r="F817" i="2"/>
  <c r="G817" i="2"/>
  <c r="H817" i="2"/>
  <c r="I817" i="2"/>
  <c r="J817" i="2"/>
  <c r="K817" i="2"/>
  <c r="L817" i="2"/>
  <c r="M817" i="2"/>
  <c r="N817" i="2"/>
  <c r="O817" i="2"/>
  <c r="Q817" i="2"/>
  <c r="R817" i="2"/>
  <c r="S817" i="2"/>
  <c r="T817" i="2"/>
  <c r="U817" i="2"/>
  <c r="V817" i="2"/>
  <c r="W817" i="2"/>
  <c r="X817" i="2"/>
  <c r="E818" i="2"/>
  <c r="F818" i="2"/>
  <c r="G818" i="2"/>
  <c r="H818" i="2"/>
  <c r="I818" i="2"/>
  <c r="J818" i="2"/>
  <c r="K818" i="2"/>
  <c r="L818" i="2"/>
  <c r="M818" i="2"/>
  <c r="N818" i="2"/>
  <c r="O818" i="2"/>
  <c r="P818" i="2" s="1"/>
  <c r="Q818" i="2"/>
  <c r="R818" i="2"/>
  <c r="S818" i="2"/>
  <c r="T818" i="2"/>
  <c r="U818" i="2"/>
  <c r="V818" i="2"/>
  <c r="W818" i="2"/>
  <c r="X818" i="2"/>
  <c r="E819" i="2"/>
  <c r="F819" i="2"/>
  <c r="G819" i="2"/>
  <c r="H819" i="2"/>
  <c r="I819" i="2"/>
  <c r="J819" i="2"/>
  <c r="K819" i="2"/>
  <c r="L819" i="2"/>
  <c r="M819" i="2"/>
  <c r="N819" i="2"/>
  <c r="O819" i="2"/>
  <c r="Q819" i="2"/>
  <c r="R819" i="2"/>
  <c r="S819" i="2"/>
  <c r="T819" i="2"/>
  <c r="U819" i="2"/>
  <c r="V819" i="2"/>
  <c r="W819" i="2"/>
  <c r="X819" i="2"/>
  <c r="E820" i="2"/>
  <c r="F820" i="2"/>
  <c r="G820" i="2"/>
  <c r="H820" i="2"/>
  <c r="I820" i="2"/>
  <c r="J820" i="2"/>
  <c r="K820" i="2"/>
  <c r="L820" i="2"/>
  <c r="M820" i="2"/>
  <c r="N820" i="2"/>
  <c r="O820" i="2"/>
  <c r="P820" i="2" s="1"/>
  <c r="Q820" i="2"/>
  <c r="R820" i="2"/>
  <c r="S820" i="2"/>
  <c r="T820" i="2"/>
  <c r="U820" i="2"/>
  <c r="V820" i="2"/>
  <c r="W820" i="2"/>
  <c r="X820" i="2"/>
  <c r="E821" i="2"/>
  <c r="F821" i="2"/>
  <c r="G821" i="2"/>
  <c r="H821" i="2"/>
  <c r="I821" i="2"/>
  <c r="J821" i="2"/>
  <c r="K821" i="2"/>
  <c r="L821" i="2"/>
  <c r="M821" i="2"/>
  <c r="N821" i="2"/>
  <c r="O821" i="2"/>
  <c r="Q821" i="2"/>
  <c r="R821" i="2"/>
  <c r="S821" i="2"/>
  <c r="T821" i="2"/>
  <c r="U821" i="2"/>
  <c r="V821" i="2"/>
  <c r="W821" i="2"/>
  <c r="X821" i="2"/>
  <c r="E822" i="2"/>
  <c r="F822" i="2"/>
  <c r="G822" i="2"/>
  <c r="H822" i="2"/>
  <c r="I822" i="2"/>
  <c r="J822" i="2"/>
  <c r="K822" i="2"/>
  <c r="L822" i="2"/>
  <c r="M822" i="2"/>
  <c r="N822" i="2"/>
  <c r="O822" i="2"/>
  <c r="P822" i="2" s="1"/>
  <c r="Q822" i="2"/>
  <c r="R822" i="2"/>
  <c r="S822" i="2"/>
  <c r="T822" i="2"/>
  <c r="U822" i="2"/>
  <c r="V822" i="2"/>
  <c r="W822" i="2"/>
  <c r="X822" i="2"/>
  <c r="E823" i="2"/>
  <c r="F823" i="2"/>
  <c r="G823" i="2"/>
  <c r="H823" i="2"/>
  <c r="I823" i="2"/>
  <c r="J823" i="2"/>
  <c r="K823" i="2"/>
  <c r="L823" i="2"/>
  <c r="M823" i="2"/>
  <c r="N823" i="2"/>
  <c r="O823" i="2"/>
  <c r="Q823" i="2"/>
  <c r="R823" i="2"/>
  <c r="S823" i="2"/>
  <c r="T823" i="2"/>
  <c r="U823" i="2"/>
  <c r="V823" i="2"/>
  <c r="W823" i="2"/>
  <c r="X823" i="2"/>
  <c r="E824" i="2"/>
  <c r="F824" i="2"/>
  <c r="G824" i="2"/>
  <c r="H824" i="2"/>
  <c r="I824" i="2"/>
  <c r="J824" i="2"/>
  <c r="K824" i="2"/>
  <c r="L824" i="2"/>
  <c r="M824" i="2"/>
  <c r="N824" i="2"/>
  <c r="O824" i="2"/>
  <c r="P824" i="2" s="1"/>
  <c r="Q824" i="2"/>
  <c r="R824" i="2"/>
  <c r="S824" i="2"/>
  <c r="T824" i="2"/>
  <c r="U824" i="2"/>
  <c r="V824" i="2"/>
  <c r="W824" i="2"/>
  <c r="X824" i="2"/>
  <c r="E825" i="2"/>
  <c r="F825" i="2"/>
  <c r="G825" i="2"/>
  <c r="H825" i="2"/>
  <c r="I825" i="2"/>
  <c r="J825" i="2"/>
  <c r="K825" i="2"/>
  <c r="L825" i="2"/>
  <c r="M825" i="2"/>
  <c r="N825" i="2"/>
  <c r="O825" i="2"/>
  <c r="Q825" i="2"/>
  <c r="R825" i="2"/>
  <c r="S825" i="2"/>
  <c r="T825" i="2"/>
  <c r="U825" i="2"/>
  <c r="V825" i="2"/>
  <c r="W825" i="2"/>
  <c r="X825" i="2"/>
  <c r="E826" i="2"/>
  <c r="F826" i="2"/>
  <c r="G826" i="2"/>
  <c r="H826" i="2"/>
  <c r="I826" i="2"/>
  <c r="J826" i="2"/>
  <c r="K826" i="2"/>
  <c r="L826" i="2"/>
  <c r="M826" i="2"/>
  <c r="N826" i="2"/>
  <c r="O826" i="2"/>
  <c r="P826" i="2" s="1"/>
  <c r="Q826" i="2"/>
  <c r="R826" i="2"/>
  <c r="S826" i="2"/>
  <c r="T826" i="2"/>
  <c r="U826" i="2"/>
  <c r="V826" i="2"/>
  <c r="W826" i="2"/>
  <c r="X826" i="2"/>
  <c r="E827" i="2"/>
  <c r="F827" i="2"/>
  <c r="G827" i="2"/>
  <c r="H827" i="2"/>
  <c r="I827" i="2"/>
  <c r="J827" i="2"/>
  <c r="K827" i="2"/>
  <c r="L827" i="2"/>
  <c r="M827" i="2"/>
  <c r="N827" i="2"/>
  <c r="O827" i="2"/>
  <c r="Q827" i="2"/>
  <c r="R827" i="2"/>
  <c r="S827" i="2"/>
  <c r="T827" i="2"/>
  <c r="U827" i="2"/>
  <c r="V827" i="2"/>
  <c r="W827" i="2"/>
  <c r="X827" i="2"/>
  <c r="E828" i="2"/>
  <c r="F828" i="2"/>
  <c r="G828" i="2"/>
  <c r="H828" i="2"/>
  <c r="I828" i="2"/>
  <c r="J828" i="2"/>
  <c r="K828" i="2"/>
  <c r="L828" i="2"/>
  <c r="M828" i="2"/>
  <c r="N828" i="2"/>
  <c r="O828" i="2"/>
  <c r="P828" i="2" s="1"/>
  <c r="Q828" i="2"/>
  <c r="R828" i="2"/>
  <c r="S828" i="2"/>
  <c r="T828" i="2"/>
  <c r="U828" i="2"/>
  <c r="V828" i="2"/>
  <c r="W828" i="2"/>
  <c r="X828" i="2"/>
  <c r="E829" i="2"/>
  <c r="F829" i="2"/>
  <c r="G829" i="2"/>
  <c r="H829" i="2"/>
  <c r="I829" i="2"/>
  <c r="J829" i="2"/>
  <c r="K829" i="2"/>
  <c r="L829" i="2"/>
  <c r="M829" i="2"/>
  <c r="N829" i="2"/>
  <c r="O829" i="2"/>
  <c r="Q829" i="2"/>
  <c r="R829" i="2"/>
  <c r="S829" i="2"/>
  <c r="T829" i="2"/>
  <c r="U829" i="2"/>
  <c r="V829" i="2"/>
  <c r="W829" i="2"/>
  <c r="X829" i="2"/>
  <c r="E830" i="2"/>
  <c r="F830" i="2"/>
  <c r="G830" i="2"/>
  <c r="H830" i="2"/>
  <c r="I830" i="2"/>
  <c r="J830" i="2"/>
  <c r="K830" i="2"/>
  <c r="L830" i="2"/>
  <c r="M830" i="2"/>
  <c r="N830" i="2"/>
  <c r="O830" i="2"/>
  <c r="P830" i="2" s="1"/>
  <c r="Q830" i="2"/>
  <c r="R830" i="2"/>
  <c r="S830" i="2"/>
  <c r="T830" i="2"/>
  <c r="U830" i="2"/>
  <c r="V830" i="2"/>
  <c r="W830" i="2"/>
  <c r="X830" i="2"/>
  <c r="E831" i="2"/>
  <c r="F831" i="2"/>
  <c r="G831" i="2"/>
  <c r="H831" i="2"/>
  <c r="I831" i="2"/>
  <c r="J831" i="2"/>
  <c r="K831" i="2"/>
  <c r="L831" i="2"/>
  <c r="M831" i="2"/>
  <c r="N831" i="2"/>
  <c r="O831" i="2"/>
  <c r="P831" i="2" s="1"/>
  <c r="Q831" i="2"/>
  <c r="R831" i="2"/>
  <c r="S831" i="2"/>
  <c r="T831" i="2"/>
  <c r="U831" i="2"/>
  <c r="V831" i="2"/>
  <c r="W831" i="2"/>
  <c r="X831" i="2"/>
  <c r="E832" i="2"/>
  <c r="F832" i="2"/>
  <c r="G832" i="2"/>
  <c r="H832" i="2"/>
  <c r="I832" i="2"/>
  <c r="J832" i="2"/>
  <c r="K832" i="2"/>
  <c r="L832" i="2"/>
  <c r="M832" i="2"/>
  <c r="N832" i="2"/>
  <c r="O832" i="2"/>
  <c r="P832" i="2" s="1"/>
  <c r="Q832" i="2"/>
  <c r="R832" i="2"/>
  <c r="S832" i="2"/>
  <c r="T832" i="2"/>
  <c r="U832" i="2"/>
  <c r="V832" i="2"/>
  <c r="W832" i="2"/>
  <c r="X832" i="2"/>
  <c r="E833" i="2"/>
  <c r="F833" i="2"/>
  <c r="G833" i="2"/>
  <c r="H833" i="2"/>
  <c r="I833" i="2"/>
  <c r="J833" i="2"/>
  <c r="K833" i="2"/>
  <c r="L833" i="2"/>
  <c r="M833" i="2"/>
  <c r="N833" i="2"/>
  <c r="O833" i="2"/>
  <c r="Q833" i="2"/>
  <c r="R833" i="2"/>
  <c r="S833" i="2"/>
  <c r="T833" i="2"/>
  <c r="U833" i="2"/>
  <c r="V833" i="2"/>
  <c r="W833" i="2"/>
  <c r="X833" i="2"/>
  <c r="E834" i="2"/>
  <c r="F834" i="2"/>
  <c r="G834" i="2"/>
  <c r="H834" i="2"/>
  <c r="I834" i="2"/>
  <c r="J834" i="2"/>
  <c r="K834" i="2"/>
  <c r="L834" i="2"/>
  <c r="M834" i="2"/>
  <c r="N834" i="2"/>
  <c r="O834" i="2"/>
  <c r="Q834" i="2"/>
  <c r="R834" i="2"/>
  <c r="S834" i="2"/>
  <c r="T834" i="2"/>
  <c r="U834" i="2"/>
  <c r="V834" i="2"/>
  <c r="W834" i="2"/>
  <c r="X834" i="2"/>
  <c r="E835" i="2"/>
  <c r="F835" i="2"/>
  <c r="G835" i="2"/>
  <c r="H835" i="2"/>
  <c r="I835" i="2"/>
  <c r="J835" i="2"/>
  <c r="K835" i="2"/>
  <c r="L835" i="2"/>
  <c r="M835" i="2"/>
  <c r="N835" i="2"/>
  <c r="O835" i="2"/>
  <c r="Q835" i="2"/>
  <c r="R835" i="2"/>
  <c r="S835" i="2"/>
  <c r="T835" i="2"/>
  <c r="U835" i="2"/>
  <c r="V835" i="2"/>
  <c r="W835" i="2"/>
  <c r="X835" i="2"/>
  <c r="E836" i="2"/>
  <c r="F836" i="2"/>
  <c r="G836" i="2"/>
  <c r="H836" i="2"/>
  <c r="I836" i="2"/>
  <c r="J836" i="2"/>
  <c r="K836" i="2"/>
  <c r="L836" i="2"/>
  <c r="M836" i="2"/>
  <c r="N836" i="2"/>
  <c r="O836" i="2"/>
  <c r="P836" i="2" s="1"/>
  <c r="Q836" i="2"/>
  <c r="R836" i="2"/>
  <c r="S836" i="2"/>
  <c r="T836" i="2"/>
  <c r="U836" i="2"/>
  <c r="V836" i="2"/>
  <c r="W836" i="2"/>
  <c r="X836" i="2"/>
  <c r="E837" i="2"/>
  <c r="F837" i="2"/>
  <c r="G837" i="2"/>
  <c r="H837" i="2"/>
  <c r="I837" i="2"/>
  <c r="J837" i="2"/>
  <c r="K837" i="2"/>
  <c r="L837" i="2"/>
  <c r="M837" i="2"/>
  <c r="N837" i="2"/>
  <c r="O837" i="2"/>
  <c r="P837" i="2" s="1"/>
  <c r="Q837" i="2"/>
  <c r="R837" i="2"/>
  <c r="S837" i="2"/>
  <c r="T837" i="2"/>
  <c r="U837" i="2"/>
  <c r="V837" i="2"/>
  <c r="W837" i="2"/>
  <c r="X837" i="2"/>
  <c r="E838" i="2"/>
  <c r="F838" i="2"/>
  <c r="G838" i="2"/>
  <c r="H838" i="2"/>
  <c r="I838" i="2"/>
  <c r="J838" i="2"/>
  <c r="K838" i="2"/>
  <c r="L838" i="2"/>
  <c r="M838" i="2"/>
  <c r="N838" i="2"/>
  <c r="O838" i="2"/>
  <c r="P838" i="2" s="1"/>
  <c r="Q838" i="2"/>
  <c r="R838" i="2"/>
  <c r="S838" i="2"/>
  <c r="T838" i="2"/>
  <c r="U838" i="2"/>
  <c r="V838" i="2"/>
  <c r="W838" i="2"/>
  <c r="X838" i="2"/>
  <c r="E839" i="2"/>
  <c r="F839" i="2"/>
  <c r="G839" i="2"/>
  <c r="H839" i="2"/>
  <c r="I839" i="2"/>
  <c r="J839" i="2"/>
  <c r="K839" i="2"/>
  <c r="L839" i="2"/>
  <c r="M839" i="2"/>
  <c r="N839" i="2"/>
  <c r="O839" i="2"/>
  <c r="Q839" i="2"/>
  <c r="R839" i="2"/>
  <c r="S839" i="2"/>
  <c r="T839" i="2"/>
  <c r="U839" i="2"/>
  <c r="V839" i="2"/>
  <c r="W839" i="2"/>
  <c r="X839" i="2"/>
  <c r="E840" i="2"/>
  <c r="F840" i="2"/>
  <c r="G840" i="2"/>
  <c r="H840" i="2"/>
  <c r="I840" i="2"/>
  <c r="J840" i="2"/>
  <c r="K840" i="2"/>
  <c r="L840" i="2"/>
  <c r="M840" i="2"/>
  <c r="N840" i="2"/>
  <c r="O840" i="2"/>
  <c r="Q840" i="2"/>
  <c r="R840" i="2"/>
  <c r="S840" i="2"/>
  <c r="T840" i="2"/>
  <c r="U840" i="2"/>
  <c r="V840" i="2"/>
  <c r="W840" i="2"/>
  <c r="X840" i="2"/>
  <c r="E841" i="2"/>
  <c r="F841" i="2"/>
  <c r="G841" i="2"/>
  <c r="H841" i="2"/>
  <c r="I841" i="2"/>
  <c r="J841" i="2"/>
  <c r="K841" i="2"/>
  <c r="L841" i="2"/>
  <c r="M841" i="2"/>
  <c r="N841" i="2"/>
  <c r="O841" i="2"/>
  <c r="Q841" i="2"/>
  <c r="R841" i="2"/>
  <c r="S841" i="2"/>
  <c r="T841" i="2"/>
  <c r="U841" i="2"/>
  <c r="V841" i="2"/>
  <c r="W841" i="2"/>
  <c r="X841" i="2"/>
  <c r="E842" i="2"/>
  <c r="F842" i="2"/>
  <c r="G842" i="2"/>
  <c r="H842" i="2"/>
  <c r="I842" i="2"/>
  <c r="J842" i="2"/>
  <c r="K842" i="2"/>
  <c r="L842" i="2"/>
  <c r="M842" i="2"/>
  <c r="N842" i="2"/>
  <c r="O842" i="2"/>
  <c r="P842" i="2" s="1"/>
  <c r="Q842" i="2"/>
  <c r="R842" i="2"/>
  <c r="S842" i="2"/>
  <c r="T842" i="2"/>
  <c r="U842" i="2"/>
  <c r="V842" i="2"/>
  <c r="W842" i="2"/>
  <c r="X842" i="2"/>
  <c r="E843" i="2"/>
  <c r="F843" i="2"/>
  <c r="G843" i="2"/>
  <c r="H843" i="2"/>
  <c r="I843" i="2"/>
  <c r="J843" i="2"/>
  <c r="K843" i="2"/>
  <c r="L843" i="2"/>
  <c r="M843" i="2"/>
  <c r="N843" i="2"/>
  <c r="O843" i="2"/>
  <c r="P843" i="2" s="1"/>
  <c r="Q843" i="2"/>
  <c r="R843" i="2"/>
  <c r="S843" i="2"/>
  <c r="T843" i="2"/>
  <c r="U843" i="2"/>
  <c r="V843" i="2"/>
  <c r="W843" i="2"/>
  <c r="X843" i="2"/>
  <c r="E844" i="2"/>
  <c r="F844" i="2"/>
  <c r="G844" i="2"/>
  <c r="H844" i="2"/>
  <c r="I844" i="2"/>
  <c r="J844" i="2"/>
  <c r="K844" i="2"/>
  <c r="L844" i="2"/>
  <c r="M844" i="2"/>
  <c r="N844" i="2"/>
  <c r="O844" i="2"/>
  <c r="P844" i="2" s="1"/>
  <c r="Q844" i="2"/>
  <c r="R844" i="2"/>
  <c r="S844" i="2"/>
  <c r="T844" i="2"/>
  <c r="U844" i="2"/>
  <c r="V844" i="2"/>
  <c r="W844" i="2"/>
  <c r="X844" i="2"/>
  <c r="E845" i="2"/>
  <c r="F845" i="2"/>
  <c r="G845" i="2"/>
  <c r="H845" i="2"/>
  <c r="I845" i="2"/>
  <c r="J845" i="2"/>
  <c r="K845" i="2"/>
  <c r="L845" i="2"/>
  <c r="M845" i="2"/>
  <c r="N845" i="2"/>
  <c r="O845" i="2"/>
  <c r="Q845" i="2"/>
  <c r="R845" i="2"/>
  <c r="S845" i="2"/>
  <c r="T845" i="2"/>
  <c r="U845" i="2"/>
  <c r="V845" i="2"/>
  <c r="W845" i="2"/>
  <c r="X845" i="2"/>
  <c r="E846" i="2"/>
  <c r="F846" i="2"/>
  <c r="G846" i="2"/>
  <c r="H846" i="2"/>
  <c r="I846" i="2"/>
  <c r="J846" i="2"/>
  <c r="K846" i="2"/>
  <c r="L846" i="2"/>
  <c r="M846" i="2"/>
  <c r="N846" i="2"/>
  <c r="O846" i="2"/>
  <c r="Q846" i="2"/>
  <c r="R846" i="2"/>
  <c r="S846" i="2"/>
  <c r="T846" i="2"/>
  <c r="U846" i="2"/>
  <c r="V846" i="2"/>
  <c r="W846" i="2"/>
  <c r="X846" i="2"/>
  <c r="E847" i="2"/>
  <c r="F847" i="2"/>
  <c r="G847" i="2"/>
  <c r="H847" i="2"/>
  <c r="I847" i="2"/>
  <c r="J847" i="2"/>
  <c r="K847" i="2"/>
  <c r="L847" i="2"/>
  <c r="M847" i="2"/>
  <c r="N847" i="2"/>
  <c r="O847" i="2"/>
  <c r="Q847" i="2"/>
  <c r="R847" i="2"/>
  <c r="S847" i="2"/>
  <c r="T847" i="2"/>
  <c r="U847" i="2"/>
  <c r="V847" i="2"/>
  <c r="W847" i="2"/>
  <c r="X847" i="2"/>
  <c r="E848" i="2"/>
  <c r="F848" i="2"/>
  <c r="G848" i="2"/>
  <c r="H848" i="2"/>
  <c r="I848" i="2"/>
  <c r="J848" i="2"/>
  <c r="K848" i="2"/>
  <c r="L848" i="2"/>
  <c r="M848" i="2"/>
  <c r="N848" i="2"/>
  <c r="O848" i="2"/>
  <c r="P848" i="2" s="1"/>
  <c r="Q848" i="2"/>
  <c r="R848" i="2"/>
  <c r="S848" i="2"/>
  <c r="T848" i="2"/>
  <c r="U848" i="2"/>
  <c r="V848" i="2"/>
  <c r="W848" i="2"/>
  <c r="X848" i="2"/>
  <c r="E849" i="2"/>
  <c r="F849" i="2"/>
  <c r="G849" i="2"/>
  <c r="H849" i="2"/>
  <c r="I849" i="2"/>
  <c r="J849" i="2"/>
  <c r="K849" i="2"/>
  <c r="L849" i="2"/>
  <c r="M849" i="2"/>
  <c r="N849" i="2"/>
  <c r="O849" i="2"/>
  <c r="P849" i="2" s="1"/>
  <c r="Q849" i="2"/>
  <c r="R849" i="2"/>
  <c r="S849" i="2"/>
  <c r="T849" i="2"/>
  <c r="U849" i="2"/>
  <c r="V849" i="2"/>
  <c r="W849" i="2"/>
  <c r="X849" i="2"/>
  <c r="E850" i="2"/>
  <c r="F850" i="2"/>
  <c r="G850" i="2"/>
  <c r="H850" i="2"/>
  <c r="I850" i="2"/>
  <c r="J850" i="2"/>
  <c r="K850" i="2"/>
  <c r="L850" i="2"/>
  <c r="M850" i="2"/>
  <c r="N850" i="2"/>
  <c r="O850" i="2"/>
  <c r="P850" i="2" s="1"/>
  <c r="Q850" i="2"/>
  <c r="R850" i="2"/>
  <c r="S850" i="2"/>
  <c r="T850" i="2"/>
  <c r="U850" i="2"/>
  <c r="V850" i="2"/>
  <c r="W850" i="2"/>
  <c r="X850" i="2"/>
  <c r="E851" i="2"/>
  <c r="F851" i="2"/>
  <c r="G851" i="2"/>
  <c r="H851" i="2"/>
  <c r="I851" i="2"/>
  <c r="J851" i="2"/>
  <c r="K851" i="2"/>
  <c r="L851" i="2"/>
  <c r="M851" i="2"/>
  <c r="N851" i="2"/>
  <c r="O851" i="2"/>
  <c r="Q851" i="2"/>
  <c r="R851" i="2"/>
  <c r="S851" i="2"/>
  <c r="T851" i="2"/>
  <c r="U851" i="2"/>
  <c r="V851" i="2"/>
  <c r="W851" i="2"/>
  <c r="X851" i="2"/>
  <c r="E852" i="2"/>
  <c r="F852" i="2"/>
  <c r="G852" i="2"/>
  <c r="H852" i="2"/>
  <c r="I852" i="2"/>
  <c r="J852" i="2"/>
  <c r="K852" i="2"/>
  <c r="L852" i="2"/>
  <c r="M852" i="2"/>
  <c r="N852" i="2"/>
  <c r="O852" i="2"/>
  <c r="Q852" i="2"/>
  <c r="R852" i="2"/>
  <c r="S852" i="2"/>
  <c r="T852" i="2"/>
  <c r="U852" i="2"/>
  <c r="V852" i="2"/>
  <c r="W852" i="2"/>
  <c r="X852" i="2"/>
  <c r="E853" i="2"/>
  <c r="F853" i="2"/>
  <c r="G853" i="2"/>
  <c r="H853" i="2"/>
  <c r="I853" i="2"/>
  <c r="J853" i="2"/>
  <c r="K853" i="2"/>
  <c r="L853" i="2"/>
  <c r="M853" i="2"/>
  <c r="N853" i="2"/>
  <c r="O853" i="2"/>
  <c r="Q853" i="2"/>
  <c r="R853" i="2"/>
  <c r="S853" i="2"/>
  <c r="T853" i="2"/>
  <c r="U853" i="2"/>
  <c r="V853" i="2"/>
  <c r="W853" i="2"/>
  <c r="X853" i="2"/>
  <c r="E854" i="2"/>
  <c r="F854" i="2"/>
  <c r="G854" i="2"/>
  <c r="H854" i="2"/>
  <c r="I854" i="2"/>
  <c r="J854" i="2"/>
  <c r="K854" i="2"/>
  <c r="L854" i="2"/>
  <c r="M854" i="2"/>
  <c r="N854" i="2"/>
  <c r="O854" i="2"/>
  <c r="P854" i="2" s="1"/>
  <c r="Q854" i="2"/>
  <c r="R854" i="2"/>
  <c r="S854" i="2"/>
  <c r="T854" i="2"/>
  <c r="U854" i="2"/>
  <c r="V854" i="2"/>
  <c r="W854" i="2"/>
  <c r="X854" i="2"/>
  <c r="E855" i="2"/>
  <c r="F855" i="2"/>
  <c r="G855" i="2"/>
  <c r="H855" i="2"/>
  <c r="I855" i="2"/>
  <c r="J855" i="2"/>
  <c r="K855" i="2"/>
  <c r="L855" i="2"/>
  <c r="M855" i="2"/>
  <c r="N855" i="2"/>
  <c r="O855" i="2"/>
  <c r="P855" i="2" s="1"/>
  <c r="Q855" i="2"/>
  <c r="R855" i="2"/>
  <c r="S855" i="2"/>
  <c r="T855" i="2"/>
  <c r="U855" i="2"/>
  <c r="V855" i="2"/>
  <c r="W855" i="2"/>
  <c r="X855" i="2"/>
  <c r="E856" i="2"/>
  <c r="F856" i="2"/>
  <c r="G856" i="2"/>
  <c r="H856" i="2"/>
  <c r="I856" i="2"/>
  <c r="J856" i="2"/>
  <c r="K856" i="2"/>
  <c r="L856" i="2"/>
  <c r="M856" i="2"/>
  <c r="N856" i="2"/>
  <c r="O856" i="2"/>
  <c r="P856" i="2" s="1"/>
  <c r="Q856" i="2"/>
  <c r="R856" i="2"/>
  <c r="S856" i="2"/>
  <c r="T856" i="2"/>
  <c r="U856" i="2"/>
  <c r="V856" i="2"/>
  <c r="W856" i="2"/>
  <c r="X856" i="2"/>
  <c r="E857" i="2"/>
  <c r="F857" i="2"/>
  <c r="G857" i="2"/>
  <c r="H857" i="2"/>
  <c r="I857" i="2"/>
  <c r="J857" i="2"/>
  <c r="K857" i="2"/>
  <c r="L857" i="2"/>
  <c r="M857" i="2"/>
  <c r="N857" i="2"/>
  <c r="O857" i="2"/>
  <c r="Q857" i="2"/>
  <c r="R857" i="2"/>
  <c r="S857" i="2"/>
  <c r="T857" i="2"/>
  <c r="U857" i="2"/>
  <c r="V857" i="2"/>
  <c r="W857" i="2"/>
  <c r="X857" i="2"/>
  <c r="E858" i="2"/>
  <c r="F858" i="2"/>
  <c r="G858" i="2"/>
  <c r="H858" i="2"/>
  <c r="I858" i="2"/>
  <c r="J858" i="2"/>
  <c r="K858" i="2"/>
  <c r="L858" i="2"/>
  <c r="M858" i="2"/>
  <c r="N858" i="2"/>
  <c r="O858" i="2"/>
  <c r="Q858" i="2"/>
  <c r="R858" i="2"/>
  <c r="S858" i="2"/>
  <c r="T858" i="2"/>
  <c r="U858" i="2"/>
  <c r="V858" i="2"/>
  <c r="W858" i="2"/>
  <c r="X858" i="2"/>
  <c r="E859" i="2"/>
  <c r="F859" i="2"/>
  <c r="G859" i="2"/>
  <c r="H859" i="2"/>
  <c r="I859" i="2"/>
  <c r="J859" i="2"/>
  <c r="K859" i="2"/>
  <c r="L859" i="2"/>
  <c r="M859" i="2"/>
  <c r="N859" i="2"/>
  <c r="O859" i="2"/>
  <c r="Q859" i="2"/>
  <c r="R859" i="2"/>
  <c r="S859" i="2"/>
  <c r="T859" i="2"/>
  <c r="U859" i="2"/>
  <c r="V859" i="2"/>
  <c r="W859" i="2"/>
  <c r="X859" i="2"/>
  <c r="E860" i="2"/>
  <c r="F860" i="2"/>
  <c r="G860" i="2"/>
  <c r="H860" i="2"/>
  <c r="I860" i="2"/>
  <c r="J860" i="2"/>
  <c r="K860" i="2"/>
  <c r="L860" i="2"/>
  <c r="M860" i="2"/>
  <c r="N860" i="2"/>
  <c r="O860" i="2"/>
  <c r="P860" i="2" s="1"/>
  <c r="Q860" i="2"/>
  <c r="R860" i="2"/>
  <c r="S860" i="2"/>
  <c r="T860" i="2"/>
  <c r="U860" i="2"/>
  <c r="V860" i="2"/>
  <c r="W860" i="2"/>
  <c r="X860" i="2"/>
  <c r="E861" i="2"/>
  <c r="F861" i="2"/>
  <c r="G861" i="2"/>
  <c r="H861" i="2"/>
  <c r="I861" i="2"/>
  <c r="J861" i="2"/>
  <c r="K861" i="2"/>
  <c r="L861" i="2"/>
  <c r="M861" i="2"/>
  <c r="N861" i="2"/>
  <c r="O861" i="2"/>
  <c r="P861" i="2" s="1"/>
  <c r="Q861" i="2"/>
  <c r="R861" i="2"/>
  <c r="S861" i="2"/>
  <c r="T861" i="2"/>
  <c r="U861" i="2"/>
  <c r="V861" i="2"/>
  <c r="W861" i="2"/>
  <c r="X861" i="2"/>
  <c r="E862" i="2"/>
  <c r="F862" i="2"/>
  <c r="G862" i="2"/>
  <c r="H862" i="2"/>
  <c r="I862" i="2"/>
  <c r="J862" i="2"/>
  <c r="K862" i="2"/>
  <c r="L862" i="2"/>
  <c r="M862" i="2"/>
  <c r="N862" i="2"/>
  <c r="O862" i="2"/>
  <c r="P862" i="2" s="1"/>
  <c r="Q862" i="2"/>
  <c r="R862" i="2"/>
  <c r="S862" i="2"/>
  <c r="T862" i="2"/>
  <c r="U862" i="2"/>
  <c r="V862" i="2"/>
  <c r="W862" i="2"/>
  <c r="X862" i="2"/>
  <c r="E863" i="2"/>
  <c r="F863" i="2"/>
  <c r="G863" i="2"/>
  <c r="H863" i="2"/>
  <c r="I863" i="2"/>
  <c r="J863" i="2"/>
  <c r="K863" i="2"/>
  <c r="L863" i="2"/>
  <c r="M863" i="2"/>
  <c r="N863" i="2"/>
  <c r="O863" i="2"/>
  <c r="Q863" i="2"/>
  <c r="R863" i="2"/>
  <c r="S863" i="2"/>
  <c r="T863" i="2"/>
  <c r="U863" i="2"/>
  <c r="V863" i="2"/>
  <c r="W863" i="2"/>
  <c r="X863" i="2"/>
  <c r="E864" i="2"/>
  <c r="F864" i="2"/>
  <c r="G864" i="2"/>
  <c r="H864" i="2"/>
  <c r="I864" i="2"/>
  <c r="J864" i="2"/>
  <c r="K864" i="2"/>
  <c r="L864" i="2"/>
  <c r="M864" i="2"/>
  <c r="N864" i="2"/>
  <c r="O864" i="2"/>
  <c r="Q864" i="2"/>
  <c r="R864" i="2"/>
  <c r="S864" i="2"/>
  <c r="T864" i="2"/>
  <c r="U864" i="2"/>
  <c r="V864" i="2"/>
  <c r="W864" i="2"/>
  <c r="X864" i="2"/>
  <c r="E865" i="2"/>
  <c r="F865" i="2"/>
  <c r="G865" i="2"/>
  <c r="H865" i="2"/>
  <c r="I865" i="2"/>
  <c r="J865" i="2"/>
  <c r="K865" i="2"/>
  <c r="L865" i="2"/>
  <c r="M865" i="2"/>
  <c r="N865" i="2"/>
  <c r="O865" i="2"/>
  <c r="Q865" i="2"/>
  <c r="R865" i="2"/>
  <c r="S865" i="2"/>
  <c r="T865" i="2"/>
  <c r="U865" i="2"/>
  <c r="V865" i="2"/>
  <c r="W865" i="2"/>
  <c r="X865" i="2"/>
  <c r="E866" i="2"/>
  <c r="F866" i="2"/>
  <c r="G866" i="2"/>
  <c r="H866" i="2"/>
  <c r="I866" i="2"/>
  <c r="J866" i="2"/>
  <c r="K866" i="2"/>
  <c r="L866" i="2"/>
  <c r="M866" i="2"/>
  <c r="N866" i="2"/>
  <c r="O866" i="2"/>
  <c r="P866" i="2" s="1"/>
  <c r="Q866" i="2"/>
  <c r="R866" i="2"/>
  <c r="S866" i="2"/>
  <c r="T866" i="2"/>
  <c r="U866" i="2"/>
  <c r="V866" i="2"/>
  <c r="W866" i="2"/>
  <c r="X866" i="2"/>
  <c r="E867" i="2"/>
  <c r="F867" i="2"/>
  <c r="G867" i="2"/>
  <c r="H867" i="2"/>
  <c r="I867" i="2"/>
  <c r="J867" i="2"/>
  <c r="K867" i="2"/>
  <c r="L867" i="2"/>
  <c r="M867" i="2"/>
  <c r="N867" i="2"/>
  <c r="O867" i="2"/>
  <c r="P867" i="2" s="1"/>
  <c r="Q867" i="2"/>
  <c r="R867" i="2"/>
  <c r="S867" i="2"/>
  <c r="T867" i="2"/>
  <c r="U867" i="2"/>
  <c r="V867" i="2"/>
  <c r="W867" i="2"/>
  <c r="X867" i="2"/>
  <c r="E868" i="2"/>
  <c r="F868" i="2"/>
  <c r="G868" i="2"/>
  <c r="H868" i="2"/>
  <c r="I868" i="2"/>
  <c r="J868" i="2"/>
  <c r="K868" i="2"/>
  <c r="L868" i="2"/>
  <c r="M868" i="2"/>
  <c r="N868" i="2"/>
  <c r="O868" i="2"/>
  <c r="P868" i="2" s="1"/>
  <c r="Q868" i="2"/>
  <c r="R868" i="2"/>
  <c r="S868" i="2"/>
  <c r="T868" i="2"/>
  <c r="U868" i="2"/>
  <c r="V868" i="2"/>
  <c r="W868" i="2"/>
  <c r="X868" i="2"/>
  <c r="E869" i="2"/>
  <c r="F869" i="2"/>
  <c r="G869" i="2"/>
  <c r="H869" i="2"/>
  <c r="I869" i="2"/>
  <c r="J869" i="2"/>
  <c r="K869" i="2"/>
  <c r="L869" i="2"/>
  <c r="M869" i="2"/>
  <c r="N869" i="2"/>
  <c r="O869" i="2"/>
  <c r="Q869" i="2"/>
  <c r="R869" i="2"/>
  <c r="S869" i="2"/>
  <c r="T869" i="2"/>
  <c r="U869" i="2"/>
  <c r="V869" i="2"/>
  <c r="W869" i="2"/>
  <c r="X869" i="2"/>
  <c r="E870" i="2"/>
  <c r="F870" i="2"/>
  <c r="G870" i="2"/>
  <c r="H870" i="2"/>
  <c r="I870" i="2"/>
  <c r="J870" i="2"/>
  <c r="K870" i="2"/>
  <c r="L870" i="2"/>
  <c r="M870" i="2"/>
  <c r="N870" i="2"/>
  <c r="O870" i="2"/>
  <c r="Q870" i="2"/>
  <c r="R870" i="2"/>
  <c r="S870" i="2"/>
  <c r="T870" i="2"/>
  <c r="U870" i="2"/>
  <c r="V870" i="2"/>
  <c r="W870" i="2"/>
  <c r="X870" i="2"/>
  <c r="E871" i="2"/>
  <c r="F871" i="2"/>
  <c r="G871" i="2"/>
  <c r="H871" i="2"/>
  <c r="I871" i="2"/>
  <c r="J871" i="2"/>
  <c r="K871" i="2"/>
  <c r="L871" i="2"/>
  <c r="M871" i="2"/>
  <c r="N871" i="2"/>
  <c r="O871" i="2"/>
  <c r="Q871" i="2"/>
  <c r="R871" i="2"/>
  <c r="S871" i="2"/>
  <c r="T871" i="2"/>
  <c r="U871" i="2"/>
  <c r="V871" i="2"/>
  <c r="W871" i="2"/>
  <c r="X871" i="2"/>
  <c r="E872" i="2"/>
  <c r="F872" i="2"/>
  <c r="G872" i="2"/>
  <c r="H872" i="2"/>
  <c r="I872" i="2"/>
  <c r="J872" i="2"/>
  <c r="K872" i="2"/>
  <c r="L872" i="2"/>
  <c r="M872" i="2"/>
  <c r="N872" i="2"/>
  <c r="O872" i="2"/>
  <c r="P872" i="2" s="1"/>
  <c r="Q872" i="2"/>
  <c r="R872" i="2"/>
  <c r="S872" i="2"/>
  <c r="T872" i="2"/>
  <c r="U872" i="2"/>
  <c r="V872" i="2"/>
  <c r="W872" i="2"/>
  <c r="X872" i="2"/>
  <c r="E873" i="2"/>
  <c r="F873" i="2"/>
  <c r="G873" i="2"/>
  <c r="H873" i="2"/>
  <c r="I873" i="2"/>
  <c r="J873" i="2"/>
  <c r="K873" i="2"/>
  <c r="L873" i="2"/>
  <c r="M873" i="2"/>
  <c r="N873" i="2"/>
  <c r="O873" i="2"/>
  <c r="P873" i="2" s="1"/>
  <c r="Q873" i="2"/>
  <c r="R873" i="2"/>
  <c r="S873" i="2"/>
  <c r="T873" i="2"/>
  <c r="U873" i="2"/>
  <c r="V873" i="2"/>
  <c r="W873" i="2"/>
  <c r="X873" i="2"/>
  <c r="E874" i="2"/>
  <c r="F874" i="2"/>
  <c r="G874" i="2"/>
  <c r="H874" i="2"/>
  <c r="I874" i="2"/>
  <c r="J874" i="2"/>
  <c r="K874" i="2"/>
  <c r="L874" i="2"/>
  <c r="M874" i="2"/>
  <c r="N874" i="2"/>
  <c r="O874" i="2"/>
  <c r="P874" i="2" s="1"/>
  <c r="Q874" i="2"/>
  <c r="R874" i="2"/>
  <c r="S874" i="2"/>
  <c r="T874" i="2"/>
  <c r="U874" i="2"/>
  <c r="V874" i="2"/>
  <c r="W874" i="2"/>
  <c r="X874" i="2"/>
  <c r="E875" i="2"/>
  <c r="F875" i="2"/>
  <c r="G875" i="2"/>
  <c r="H875" i="2"/>
  <c r="I875" i="2"/>
  <c r="J875" i="2"/>
  <c r="K875" i="2"/>
  <c r="L875" i="2"/>
  <c r="M875" i="2"/>
  <c r="N875" i="2"/>
  <c r="O875" i="2"/>
  <c r="Q875" i="2"/>
  <c r="R875" i="2"/>
  <c r="S875" i="2"/>
  <c r="T875" i="2"/>
  <c r="U875" i="2"/>
  <c r="V875" i="2"/>
  <c r="W875" i="2"/>
  <c r="X875" i="2"/>
  <c r="E876" i="2"/>
  <c r="F876" i="2"/>
  <c r="G876" i="2"/>
  <c r="H876" i="2"/>
  <c r="I876" i="2"/>
  <c r="J876" i="2"/>
  <c r="K876" i="2"/>
  <c r="L876" i="2"/>
  <c r="M876" i="2"/>
  <c r="N876" i="2"/>
  <c r="O876" i="2"/>
  <c r="Q876" i="2"/>
  <c r="R876" i="2"/>
  <c r="S876" i="2"/>
  <c r="T876" i="2"/>
  <c r="U876" i="2"/>
  <c r="V876" i="2"/>
  <c r="W876" i="2"/>
  <c r="X876" i="2"/>
  <c r="E877" i="2"/>
  <c r="F877" i="2"/>
  <c r="G877" i="2"/>
  <c r="H877" i="2"/>
  <c r="I877" i="2"/>
  <c r="J877" i="2"/>
  <c r="K877" i="2"/>
  <c r="L877" i="2"/>
  <c r="M877" i="2"/>
  <c r="N877" i="2"/>
  <c r="O877" i="2"/>
  <c r="Q877" i="2"/>
  <c r="R877" i="2"/>
  <c r="S877" i="2"/>
  <c r="T877" i="2"/>
  <c r="U877" i="2"/>
  <c r="V877" i="2"/>
  <c r="W877" i="2"/>
  <c r="X877" i="2"/>
  <c r="E878" i="2"/>
  <c r="F878" i="2"/>
  <c r="G878" i="2"/>
  <c r="H878" i="2"/>
  <c r="I878" i="2"/>
  <c r="J878" i="2"/>
  <c r="K878" i="2"/>
  <c r="L878" i="2"/>
  <c r="M878" i="2"/>
  <c r="N878" i="2"/>
  <c r="O878" i="2"/>
  <c r="P878" i="2" s="1"/>
  <c r="Q878" i="2"/>
  <c r="R878" i="2"/>
  <c r="S878" i="2"/>
  <c r="T878" i="2"/>
  <c r="U878" i="2"/>
  <c r="V878" i="2"/>
  <c r="W878" i="2"/>
  <c r="X878" i="2"/>
  <c r="E879" i="2"/>
  <c r="F879" i="2"/>
  <c r="G879" i="2"/>
  <c r="H879" i="2"/>
  <c r="I879" i="2"/>
  <c r="J879" i="2"/>
  <c r="K879" i="2"/>
  <c r="L879" i="2"/>
  <c r="M879" i="2"/>
  <c r="N879" i="2"/>
  <c r="O879" i="2"/>
  <c r="P879" i="2" s="1"/>
  <c r="Q879" i="2"/>
  <c r="R879" i="2"/>
  <c r="S879" i="2"/>
  <c r="T879" i="2"/>
  <c r="U879" i="2"/>
  <c r="V879" i="2"/>
  <c r="W879" i="2"/>
  <c r="X879" i="2"/>
  <c r="E880" i="2"/>
  <c r="F880" i="2"/>
  <c r="G880" i="2"/>
  <c r="H880" i="2"/>
  <c r="I880" i="2"/>
  <c r="J880" i="2"/>
  <c r="K880" i="2"/>
  <c r="L880" i="2"/>
  <c r="M880" i="2"/>
  <c r="N880" i="2"/>
  <c r="O880" i="2"/>
  <c r="P880" i="2" s="1"/>
  <c r="Q880" i="2"/>
  <c r="R880" i="2"/>
  <c r="S880" i="2"/>
  <c r="T880" i="2"/>
  <c r="U880" i="2"/>
  <c r="V880" i="2"/>
  <c r="W880" i="2"/>
  <c r="X880" i="2"/>
  <c r="E881" i="2"/>
  <c r="F881" i="2"/>
  <c r="G881" i="2"/>
  <c r="H881" i="2"/>
  <c r="I881" i="2"/>
  <c r="J881" i="2"/>
  <c r="K881" i="2"/>
  <c r="L881" i="2"/>
  <c r="M881" i="2"/>
  <c r="N881" i="2"/>
  <c r="O881" i="2"/>
  <c r="Q881" i="2"/>
  <c r="R881" i="2"/>
  <c r="S881" i="2"/>
  <c r="T881" i="2"/>
  <c r="U881" i="2"/>
  <c r="V881" i="2"/>
  <c r="W881" i="2"/>
  <c r="X881" i="2"/>
  <c r="E882" i="2"/>
  <c r="F882" i="2"/>
  <c r="G882" i="2"/>
  <c r="H882" i="2"/>
  <c r="I882" i="2"/>
  <c r="J882" i="2"/>
  <c r="K882" i="2"/>
  <c r="L882" i="2"/>
  <c r="M882" i="2"/>
  <c r="N882" i="2"/>
  <c r="O882" i="2"/>
  <c r="Q882" i="2"/>
  <c r="R882" i="2"/>
  <c r="S882" i="2"/>
  <c r="T882" i="2"/>
  <c r="U882" i="2"/>
  <c r="V882" i="2"/>
  <c r="W882" i="2"/>
  <c r="X882" i="2"/>
  <c r="E883" i="2"/>
  <c r="F883" i="2"/>
  <c r="G883" i="2"/>
  <c r="H883" i="2"/>
  <c r="I883" i="2"/>
  <c r="J883" i="2"/>
  <c r="K883" i="2"/>
  <c r="L883" i="2"/>
  <c r="M883" i="2"/>
  <c r="N883" i="2"/>
  <c r="O883" i="2"/>
  <c r="Q883" i="2"/>
  <c r="R883" i="2"/>
  <c r="S883" i="2"/>
  <c r="T883" i="2"/>
  <c r="U883" i="2"/>
  <c r="V883" i="2"/>
  <c r="W883" i="2"/>
  <c r="X883" i="2"/>
  <c r="E884" i="2"/>
  <c r="F884" i="2"/>
  <c r="G884" i="2"/>
  <c r="H884" i="2"/>
  <c r="I884" i="2"/>
  <c r="J884" i="2"/>
  <c r="K884" i="2"/>
  <c r="L884" i="2"/>
  <c r="M884" i="2"/>
  <c r="N884" i="2"/>
  <c r="O884" i="2"/>
  <c r="P884" i="2" s="1"/>
  <c r="Q884" i="2"/>
  <c r="R884" i="2"/>
  <c r="S884" i="2"/>
  <c r="T884" i="2"/>
  <c r="U884" i="2"/>
  <c r="V884" i="2"/>
  <c r="W884" i="2"/>
  <c r="X884" i="2"/>
  <c r="E885" i="2"/>
  <c r="F885" i="2"/>
  <c r="G885" i="2"/>
  <c r="H885" i="2"/>
  <c r="I885" i="2"/>
  <c r="J885" i="2"/>
  <c r="K885" i="2"/>
  <c r="L885" i="2"/>
  <c r="M885" i="2"/>
  <c r="N885" i="2"/>
  <c r="O885" i="2"/>
  <c r="P885" i="2" s="1"/>
  <c r="Q885" i="2"/>
  <c r="R885" i="2"/>
  <c r="S885" i="2"/>
  <c r="T885" i="2"/>
  <c r="U885" i="2"/>
  <c r="V885" i="2"/>
  <c r="W885" i="2"/>
  <c r="X885" i="2"/>
  <c r="E886" i="2"/>
  <c r="F886" i="2"/>
  <c r="G886" i="2"/>
  <c r="H886" i="2"/>
  <c r="I886" i="2"/>
  <c r="J886" i="2"/>
  <c r="K886" i="2"/>
  <c r="L886" i="2"/>
  <c r="M886" i="2"/>
  <c r="N886" i="2"/>
  <c r="O886" i="2"/>
  <c r="P886" i="2" s="1"/>
  <c r="Q886" i="2"/>
  <c r="R886" i="2"/>
  <c r="S886" i="2"/>
  <c r="T886" i="2"/>
  <c r="U886" i="2"/>
  <c r="V886" i="2"/>
  <c r="W886" i="2"/>
  <c r="X886" i="2"/>
  <c r="E887" i="2"/>
  <c r="F887" i="2"/>
  <c r="G887" i="2"/>
  <c r="H887" i="2"/>
  <c r="I887" i="2"/>
  <c r="J887" i="2"/>
  <c r="K887" i="2"/>
  <c r="L887" i="2"/>
  <c r="M887" i="2"/>
  <c r="N887" i="2"/>
  <c r="O887" i="2"/>
  <c r="Q887" i="2"/>
  <c r="R887" i="2"/>
  <c r="S887" i="2"/>
  <c r="T887" i="2"/>
  <c r="U887" i="2"/>
  <c r="V887" i="2"/>
  <c r="W887" i="2"/>
  <c r="X887" i="2"/>
  <c r="E888" i="2"/>
  <c r="F888" i="2"/>
  <c r="G888" i="2"/>
  <c r="H888" i="2"/>
  <c r="I888" i="2"/>
  <c r="J888" i="2"/>
  <c r="K888" i="2"/>
  <c r="L888" i="2"/>
  <c r="M888" i="2"/>
  <c r="N888" i="2"/>
  <c r="O888" i="2"/>
  <c r="Q888" i="2"/>
  <c r="R888" i="2"/>
  <c r="S888" i="2"/>
  <c r="T888" i="2"/>
  <c r="U888" i="2"/>
  <c r="V888" i="2"/>
  <c r="W888" i="2"/>
  <c r="X888" i="2"/>
  <c r="E889" i="2"/>
  <c r="F889" i="2"/>
  <c r="G889" i="2"/>
  <c r="H889" i="2"/>
  <c r="I889" i="2"/>
  <c r="J889" i="2"/>
  <c r="K889" i="2"/>
  <c r="L889" i="2"/>
  <c r="M889" i="2"/>
  <c r="N889" i="2"/>
  <c r="O889" i="2"/>
  <c r="Q889" i="2"/>
  <c r="R889" i="2"/>
  <c r="S889" i="2"/>
  <c r="T889" i="2"/>
  <c r="U889" i="2"/>
  <c r="V889" i="2"/>
  <c r="W889" i="2"/>
  <c r="X889" i="2"/>
  <c r="E890" i="2"/>
  <c r="F890" i="2"/>
  <c r="G890" i="2"/>
  <c r="H890" i="2"/>
  <c r="I890" i="2"/>
  <c r="J890" i="2"/>
  <c r="K890" i="2"/>
  <c r="L890" i="2"/>
  <c r="M890" i="2"/>
  <c r="N890" i="2"/>
  <c r="O890" i="2"/>
  <c r="P890" i="2" s="1"/>
  <c r="Q890" i="2"/>
  <c r="R890" i="2"/>
  <c r="S890" i="2"/>
  <c r="T890" i="2"/>
  <c r="U890" i="2"/>
  <c r="V890" i="2"/>
  <c r="W890" i="2"/>
  <c r="X890" i="2"/>
  <c r="E891" i="2"/>
  <c r="F891" i="2"/>
  <c r="G891" i="2"/>
  <c r="H891" i="2"/>
  <c r="I891" i="2"/>
  <c r="J891" i="2"/>
  <c r="K891" i="2"/>
  <c r="L891" i="2"/>
  <c r="M891" i="2"/>
  <c r="N891" i="2"/>
  <c r="O891" i="2"/>
  <c r="P891" i="2" s="1"/>
  <c r="Q891" i="2"/>
  <c r="R891" i="2"/>
  <c r="S891" i="2"/>
  <c r="T891" i="2"/>
  <c r="U891" i="2"/>
  <c r="V891" i="2"/>
  <c r="W891" i="2"/>
  <c r="X891" i="2"/>
  <c r="E892" i="2"/>
  <c r="F892" i="2"/>
  <c r="G892" i="2"/>
  <c r="H892" i="2"/>
  <c r="I892" i="2"/>
  <c r="J892" i="2"/>
  <c r="K892" i="2"/>
  <c r="L892" i="2"/>
  <c r="M892" i="2"/>
  <c r="N892" i="2"/>
  <c r="O892" i="2"/>
  <c r="P892" i="2" s="1"/>
  <c r="Q892" i="2"/>
  <c r="R892" i="2"/>
  <c r="S892" i="2"/>
  <c r="T892" i="2"/>
  <c r="U892" i="2"/>
  <c r="V892" i="2"/>
  <c r="W892" i="2"/>
  <c r="X892" i="2"/>
  <c r="E893" i="2"/>
  <c r="F893" i="2"/>
  <c r="G893" i="2"/>
  <c r="H893" i="2"/>
  <c r="I893" i="2"/>
  <c r="J893" i="2"/>
  <c r="K893" i="2"/>
  <c r="L893" i="2"/>
  <c r="M893" i="2"/>
  <c r="N893" i="2"/>
  <c r="O893" i="2"/>
  <c r="Q893" i="2"/>
  <c r="R893" i="2"/>
  <c r="S893" i="2"/>
  <c r="T893" i="2"/>
  <c r="U893" i="2"/>
  <c r="V893" i="2"/>
  <c r="W893" i="2"/>
  <c r="X893" i="2"/>
  <c r="E894" i="2"/>
  <c r="F894" i="2"/>
  <c r="G894" i="2"/>
  <c r="H894" i="2"/>
  <c r="I894" i="2"/>
  <c r="J894" i="2"/>
  <c r="K894" i="2"/>
  <c r="L894" i="2"/>
  <c r="M894" i="2"/>
  <c r="N894" i="2"/>
  <c r="O894" i="2"/>
  <c r="Q894" i="2"/>
  <c r="R894" i="2"/>
  <c r="S894" i="2"/>
  <c r="T894" i="2"/>
  <c r="U894" i="2"/>
  <c r="V894" i="2"/>
  <c r="W894" i="2"/>
  <c r="X894" i="2"/>
  <c r="E895" i="2"/>
  <c r="F895" i="2"/>
  <c r="G895" i="2"/>
  <c r="H895" i="2"/>
  <c r="I895" i="2"/>
  <c r="J895" i="2"/>
  <c r="K895" i="2"/>
  <c r="L895" i="2"/>
  <c r="M895" i="2"/>
  <c r="N895" i="2"/>
  <c r="O895" i="2"/>
  <c r="Q895" i="2"/>
  <c r="R895" i="2"/>
  <c r="S895" i="2"/>
  <c r="T895" i="2"/>
  <c r="U895" i="2"/>
  <c r="V895" i="2"/>
  <c r="W895" i="2"/>
  <c r="X895" i="2"/>
  <c r="E896" i="2"/>
  <c r="F896" i="2"/>
  <c r="G896" i="2"/>
  <c r="H896" i="2"/>
  <c r="I896" i="2"/>
  <c r="J896" i="2"/>
  <c r="K896" i="2"/>
  <c r="L896" i="2"/>
  <c r="M896" i="2"/>
  <c r="N896" i="2"/>
  <c r="O896" i="2"/>
  <c r="P896" i="2" s="1"/>
  <c r="Q896" i="2"/>
  <c r="R896" i="2"/>
  <c r="S896" i="2"/>
  <c r="T896" i="2"/>
  <c r="U896" i="2"/>
  <c r="V896" i="2"/>
  <c r="W896" i="2"/>
  <c r="X896" i="2"/>
  <c r="E897" i="2"/>
  <c r="F897" i="2"/>
  <c r="G897" i="2"/>
  <c r="H897" i="2"/>
  <c r="I897" i="2"/>
  <c r="J897" i="2"/>
  <c r="K897" i="2"/>
  <c r="L897" i="2"/>
  <c r="M897" i="2"/>
  <c r="N897" i="2"/>
  <c r="O897" i="2"/>
  <c r="P897" i="2" s="1"/>
  <c r="Q897" i="2"/>
  <c r="R897" i="2"/>
  <c r="S897" i="2"/>
  <c r="T897" i="2"/>
  <c r="U897" i="2"/>
  <c r="V897" i="2"/>
  <c r="W897" i="2"/>
  <c r="X897" i="2"/>
  <c r="E898" i="2"/>
  <c r="F898" i="2"/>
  <c r="G898" i="2"/>
  <c r="H898" i="2"/>
  <c r="I898" i="2"/>
  <c r="J898" i="2"/>
  <c r="K898" i="2"/>
  <c r="L898" i="2"/>
  <c r="M898" i="2"/>
  <c r="N898" i="2"/>
  <c r="O898" i="2"/>
  <c r="P898" i="2" s="1"/>
  <c r="Q898" i="2"/>
  <c r="R898" i="2"/>
  <c r="S898" i="2"/>
  <c r="T898" i="2"/>
  <c r="U898" i="2"/>
  <c r="V898" i="2"/>
  <c r="W898" i="2"/>
  <c r="X898" i="2"/>
  <c r="E899" i="2"/>
  <c r="F899" i="2"/>
  <c r="G899" i="2"/>
  <c r="H899" i="2"/>
  <c r="I899" i="2"/>
  <c r="J899" i="2"/>
  <c r="K899" i="2"/>
  <c r="L899" i="2"/>
  <c r="M899" i="2"/>
  <c r="N899" i="2"/>
  <c r="O899" i="2"/>
  <c r="Q899" i="2"/>
  <c r="R899" i="2"/>
  <c r="S899" i="2"/>
  <c r="T899" i="2"/>
  <c r="U899" i="2"/>
  <c r="V899" i="2"/>
  <c r="W899" i="2"/>
  <c r="X899" i="2"/>
  <c r="E900" i="2"/>
  <c r="F900" i="2"/>
  <c r="G900" i="2"/>
  <c r="H900" i="2"/>
  <c r="I900" i="2"/>
  <c r="J900" i="2"/>
  <c r="K900" i="2"/>
  <c r="L900" i="2"/>
  <c r="M900" i="2"/>
  <c r="N900" i="2"/>
  <c r="O900" i="2"/>
  <c r="Q900" i="2"/>
  <c r="R900" i="2"/>
  <c r="S900" i="2"/>
  <c r="T900" i="2"/>
  <c r="U900" i="2"/>
  <c r="V900" i="2"/>
  <c r="W900" i="2"/>
  <c r="X900" i="2"/>
  <c r="E901" i="2"/>
  <c r="F901" i="2"/>
  <c r="G901" i="2"/>
  <c r="H901" i="2"/>
  <c r="I901" i="2"/>
  <c r="J901" i="2"/>
  <c r="K901" i="2"/>
  <c r="L901" i="2"/>
  <c r="M901" i="2"/>
  <c r="N901" i="2"/>
  <c r="O901" i="2"/>
  <c r="Q901" i="2"/>
  <c r="R901" i="2"/>
  <c r="S901" i="2"/>
  <c r="T901" i="2"/>
  <c r="U901" i="2"/>
  <c r="V901" i="2"/>
  <c r="W901" i="2"/>
  <c r="X901" i="2"/>
  <c r="E902" i="2"/>
  <c r="F902" i="2"/>
  <c r="G902" i="2"/>
  <c r="H902" i="2"/>
  <c r="I902" i="2"/>
  <c r="J902" i="2"/>
  <c r="K902" i="2"/>
  <c r="L902" i="2"/>
  <c r="M902" i="2"/>
  <c r="N902" i="2"/>
  <c r="O902" i="2"/>
  <c r="P902" i="2" s="1"/>
  <c r="Q902" i="2"/>
  <c r="R902" i="2"/>
  <c r="S902" i="2"/>
  <c r="T902" i="2"/>
  <c r="U902" i="2"/>
  <c r="V902" i="2"/>
  <c r="W902" i="2"/>
  <c r="X902" i="2"/>
  <c r="E903" i="2"/>
  <c r="F903" i="2"/>
  <c r="G903" i="2"/>
  <c r="H903" i="2"/>
  <c r="I903" i="2"/>
  <c r="J903" i="2"/>
  <c r="K903" i="2"/>
  <c r="L903" i="2"/>
  <c r="M903" i="2"/>
  <c r="N903" i="2"/>
  <c r="O903" i="2"/>
  <c r="P903" i="2" s="1"/>
  <c r="Q903" i="2"/>
  <c r="R903" i="2"/>
  <c r="S903" i="2"/>
  <c r="T903" i="2"/>
  <c r="U903" i="2"/>
  <c r="V903" i="2"/>
  <c r="W903" i="2"/>
  <c r="X903" i="2"/>
  <c r="X803" i="2"/>
  <c r="W803" i="2"/>
  <c r="V803" i="2"/>
  <c r="U803" i="2"/>
  <c r="T803" i="2"/>
  <c r="S803" i="2"/>
  <c r="R803" i="2"/>
  <c r="Q803" i="2"/>
  <c r="O803" i="2"/>
  <c r="P803" i="2" s="1"/>
  <c r="N803" i="2"/>
  <c r="M803" i="2"/>
  <c r="L803" i="2"/>
  <c r="K803" i="2"/>
  <c r="J803" i="2"/>
  <c r="I803" i="2"/>
  <c r="H803" i="2"/>
  <c r="G803" i="2"/>
  <c r="F803" i="2"/>
  <c r="E803" i="2"/>
  <c r="E712" i="2"/>
  <c r="F712" i="2"/>
  <c r="G712" i="2"/>
  <c r="H712" i="2"/>
  <c r="I712" i="2"/>
  <c r="J712" i="2"/>
  <c r="K712" i="2"/>
  <c r="L712" i="2"/>
  <c r="M712" i="2"/>
  <c r="N712" i="2"/>
  <c r="O712" i="2"/>
  <c r="Q712" i="2"/>
  <c r="R712" i="2"/>
  <c r="S712" i="2"/>
  <c r="T712" i="2"/>
  <c r="U712" i="2"/>
  <c r="V712" i="2"/>
  <c r="W712" i="2"/>
  <c r="X712" i="2"/>
  <c r="E713" i="2"/>
  <c r="F713" i="2"/>
  <c r="G713" i="2"/>
  <c r="H713" i="2"/>
  <c r="I713" i="2"/>
  <c r="J713" i="2"/>
  <c r="K713" i="2"/>
  <c r="L713" i="2"/>
  <c r="M713" i="2"/>
  <c r="N713" i="2"/>
  <c r="O713" i="2"/>
  <c r="Q713" i="2"/>
  <c r="R713" i="2"/>
  <c r="S713" i="2"/>
  <c r="T713" i="2"/>
  <c r="U713" i="2"/>
  <c r="V713" i="2"/>
  <c r="W713" i="2"/>
  <c r="X713" i="2"/>
  <c r="E714" i="2"/>
  <c r="F714" i="2"/>
  <c r="G714" i="2"/>
  <c r="H714" i="2"/>
  <c r="I714" i="2"/>
  <c r="J714" i="2"/>
  <c r="K714" i="2"/>
  <c r="L714" i="2"/>
  <c r="M714" i="2"/>
  <c r="N714" i="2"/>
  <c r="O714" i="2"/>
  <c r="Q714" i="2"/>
  <c r="R714" i="2"/>
  <c r="S714" i="2"/>
  <c r="T714" i="2"/>
  <c r="U714" i="2"/>
  <c r="V714" i="2"/>
  <c r="W714" i="2"/>
  <c r="X714" i="2"/>
  <c r="E715" i="2"/>
  <c r="F715" i="2"/>
  <c r="G715" i="2"/>
  <c r="H715" i="2"/>
  <c r="I715" i="2"/>
  <c r="J715" i="2"/>
  <c r="K715" i="2"/>
  <c r="L715" i="2"/>
  <c r="M715" i="2"/>
  <c r="N715" i="2"/>
  <c r="O715" i="2"/>
  <c r="P715" i="2" s="1"/>
  <c r="Q715" i="2"/>
  <c r="R715" i="2"/>
  <c r="S715" i="2"/>
  <c r="T715" i="2"/>
  <c r="U715" i="2"/>
  <c r="V715" i="2"/>
  <c r="W715" i="2"/>
  <c r="X715" i="2"/>
  <c r="E716" i="2"/>
  <c r="F716" i="2"/>
  <c r="G716" i="2"/>
  <c r="H716" i="2"/>
  <c r="I716" i="2"/>
  <c r="J716" i="2"/>
  <c r="K716" i="2"/>
  <c r="L716" i="2"/>
  <c r="M716" i="2"/>
  <c r="N716" i="2"/>
  <c r="O716" i="2"/>
  <c r="P716" i="2" s="1"/>
  <c r="Q716" i="2"/>
  <c r="R716" i="2"/>
  <c r="S716" i="2"/>
  <c r="T716" i="2"/>
  <c r="U716" i="2"/>
  <c r="V716" i="2"/>
  <c r="W716" i="2"/>
  <c r="X716" i="2"/>
  <c r="E717" i="2"/>
  <c r="F717" i="2"/>
  <c r="G717" i="2"/>
  <c r="H717" i="2"/>
  <c r="I717" i="2"/>
  <c r="J717" i="2"/>
  <c r="K717" i="2"/>
  <c r="L717" i="2"/>
  <c r="M717" i="2"/>
  <c r="N717" i="2"/>
  <c r="O717" i="2"/>
  <c r="P717" i="2" s="1"/>
  <c r="Q717" i="2"/>
  <c r="R717" i="2"/>
  <c r="S717" i="2"/>
  <c r="T717" i="2"/>
  <c r="U717" i="2"/>
  <c r="V717" i="2"/>
  <c r="W717" i="2"/>
  <c r="X717" i="2"/>
  <c r="E718" i="2"/>
  <c r="F718" i="2"/>
  <c r="G718" i="2"/>
  <c r="H718" i="2"/>
  <c r="I718" i="2"/>
  <c r="J718" i="2"/>
  <c r="K718" i="2"/>
  <c r="L718" i="2"/>
  <c r="M718" i="2"/>
  <c r="N718" i="2"/>
  <c r="O718" i="2"/>
  <c r="Q718" i="2"/>
  <c r="R718" i="2"/>
  <c r="S718" i="2"/>
  <c r="T718" i="2"/>
  <c r="U718" i="2"/>
  <c r="V718" i="2"/>
  <c r="W718" i="2"/>
  <c r="X718" i="2"/>
  <c r="E719" i="2"/>
  <c r="F719" i="2"/>
  <c r="G719" i="2"/>
  <c r="H719" i="2"/>
  <c r="I719" i="2"/>
  <c r="J719" i="2"/>
  <c r="K719" i="2"/>
  <c r="L719" i="2"/>
  <c r="M719" i="2"/>
  <c r="N719" i="2"/>
  <c r="O719" i="2"/>
  <c r="Q719" i="2"/>
  <c r="R719" i="2"/>
  <c r="S719" i="2"/>
  <c r="T719" i="2"/>
  <c r="U719" i="2"/>
  <c r="V719" i="2"/>
  <c r="W719" i="2"/>
  <c r="X719" i="2"/>
  <c r="E720" i="2"/>
  <c r="F720" i="2"/>
  <c r="G720" i="2"/>
  <c r="H720" i="2"/>
  <c r="I720" i="2"/>
  <c r="J720" i="2"/>
  <c r="K720" i="2"/>
  <c r="L720" i="2"/>
  <c r="M720" i="2"/>
  <c r="N720" i="2"/>
  <c r="O720" i="2"/>
  <c r="Q720" i="2"/>
  <c r="R720" i="2"/>
  <c r="S720" i="2"/>
  <c r="T720" i="2"/>
  <c r="U720" i="2"/>
  <c r="V720" i="2"/>
  <c r="W720" i="2"/>
  <c r="X720" i="2"/>
  <c r="E721" i="2"/>
  <c r="F721" i="2"/>
  <c r="G721" i="2"/>
  <c r="H721" i="2"/>
  <c r="I721" i="2"/>
  <c r="J721" i="2"/>
  <c r="K721" i="2"/>
  <c r="L721" i="2"/>
  <c r="M721" i="2"/>
  <c r="N721" i="2"/>
  <c r="O721" i="2"/>
  <c r="P721" i="2" s="1"/>
  <c r="Q721" i="2"/>
  <c r="R721" i="2"/>
  <c r="S721" i="2"/>
  <c r="T721" i="2"/>
  <c r="U721" i="2"/>
  <c r="V721" i="2"/>
  <c r="W721" i="2"/>
  <c r="X721" i="2"/>
  <c r="E722" i="2"/>
  <c r="F722" i="2"/>
  <c r="G722" i="2"/>
  <c r="H722" i="2"/>
  <c r="I722" i="2"/>
  <c r="J722" i="2"/>
  <c r="K722" i="2"/>
  <c r="L722" i="2"/>
  <c r="M722" i="2"/>
  <c r="N722" i="2"/>
  <c r="O722" i="2"/>
  <c r="P722" i="2" s="1"/>
  <c r="Q722" i="2"/>
  <c r="R722" i="2"/>
  <c r="S722" i="2"/>
  <c r="T722" i="2"/>
  <c r="U722" i="2"/>
  <c r="V722" i="2"/>
  <c r="W722" i="2"/>
  <c r="X722" i="2"/>
  <c r="E723" i="2"/>
  <c r="F723" i="2"/>
  <c r="G723" i="2"/>
  <c r="H723" i="2"/>
  <c r="I723" i="2"/>
  <c r="J723" i="2"/>
  <c r="K723" i="2"/>
  <c r="L723" i="2"/>
  <c r="M723" i="2"/>
  <c r="N723" i="2"/>
  <c r="O723" i="2"/>
  <c r="P723" i="2" s="1"/>
  <c r="Q723" i="2"/>
  <c r="R723" i="2"/>
  <c r="S723" i="2"/>
  <c r="T723" i="2"/>
  <c r="U723" i="2"/>
  <c r="V723" i="2"/>
  <c r="W723" i="2"/>
  <c r="X723" i="2"/>
  <c r="E724" i="2"/>
  <c r="F724" i="2"/>
  <c r="G724" i="2"/>
  <c r="H724" i="2"/>
  <c r="I724" i="2"/>
  <c r="J724" i="2"/>
  <c r="K724" i="2"/>
  <c r="L724" i="2"/>
  <c r="M724" i="2"/>
  <c r="N724" i="2"/>
  <c r="O724" i="2"/>
  <c r="Q724" i="2"/>
  <c r="R724" i="2"/>
  <c r="S724" i="2"/>
  <c r="T724" i="2"/>
  <c r="U724" i="2"/>
  <c r="V724" i="2"/>
  <c r="W724" i="2"/>
  <c r="X724" i="2"/>
  <c r="E725" i="2"/>
  <c r="F725" i="2"/>
  <c r="G725" i="2"/>
  <c r="H725" i="2"/>
  <c r="I725" i="2"/>
  <c r="J725" i="2"/>
  <c r="K725" i="2"/>
  <c r="L725" i="2"/>
  <c r="M725" i="2"/>
  <c r="N725" i="2"/>
  <c r="O725" i="2"/>
  <c r="Q725" i="2"/>
  <c r="R725" i="2"/>
  <c r="S725" i="2"/>
  <c r="T725" i="2"/>
  <c r="U725" i="2"/>
  <c r="V725" i="2"/>
  <c r="W725" i="2"/>
  <c r="X725" i="2"/>
  <c r="E726" i="2"/>
  <c r="F726" i="2"/>
  <c r="G726" i="2"/>
  <c r="H726" i="2"/>
  <c r="I726" i="2"/>
  <c r="J726" i="2"/>
  <c r="K726" i="2"/>
  <c r="L726" i="2"/>
  <c r="M726" i="2"/>
  <c r="N726" i="2"/>
  <c r="O726" i="2"/>
  <c r="Q726" i="2"/>
  <c r="R726" i="2"/>
  <c r="S726" i="2"/>
  <c r="T726" i="2"/>
  <c r="U726" i="2"/>
  <c r="V726" i="2"/>
  <c r="W726" i="2"/>
  <c r="X726" i="2"/>
  <c r="E727" i="2"/>
  <c r="F727" i="2"/>
  <c r="G727" i="2"/>
  <c r="H727" i="2"/>
  <c r="I727" i="2"/>
  <c r="J727" i="2"/>
  <c r="K727" i="2"/>
  <c r="L727" i="2"/>
  <c r="M727" i="2"/>
  <c r="N727" i="2"/>
  <c r="O727" i="2"/>
  <c r="P727" i="2" s="1"/>
  <c r="Q727" i="2"/>
  <c r="R727" i="2"/>
  <c r="S727" i="2"/>
  <c r="T727" i="2"/>
  <c r="U727" i="2"/>
  <c r="V727" i="2"/>
  <c r="W727" i="2"/>
  <c r="X727" i="2"/>
  <c r="E728" i="2"/>
  <c r="F728" i="2"/>
  <c r="G728" i="2"/>
  <c r="H728" i="2"/>
  <c r="I728" i="2"/>
  <c r="J728" i="2"/>
  <c r="K728" i="2"/>
  <c r="L728" i="2"/>
  <c r="M728" i="2"/>
  <c r="N728" i="2"/>
  <c r="O728" i="2"/>
  <c r="P728" i="2" s="1"/>
  <c r="Q728" i="2"/>
  <c r="R728" i="2"/>
  <c r="S728" i="2"/>
  <c r="T728" i="2"/>
  <c r="U728" i="2"/>
  <c r="V728" i="2"/>
  <c r="W728" i="2"/>
  <c r="X728" i="2"/>
  <c r="E729" i="2"/>
  <c r="F729" i="2"/>
  <c r="G729" i="2"/>
  <c r="H729" i="2"/>
  <c r="I729" i="2"/>
  <c r="J729" i="2"/>
  <c r="K729" i="2"/>
  <c r="L729" i="2"/>
  <c r="M729" i="2"/>
  <c r="N729" i="2"/>
  <c r="O729" i="2"/>
  <c r="P729" i="2" s="1"/>
  <c r="Q729" i="2"/>
  <c r="R729" i="2"/>
  <c r="S729" i="2"/>
  <c r="T729" i="2"/>
  <c r="U729" i="2"/>
  <c r="V729" i="2"/>
  <c r="W729" i="2"/>
  <c r="X729" i="2"/>
  <c r="E730" i="2"/>
  <c r="F730" i="2"/>
  <c r="G730" i="2"/>
  <c r="H730" i="2"/>
  <c r="I730" i="2"/>
  <c r="J730" i="2"/>
  <c r="K730" i="2"/>
  <c r="L730" i="2"/>
  <c r="M730" i="2"/>
  <c r="N730" i="2"/>
  <c r="O730" i="2"/>
  <c r="Q730" i="2"/>
  <c r="R730" i="2"/>
  <c r="S730" i="2"/>
  <c r="T730" i="2"/>
  <c r="U730" i="2"/>
  <c r="V730" i="2"/>
  <c r="W730" i="2"/>
  <c r="X730" i="2"/>
  <c r="E731" i="2"/>
  <c r="F731" i="2"/>
  <c r="G731" i="2"/>
  <c r="H731" i="2"/>
  <c r="I731" i="2"/>
  <c r="J731" i="2"/>
  <c r="K731" i="2"/>
  <c r="L731" i="2"/>
  <c r="M731" i="2"/>
  <c r="N731" i="2"/>
  <c r="O731" i="2"/>
  <c r="Q731" i="2"/>
  <c r="R731" i="2"/>
  <c r="S731" i="2"/>
  <c r="T731" i="2"/>
  <c r="U731" i="2"/>
  <c r="V731" i="2"/>
  <c r="W731" i="2"/>
  <c r="X731" i="2"/>
  <c r="E732" i="2"/>
  <c r="F732" i="2"/>
  <c r="G732" i="2"/>
  <c r="H732" i="2"/>
  <c r="I732" i="2"/>
  <c r="J732" i="2"/>
  <c r="K732" i="2"/>
  <c r="L732" i="2"/>
  <c r="M732" i="2"/>
  <c r="N732" i="2"/>
  <c r="O732" i="2"/>
  <c r="Q732" i="2"/>
  <c r="R732" i="2"/>
  <c r="S732" i="2"/>
  <c r="T732" i="2"/>
  <c r="U732" i="2"/>
  <c r="V732" i="2"/>
  <c r="W732" i="2"/>
  <c r="X732" i="2"/>
  <c r="E733" i="2"/>
  <c r="F733" i="2"/>
  <c r="G733" i="2"/>
  <c r="H733" i="2"/>
  <c r="I733" i="2"/>
  <c r="J733" i="2"/>
  <c r="K733" i="2"/>
  <c r="L733" i="2"/>
  <c r="M733" i="2"/>
  <c r="N733" i="2"/>
  <c r="O733" i="2"/>
  <c r="P733" i="2" s="1"/>
  <c r="Q733" i="2"/>
  <c r="R733" i="2"/>
  <c r="S733" i="2"/>
  <c r="T733" i="2"/>
  <c r="U733" i="2"/>
  <c r="V733" i="2"/>
  <c r="W733" i="2"/>
  <c r="X733" i="2"/>
  <c r="E734" i="2"/>
  <c r="F734" i="2"/>
  <c r="G734" i="2"/>
  <c r="H734" i="2"/>
  <c r="I734" i="2"/>
  <c r="J734" i="2"/>
  <c r="K734" i="2"/>
  <c r="L734" i="2"/>
  <c r="M734" i="2"/>
  <c r="N734" i="2"/>
  <c r="O734" i="2"/>
  <c r="P734" i="2" s="1"/>
  <c r="Q734" i="2"/>
  <c r="R734" i="2"/>
  <c r="S734" i="2"/>
  <c r="T734" i="2"/>
  <c r="U734" i="2"/>
  <c r="V734" i="2"/>
  <c r="W734" i="2"/>
  <c r="X734" i="2"/>
  <c r="E735" i="2"/>
  <c r="F735" i="2"/>
  <c r="G735" i="2"/>
  <c r="H735" i="2"/>
  <c r="I735" i="2"/>
  <c r="J735" i="2"/>
  <c r="K735" i="2"/>
  <c r="L735" i="2"/>
  <c r="M735" i="2"/>
  <c r="N735" i="2"/>
  <c r="O735" i="2"/>
  <c r="P735" i="2" s="1"/>
  <c r="Q735" i="2"/>
  <c r="R735" i="2"/>
  <c r="S735" i="2"/>
  <c r="T735" i="2"/>
  <c r="U735" i="2"/>
  <c r="V735" i="2"/>
  <c r="W735" i="2"/>
  <c r="X735" i="2"/>
  <c r="E736" i="2"/>
  <c r="F736" i="2"/>
  <c r="G736" i="2"/>
  <c r="H736" i="2"/>
  <c r="I736" i="2"/>
  <c r="J736" i="2"/>
  <c r="K736" i="2"/>
  <c r="L736" i="2"/>
  <c r="M736" i="2"/>
  <c r="N736" i="2"/>
  <c r="O736" i="2"/>
  <c r="Q736" i="2"/>
  <c r="R736" i="2"/>
  <c r="S736" i="2"/>
  <c r="T736" i="2"/>
  <c r="U736" i="2"/>
  <c r="V736" i="2"/>
  <c r="W736" i="2"/>
  <c r="X736" i="2"/>
  <c r="E737" i="2"/>
  <c r="F737" i="2"/>
  <c r="G737" i="2"/>
  <c r="H737" i="2"/>
  <c r="I737" i="2"/>
  <c r="J737" i="2"/>
  <c r="K737" i="2"/>
  <c r="L737" i="2"/>
  <c r="M737" i="2"/>
  <c r="N737" i="2"/>
  <c r="O737" i="2"/>
  <c r="Q737" i="2"/>
  <c r="R737" i="2"/>
  <c r="S737" i="2"/>
  <c r="T737" i="2"/>
  <c r="U737" i="2"/>
  <c r="V737" i="2"/>
  <c r="W737" i="2"/>
  <c r="X737" i="2"/>
  <c r="E738" i="2"/>
  <c r="F738" i="2"/>
  <c r="G738" i="2"/>
  <c r="H738" i="2"/>
  <c r="I738" i="2"/>
  <c r="J738" i="2"/>
  <c r="K738" i="2"/>
  <c r="L738" i="2"/>
  <c r="M738" i="2"/>
  <c r="N738" i="2"/>
  <c r="O738" i="2"/>
  <c r="Q738" i="2"/>
  <c r="R738" i="2"/>
  <c r="S738" i="2"/>
  <c r="T738" i="2"/>
  <c r="U738" i="2"/>
  <c r="V738" i="2"/>
  <c r="W738" i="2"/>
  <c r="X738" i="2"/>
  <c r="E739" i="2"/>
  <c r="F739" i="2"/>
  <c r="G739" i="2"/>
  <c r="H739" i="2"/>
  <c r="I739" i="2"/>
  <c r="J739" i="2"/>
  <c r="K739" i="2"/>
  <c r="L739" i="2"/>
  <c r="M739" i="2"/>
  <c r="N739" i="2"/>
  <c r="O739" i="2"/>
  <c r="P739" i="2" s="1"/>
  <c r="Q739" i="2"/>
  <c r="R739" i="2"/>
  <c r="S739" i="2"/>
  <c r="T739" i="2"/>
  <c r="U739" i="2"/>
  <c r="V739" i="2"/>
  <c r="W739" i="2"/>
  <c r="X739" i="2"/>
  <c r="E740" i="2"/>
  <c r="F740" i="2"/>
  <c r="G740" i="2"/>
  <c r="H740" i="2"/>
  <c r="I740" i="2"/>
  <c r="J740" i="2"/>
  <c r="K740" i="2"/>
  <c r="L740" i="2"/>
  <c r="M740" i="2"/>
  <c r="N740" i="2"/>
  <c r="O740" i="2"/>
  <c r="P740" i="2" s="1"/>
  <c r="Q740" i="2"/>
  <c r="R740" i="2"/>
  <c r="S740" i="2"/>
  <c r="T740" i="2"/>
  <c r="U740" i="2"/>
  <c r="V740" i="2"/>
  <c r="W740" i="2"/>
  <c r="X740" i="2"/>
  <c r="E741" i="2"/>
  <c r="F741" i="2"/>
  <c r="G741" i="2"/>
  <c r="H741" i="2"/>
  <c r="I741" i="2"/>
  <c r="J741" i="2"/>
  <c r="K741" i="2"/>
  <c r="L741" i="2"/>
  <c r="M741" i="2"/>
  <c r="N741" i="2"/>
  <c r="O741" i="2"/>
  <c r="P741" i="2" s="1"/>
  <c r="Q741" i="2"/>
  <c r="R741" i="2"/>
  <c r="S741" i="2"/>
  <c r="T741" i="2"/>
  <c r="U741" i="2"/>
  <c r="V741" i="2"/>
  <c r="W741" i="2"/>
  <c r="X741" i="2"/>
  <c r="E742" i="2"/>
  <c r="F742" i="2"/>
  <c r="G742" i="2"/>
  <c r="H742" i="2"/>
  <c r="I742" i="2"/>
  <c r="J742" i="2"/>
  <c r="K742" i="2"/>
  <c r="L742" i="2"/>
  <c r="M742" i="2"/>
  <c r="N742" i="2"/>
  <c r="O742" i="2"/>
  <c r="Q742" i="2"/>
  <c r="R742" i="2"/>
  <c r="S742" i="2"/>
  <c r="T742" i="2"/>
  <c r="U742" i="2"/>
  <c r="V742" i="2"/>
  <c r="W742" i="2"/>
  <c r="X742" i="2"/>
  <c r="E743" i="2"/>
  <c r="F743" i="2"/>
  <c r="G743" i="2"/>
  <c r="H743" i="2"/>
  <c r="I743" i="2"/>
  <c r="J743" i="2"/>
  <c r="K743" i="2"/>
  <c r="L743" i="2"/>
  <c r="M743" i="2"/>
  <c r="N743" i="2"/>
  <c r="O743" i="2"/>
  <c r="Q743" i="2"/>
  <c r="R743" i="2"/>
  <c r="S743" i="2"/>
  <c r="T743" i="2"/>
  <c r="U743" i="2"/>
  <c r="V743" i="2"/>
  <c r="W743" i="2"/>
  <c r="X743" i="2"/>
  <c r="E744" i="2"/>
  <c r="F744" i="2"/>
  <c r="G744" i="2"/>
  <c r="H744" i="2"/>
  <c r="I744" i="2"/>
  <c r="J744" i="2"/>
  <c r="K744" i="2"/>
  <c r="L744" i="2"/>
  <c r="M744" i="2"/>
  <c r="N744" i="2"/>
  <c r="O744" i="2"/>
  <c r="Q744" i="2"/>
  <c r="R744" i="2"/>
  <c r="S744" i="2"/>
  <c r="T744" i="2"/>
  <c r="U744" i="2"/>
  <c r="V744" i="2"/>
  <c r="W744" i="2"/>
  <c r="X744" i="2"/>
  <c r="E745" i="2"/>
  <c r="F745" i="2"/>
  <c r="G745" i="2"/>
  <c r="H745" i="2"/>
  <c r="I745" i="2"/>
  <c r="J745" i="2"/>
  <c r="K745" i="2"/>
  <c r="L745" i="2"/>
  <c r="M745" i="2"/>
  <c r="N745" i="2"/>
  <c r="O745" i="2"/>
  <c r="P745" i="2" s="1"/>
  <c r="Q745" i="2"/>
  <c r="R745" i="2"/>
  <c r="S745" i="2"/>
  <c r="T745" i="2"/>
  <c r="U745" i="2"/>
  <c r="V745" i="2"/>
  <c r="W745" i="2"/>
  <c r="X745" i="2"/>
  <c r="E746" i="2"/>
  <c r="F746" i="2"/>
  <c r="G746" i="2"/>
  <c r="H746" i="2"/>
  <c r="I746" i="2"/>
  <c r="J746" i="2"/>
  <c r="K746" i="2"/>
  <c r="L746" i="2"/>
  <c r="M746" i="2"/>
  <c r="N746" i="2"/>
  <c r="O746" i="2"/>
  <c r="P746" i="2" s="1"/>
  <c r="Q746" i="2"/>
  <c r="R746" i="2"/>
  <c r="S746" i="2"/>
  <c r="T746" i="2"/>
  <c r="U746" i="2"/>
  <c r="V746" i="2"/>
  <c r="W746" i="2"/>
  <c r="X746" i="2"/>
  <c r="E747" i="2"/>
  <c r="F747" i="2"/>
  <c r="G747" i="2"/>
  <c r="H747" i="2"/>
  <c r="I747" i="2"/>
  <c r="J747" i="2"/>
  <c r="K747" i="2"/>
  <c r="L747" i="2"/>
  <c r="M747" i="2"/>
  <c r="N747" i="2"/>
  <c r="O747" i="2"/>
  <c r="P747" i="2" s="1"/>
  <c r="Q747" i="2"/>
  <c r="R747" i="2"/>
  <c r="S747" i="2"/>
  <c r="T747" i="2"/>
  <c r="U747" i="2"/>
  <c r="V747" i="2"/>
  <c r="W747" i="2"/>
  <c r="X747" i="2"/>
  <c r="E748" i="2"/>
  <c r="F748" i="2"/>
  <c r="G748" i="2"/>
  <c r="H748" i="2"/>
  <c r="I748" i="2"/>
  <c r="J748" i="2"/>
  <c r="K748" i="2"/>
  <c r="L748" i="2"/>
  <c r="M748" i="2"/>
  <c r="N748" i="2"/>
  <c r="O748" i="2"/>
  <c r="Q748" i="2"/>
  <c r="R748" i="2"/>
  <c r="S748" i="2"/>
  <c r="T748" i="2"/>
  <c r="U748" i="2"/>
  <c r="V748" i="2"/>
  <c r="W748" i="2"/>
  <c r="X748" i="2"/>
  <c r="E749" i="2"/>
  <c r="F749" i="2"/>
  <c r="G749" i="2"/>
  <c r="H749" i="2"/>
  <c r="I749" i="2"/>
  <c r="J749" i="2"/>
  <c r="K749" i="2"/>
  <c r="L749" i="2"/>
  <c r="M749" i="2"/>
  <c r="N749" i="2"/>
  <c r="O749" i="2"/>
  <c r="Q749" i="2"/>
  <c r="R749" i="2"/>
  <c r="S749" i="2"/>
  <c r="T749" i="2"/>
  <c r="U749" i="2"/>
  <c r="V749" i="2"/>
  <c r="W749" i="2"/>
  <c r="X749" i="2"/>
  <c r="E750" i="2"/>
  <c r="F750" i="2"/>
  <c r="G750" i="2"/>
  <c r="H750" i="2"/>
  <c r="I750" i="2"/>
  <c r="J750" i="2"/>
  <c r="K750" i="2"/>
  <c r="L750" i="2"/>
  <c r="M750" i="2"/>
  <c r="N750" i="2"/>
  <c r="O750" i="2"/>
  <c r="Q750" i="2"/>
  <c r="R750" i="2"/>
  <c r="S750" i="2"/>
  <c r="T750" i="2"/>
  <c r="U750" i="2"/>
  <c r="V750" i="2"/>
  <c r="W750" i="2"/>
  <c r="X750" i="2"/>
  <c r="E751" i="2"/>
  <c r="F751" i="2"/>
  <c r="G751" i="2"/>
  <c r="H751" i="2"/>
  <c r="I751" i="2"/>
  <c r="J751" i="2"/>
  <c r="K751" i="2"/>
  <c r="L751" i="2"/>
  <c r="M751" i="2"/>
  <c r="N751" i="2"/>
  <c r="O751" i="2"/>
  <c r="P751" i="2" s="1"/>
  <c r="Q751" i="2"/>
  <c r="R751" i="2"/>
  <c r="S751" i="2"/>
  <c r="T751" i="2"/>
  <c r="U751" i="2"/>
  <c r="V751" i="2"/>
  <c r="W751" i="2"/>
  <c r="X751" i="2"/>
  <c r="E752" i="2"/>
  <c r="F752" i="2"/>
  <c r="G752" i="2"/>
  <c r="H752" i="2"/>
  <c r="I752" i="2"/>
  <c r="J752" i="2"/>
  <c r="K752" i="2"/>
  <c r="L752" i="2"/>
  <c r="M752" i="2"/>
  <c r="N752" i="2"/>
  <c r="O752" i="2"/>
  <c r="P752" i="2" s="1"/>
  <c r="Q752" i="2"/>
  <c r="R752" i="2"/>
  <c r="S752" i="2"/>
  <c r="T752" i="2"/>
  <c r="U752" i="2"/>
  <c r="V752" i="2"/>
  <c r="W752" i="2"/>
  <c r="X752" i="2"/>
  <c r="E753" i="2"/>
  <c r="F753" i="2"/>
  <c r="G753" i="2"/>
  <c r="H753" i="2"/>
  <c r="I753" i="2"/>
  <c r="J753" i="2"/>
  <c r="K753" i="2"/>
  <c r="L753" i="2"/>
  <c r="M753" i="2"/>
  <c r="N753" i="2"/>
  <c r="O753" i="2"/>
  <c r="P753" i="2" s="1"/>
  <c r="Q753" i="2"/>
  <c r="R753" i="2"/>
  <c r="S753" i="2"/>
  <c r="T753" i="2"/>
  <c r="U753" i="2"/>
  <c r="V753" i="2"/>
  <c r="W753" i="2"/>
  <c r="X753" i="2"/>
  <c r="E754" i="2"/>
  <c r="F754" i="2"/>
  <c r="G754" i="2"/>
  <c r="H754" i="2"/>
  <c r="I754" i="2"/>
  <c r="J754" i="2"/>
  <c r="K754" i="2"/>
  <c r="L754" i="2"/>
  <c r="M754" i="2"/>
  <c r="N754" i="2"/>
  <c r="O754" i="2"/>
  <c r="Q754" i="2"/>
  <c r="R754" i="2"/>
  <c r="S754" i="2"/>
  <c r="T754" i="2"/>
  <c r="U754" i="2"/>
  <c r="V754" i="2"/>
  <c r="W754" i="2"/>
  <c r="X754" i="2"/>
  <c r="E755" i="2"/>
  <c r="F755" i="2"/>
  <c r="G755" i="2"/>
  <c r="H755" i="2"/>
  <c r="I755" i="2"/>
  <c r="J755" i="2"/>
  <c r="K755" i="2"/>
  <c r="L755" i="2"/>
  <c r="M755" i="2"/>
  <c r="N755" i="2"/>
  <c r="O755" i="2"/>
  <c r="Q755" i="2"/>
  <c r="R755" i="2"/>
  <c r="S755" i="2"/>
  <c r="T755" i="2"/>
  <c r="U755" i="2"/>
  <c r="V755" i="2"/>
  <c r="W755" i="2"/>
  <c r="X755" i="2"/>
  <c r="E756" i="2"/>
  <c r="F756" i="2"/>
  <c r="G756" i="2"/>
  <c r="H756" i="2"/>
  <c r="I756" i="2"/>
  <c r="J756" i="2"/>
  <c r="K756" i="2"/>
  <c r="L756" i="2"/>
  <c r="M756" i="2"/>
  <c r="N756" i="2"/>
  <c r="O756" i="2"/>
  <c r="Q756" i="2"/>
  <c r="R756" i="2"/>
  <c r="S756" i="2"/>
  <c r="T756" i="2"/>
  <c r="U756" i="2"/>
  <c r="V756" i="2"/>
  <c r="W756" i="2"/>
  <c r="X756" i="2"/>
  <c r="E757" i="2"/>
  <c r="F757" i="2"/>
  <c r="G757" i="2"/>
  <c r="H757" i="2"/>
  <c r="I757" i="2"/>
  <c r="J757" i="2"/>
  <c r="K757" i="2"/>
  <c r="L757" i="2"/>
  <c r="M757" i="2"/>
  <c r="N757" i="2"/>
  <c r="O757" i="2"/>
  <c r="P757" i="2" s="1"/>
  <c r="Q757" i="2"/>
  <c r="R757" i="2"/>
  <c r="S757" i="2"/>
  <c r="T757" i="2"/>
  <c r="U757" i="2"/>
  <c r="V757" i="2"/>
  <c r="W757" i="2"/>
  <c r="X757" i="2"/>
  <c r="E758" i="2"/>
  <c r="F758" i="2"/>
  <c r="G758" i="2"/>
  <c r="H758" i="2"/>
  <c r="I758" i="2"/>
  <c r="J758" i="2"/>
  <c r="K758" i="2"/>
  <c r="L758" i="2"/>
  <c r="M758" i="2"/>
  <c r="N758" i="2"/>
  <c r="O758" i="2"/>
  <c r="P758" i="2" s="1"/>
  <c r="Q758" i="2"/>
  <c r="R758" i="2"/>
  <c r="S758" i="2"/>
  <c r="T758" i="2"/>
  <c r="U758" i="2"/>
  <c r="V758" i="2"/>
  <c r="W758" i="2"/>
  <c r="X758" i="2"/>
  <c r="E759" i="2"/>
  <c r="F759" i="2"/>
  <c r="G759" i="2"/>
  <c r="H759" i="2"/>
  <c r="I759" i="2"/>
  <c r="J759" i="2"/>
  <c r="K759" i="2"/>
  <c r="L759" i="2"/>
  <c r="M759" i="2"/>
  <c r="N759" i="2"/>
  <c r="O759" i="2"/>
  <c r="P759" i="2" s="1"/>
  <c r="Q759" i="2"/>
  <c r="R759" i="2"/>
  <c r="S759" i="2"/>
  <c r="T759" i="2"/>
  <c r="U759" i="2"/>
  <c r="V759" i="2"/>
  <c r="W759" i="2"/>
  <c r="X759" i="2"/>
  <c r="E760" i="2"/>
  <c r="F760" i="2"/>
  <c r="G760" i="2"/>
  <c r="H760" i="2"/>
  <c r="I760" i="2"/>
  <c r="J760" i="2"/>
  <c r="K760" i="2"/>
  <c r="L760" i="2"/>
  <c r="M760" i="2"/>
  <c r="N760" i="2"/>
  <c r="O760" i="2"/>
  <c r="Q760" i="2"/>
  <c r="R760" i="2"/>
  <c r="S760" i="2"/>
  <c r="T760" i="2"/>
  <c r="U760" i="2"/>
  <c r="V760" i="2"/>
  <c r="W760" i="2"/>
  <c r="X760" i="2"/>
  <c r="E761" i="2"/>
  <c r="F761" i="2"/>
  <c r="G761" i="2"/>
  <c r="H761" i="2"/>
  <c r="I761" i="2"/>
  <c r="J761" i="2"/>
  <c r="K761" i="2"/>
  <c r="L761" i="2"/>
  <c r="M761" i="2"/>
  <c r="N761" i="2"/>
  <c r="O761" i="2"/>
  <c r="Q761" i="2"/>
  <c r="R761" i="2"/>
  <c r="S761" i="2"/>
  <c r="T761" i="2"/>
  <c r="U761" i="2"/>
  <c r="V761" i="2"/>
  <c r="W761" i="2"/>
  <c r="X761" i="2"/>
  <c r="E762" i="2"/>
  <c r="F762" i="2"/>
  <c r="G762" i="2"/>
  <c r="H762" i="2"/>
  <c r="I762" i="2"/>
  <c r="J762" i="2"/>
  <c r="K762" i="2"/>
  <c r="L762" i="2"/>
  <c r="M762" i="2"/>
  <c r="N762" i="2"/>
  <c r="O762" i="2"/>
  <c r="Q762" i="2"/>
  <c r="R762" i="2"/>
  <c r="S762" i="2"/>
  <c r="T762" i="2"/>
  <c r="U762" i="2"/>
  <c r="V762" i="2"/>
  <c r="W762" i="2"/>
  <c r="X762" i="2"/>
  <c r="E763" i="2"/>
  <c r="F763" i="2"/>
  <c r="G763" i="2"/>
  <c r="H763" i="2"/>
  <c r="I763" i="2"/>
  <c r="J763" i="2"/>
  <c r="K763" i="2"/>
  <c r="L763" i="2"/>
  <c r="M763" i="2"/>
  <c r="N763" i="2"/>
  <c r="O763" i="2"/>
  <c r="P763" i="2" s="1"/>
  <c r="Q763" i="2"/>
  <c r="R763" i="2"/>
  <c r="S763" i="2"/>
  <c r="T763" i="2"/>
  <c r="U763" i="2"/>
  <c r="V763" i="2"/>
  <c r="W763" i="2"/>
  <c r="X763" i="2"/>
  <c r="E764" i="2"/>
  <c r="F764" i="2"/>
  <c r="G764" i="2"/>
  <c r="H764" i="2"/>
  <c r="I764" i="2"/>
  <c r="J764" i="2"/>
  <c r="K764" i="2"/>
  <c r="L764" i="2"/>
  <c r="M764" i="2"/>
  <c r="N764" i="2"/>
  <c r="O764" i="2"/>
  <c r="P764" i="2" s="1"/>
  <c r="Q764" i="2"/>
  <c r="R764" i="2"/>
  <c r="S764" i="2"/>
  <c r="T764" i="2"/>
  <c r="U764" i="2"/>
  <c r="V764" i="2"/>
  <c r="W764" i="2"/>
  <c r="X764" i="2"/>
  <c r="E765" i="2"/>
  <c r="F765" i="2"/>
  <c r="G765" i="2"/>
  <c r="H765" i="2"/>
  <c r="I765" i="2"/>
  <c r="J765" i="2"/>
  <c r="K765" i="2"/>
  <c r="L765" i="2"/>
  <c r="M765" i="2"/>
  <c r="N765" i="2"/>
  <c r="O765" i="2"/>
  <c r="P765" i="2" s="1"/>
  <c r="Q765" i="2"/>
  <c r="R765" i="2"/>
  <c r="S765" i="2"/>
  <c r="T765" i="2"/>
  <c r="U765" i="2"/>
  <c r="V765" i="2"/>
  <c r="W765" i="2"/>
  <c r="X765" i="2"/>
  <c r="E766" i="2"/>
  <c r="F766" i="2"/>
  <c r="G766" i="2"/>
  <c r="H766" i="2"/>
  <c r="I766" i="2"/>
  <c r="J766" i="2"/>
  <c r="K766" i="2"/>
  <c r="L766" i="2"/>
  <c r="M766" i="2"/>
  <c r="N766" i="2"/>
  <c r="O766" i="2"/>
  <c r="Q766" i="2"/>
  <c r="R766" i="2"/>
  <c r="S766" i="2"/>
  <c r="T766" i="2"/>
  <c r="U766" i="2"/>
  <c r="V766" i="2"/>
  <c r="W766" i="2"/>
  <c r="X766" i="2"/>
  <c r="E767" i="2"/>
  <c r="F767" i="2"/>
  <c r="G767" i="2"/>
  <c r="H767" i="2"/>
  <c r="I767" i="2"/>
  <c r="J767" i="2"/>
  <c r="K767" i="2"/>
  <c r="L767" i="2"/>
  <c r="M767" i="2"/>
  <c r="N767" i="2"/>
  <c r="O767" i="2"/>
  <c r="Q767" i="2"/>
  <c r="R767" i="2"/>
  <c r="S767" i="2"/>
  <c r="T767" i="2"/>
  <c r="U767" i="2"/>
  <c r="V767" i="2"/>
  <c r="W767" i="2"/>
  <c r="X767" i="2"/>
  <c r="E768" i="2"/>
  <c r="F768" i="2"/>
  <c r="G768" i="2"/>
  <c r="H768" i="2"/>
  <c r="I768" i="2"/>
  <c r="J768" i="2"/>
  <c r="K768" i="2"/>
  <c r="L768" i="2"/>
  <c r="M768" i="2"/>
  <c r="N768" i="2"/>
  <c r="O768" i="2"/>
  <c r="Q768" i="2"/>
  <c r="R768" i="2"/>
  <c r="S768" i="2"/>
  <c r="T768" i="2"/>
  <c r="U768" i="2"/>
  <c r="V768" i="2"/>
  <c r="W768" i="2"/>
  <c r="X768" i="2"/>
  <c r="E769" i="2"/>
  <c r="F769" i="2"/>
  <c r="G769" i="2"/>
  <c r="H769" i="2"/>
  <c r="I769" i="2"/>
  <c r="J769" i="2"/>
  <c r="K769" i="2"/>
  <c r="L769" i="2"/>
  <c r="M769" i="2"/>
  <c r="N769" i="2"/>
  <c r="O769" i="2"/>
  <c r="P769" i="2" s="1"/>
  <c r="Q769" i="2"/>
  <c r="R769" i="2"/>
  <c r="S769" i="2"/>
  <c r="T769" i="2"/>
  <c r="U769" i="2"/>
  <c r="V769" i="2"/>
  <c r="W769" i="2"/>
  <c r="X769" i="2"/>
  <c r="E770" i="2"/>
  <c r="F770" i="2"/>
  <c r="G770" i="2"/>
  <c r="H770" i="2"/>
  <c r="I770" i="2"/>
  <c r="J770" i="2"/>
  <c r="K770" i="2"/>
  <c r="L770" i="2"/>
  <c r="M770" i="2"/>
  <c r="N770" i="2"/>
  <c r="O770" i="2"/>
  <c r="P770" i="2" s="1"/>
  <c r="Q770" i="2"/>
  <c r="R770" i="2"/>
  <c r="S770" i="2"/>
  <c r="T770" i="2"/>
  <c r="U770" i="2"/>
  <c r="V770" i="2"/>
  <c r="W770" i="2"/>
  <c r="X770" i="2"/>
  <c r="E771" i="2"/>
  <c r="F771" i="2"/>
  <c r="G771" i="2"/>
  <c r="H771" i="2"/>
  <c r="I771" i="2"/>
  <c r="J771" i="2"/>
  <c r="K771" i="2"/>
  <c r="L771" i="2"/>
  <c r="M771" i="2"/>
  <c r="N771" i="2"/>
  <c r="O771" i="2"/>
  <c r="P771" i="2" s="1"/>
  <c r="Q771" i="2"/>
  <c r="R771" i="2"/>
  <c r="S771" i="2"/>
  <c r="T771" i="2"/>
  <c r="U771" i="2"/>
  <c r="V771" i="2"/>
  <c r="W771" i="2"/>
  <c r="X771" i="2"/>
  <c r="E772" i="2"/>
  <c r="F772" i="2"/>
  <c r="G772" i="2"/>
  <c r="H772" i="2"/>
  <c r="I772" i="2"/>
  <c r="J772" i="2"/>
  <c r="K772" i="2"/>
  <c r="L772" i="2"/>
  <c r="M772" i="2"/>
  <c r="N772" i="2"/>
  <c r="O772" i="2"/>
  <c r="Q772" i="2"/>
  <c r="R772" i="2"/>
  <c r="S772" i="2"/>
  <c r="T772" i="2"/>
  <c r="U772" i="2"/>
  <c r="V772" i="2"/>
  <c r="W772" i="2"/>
  <c r="X772" i="2"/>
  <c r="E773" i="2"/>
  <c r="F773" i="2"/>
  <c r="G773" i="2"/>
  <c r="H773" i="2"/>
  <c r="I773" i="2"/>
  <c r="J773" i="2"/>
  <c r="K773" i="2"/>
  <c r="L773" i="2"/>
  <c r="M773" i="2"/>
  <c r="N773" i="2"/>
  <c r="O773" i="2"/>
  <c r="Q773" i="2"/>
  <c r="R773" i="2"/>
  <c r="S773" i="2"/>
  <c r="T773" i="2"/>
  <c r="U773" i="2"/>
  <c r="V773" i="2"/>
  <c r="W773" i="2"/>
  <c r="X773" i="2"/>
  <c r="E774" i="2"/>
  <c r="F774" i="2"/>
  <c r="G774" i="2"/>
  <c r="H774" i="2"/>
  <c r="I774" i="2"/>
  <c r="J774" i="2"/>
  <c r="K774" i="2"/>
  <c r="L774" i="2"/>
  <c r="M774" i="2"/>
  <c r="N774" i="2"/>
  <c r="O774" i="2"/>
  <c r="Q774" i="2"/>
  <c r="R774" i="2"/>
  <c r="S774" i="2"/>
  <c r="T774" i="2"/>
  <c r="U774" i="2"/>
  <c r="V774" i="2"/>
  <c r="W774" i="2"/>
  <c r="X774" i="2"/>
  <c r="E775" i="2"/>
  <c r="F775" i="2"/>
  <c r="G775" i="2"/>
  <c r="H775" i="2"/>
  <c r="I775" i="2"/>
  <c r="J775" i="2"/>
  <c r="K775" i="2"/>
  <c r="L775" i="2"/>
  <c r="M775" i="2"/>
  <c r="N775" i="2"/>
  <c r="O775" i="2"/>
  <c r="P775" i="2" s="1"/>
  <c r="Q775" i="2"/>
  <c r="R775" i="2"/>
  <c r="S775" i="2"/>
  <c r="T775" i="2"/>
  <c r="U775" i="2"/>
  <c r="V775" i="2"/>
  <c r="W775" i="2"/>
  <c r="X775" i="2"/>
  <c r="E776" i="2"/>
  <c r="F776" i="2"/>
  <c r="G776" i="2"/>
  <c r="H776" i="2"/>
  <c r="I776" i="2"/>
  <c r="J776" i="2"/>
  <c r="K776" i="2"/>
  <c r="L776" i="2"/>
  <c r="M776" i="2"/>
  <c r="N776" i="2"/>
  <c r="O776" i="2"/>
  <c r="P776" i="2" s="1"/>
  <c r="Q776" i="2"/>
  <c r="R776" i="2"/>
  <c r="S776" i="2"/>
  <c r="T776" i="2"/>
  <c r="U776" i="2"/>
  <c r="V776" i="2"/>
  <c r="W776" i="2"/>
  <c r="X776" i="2"/>
  <c r="E777" i="2"/>
  <c r="F777" i="2"/>
  <c r="G777" i="2"/>
  <c r="H777" i="2"/>
  <c r="I777" i="2"/>
  <c r="J777" i="2"/>
  <c r="K777" i="2"/>
  <c r="L777" i="2"/>
  <c r="M777" i="2"/>
  <c r="N777" i="2"/>
  <c r="O777" i="2"/>
  <c r="P777" i="2" s="1"/>
  <c r="Q777" i="2"/>
  <c r="R777" i="2"/>
  <c r="S777" i="2"/>
  <c r="T777" i="2"/>
  <c r="U777" i="2"/>
  <c r="V777" i="2"/>
  <c r="W777" i="2"/>
  <c r="X777" i="2"/>
  <c r="E778" i="2"/>
  <c r="F778" i="2"/>
  <c r="G778" i="2"/>
  <c r="H778" i="2"/>
  <c r="I778" i="2"/>
  <c r="J778" i="2"/>
  <c r="K778" i="2"/>
  <c r="L778" i="2"/>
  <c r="M778" i="2"/>
  <c r="N778" i="2"/>
  <c r="O778" i="2"/>
  <c r="Q778" i="2"/>
  <c r="R778" i="2"/>
  <c r="S778" i="2"/>
  <c r="T778" i="2"/>
  <c r="U778" i="2"/>
  <c r="V778" i="2"/>
  <c r="W778" i="2"/>
  <c r="X778" i="2"/>
  <c r="E779" i="2"/>
  <c r="F779" i="2"/>
  <c r="G779" i="2"/>
  <c r="H779" i="2"/>
  <c r="I779" i="2"/>
  <c r="J779" i="2"/>
  <c r="K779" i="2"/>
  <c r="L779" i="2"/>
  <c r="M779" i="2"/>
  <c r="N779" i="2"/>
  <c r="O779" i="2"/>
  <c r="Q779" i="2"/>
  <c r="R779" i="2"/>
  <c r="S779" i="2"/>
  <c r="T779" i="2"/>
  <c r="U779" i="2"/>
  <c r="V779" i="2"/>
  <c r="W779" i="2"/>
  <c r="X779" i="2"/>
  <c r="E780" i="2"/>
  <c r="F780" i="2"/>
  <c r="G780" i="2"/>
  <c r="H780" i="2"/>
  <c r="I780" i="2"/>
  <c r="J780" i="2"/>
  <c r="K780" i="2"/>
  <c r="L780" i="2"/>
  <c r="M780" i="2"/>
  <c r="N780" i="2"/>
  <c r="O780" i="2"/>
  <c r="Q780" i="2"/>
  <c r="R780" i="2"/>
  <c r="S780" i="2"/>
  <c r="T780" i="2"/>
  <c r="U780" i="2"/>
  <c r="V780" i="2"/>
  <c r="W780" i="2"/>
  <c r="X780" i="2"/>
  <c r="E781" i="2"/>
  <c r="F781" i="2"/>
  <c r="G781" i="2"/>
  <c r="H781" i="2"/>
  <c r="I781" i="2"/>
  <c r="J781" i="2"/>
  <c r="K781" i="2"/>
  <c r="L781" i="2"/>
  <c r="M781" i="2"/>
  <c r="N781" i="2"/>
  <c r="O781" i="2"/>
  <c r="P781" i="2" s="1"/>
  <c r="Q781" i="2"/>
  <c r="R781" i="2"/>
  <c r="S781" i="2"/>
  <c r="T781" i="2"/>
  <c r="U781" i="2"/>
  <c r="V781" i="2"/>
  <c r="W781" i="2"/>
  <c r="X781" i="2"/>
  <c r="E782" i="2"/>
  <c r="F782" i="2"/>
  <c r="G782" i="2"/>
  <c r="H782" i="2"/>
  <c r="I782" i="2"/>
  <c r="J782" i="2"/>
  <c r="K782" i="2"/>
  <c r="L782" i="2"/>
  <c r="M782" i="2"/>
  <c r="N782" i="2"/>
  <c r="O782" i="2"/>
  <c r="P782" i="2" s="1"/>
  <c r="Q782" i="2"/>
  <c r="R782" i="2"/>
  <c r="S782" i="2"/>
  <c r="T782" i="2"/>
  <c r="U782" i="2"/>
  <c r="V782" i="2"/>
  <c r="W782" i="2"/>
  <c r="X782" i="2"/>
  <c r="E783" i="2"/>
  <c r="F783" i="2"/>
  <c r="G783" i="2"/>
  <c r="H783" i="2"/>
  <c r="I783" i="2"/>
  <c r="J783" i="2"/>
  <c r="K783" i="2"/>
  <c r="L783" i="2"/>
  <c r="M783" i="2"/>
  <c r="N783" i="2"/>
  <c r="O783" i="2"/>
  <c r="P783" i="2" s="1"/>
  <c r="Q783" i="2"/>
  <c r="R783" i="2"/>
  <c r="S783" i="2"/>
  <c r="T783" i="2"/>
  <c r="U783" i="2"/>
  <c r="V783" i="2"/>
  <c r="W783" i="2"/>
  <c r="X783" i="2"/>
  <c r="E784" i="2"/>
  <c r="F784" i="2"/>
  <c r="G784" i="2"/>
  <c r="H784" i="2"/>
  <c r="I784" i="2"/>
  <c r="J784" i="2"/>
  <c r="K784" i="2"/>
  <c r="L784" i="2"/>
  <c r="M784" i="2"/>
  <c r="N784" i="2"/>
  <c r="O784" i="2"/>
  <c r="Q784" i="2"/>
  <c r="R784" i="2"/>
  <c r="S784" i="2"/>
  <c r="T784" i="2"/>
  <c r="U784" i="2"/>
  <c r="V784" i="2"/>
  <c r="W784" i="2"/>
  <c r="X784" i="2"/>
  <c r="E785" i="2"/>
  <c r="F785" i="2"/>
  <c r="G785" i="2"/>
  <c r="H785" i="2"/>
  <c r="I785" i="2"/>
  <c r="J785" i="2"/>
  <c r="K785" i="2"/>
  <c r="L785" i="2"/>
  <c r="M785" i="2"/>
  <c r="N785" i="2"/>
  <c r="O785" i="2"/>
  <c r="Q785" i="2"/>
  <c r="R785" i="2"/>
  <c r="S785" i="2"/>
  <c r="T785" i="2"/>
  <c r="U785" i="2"/>
  <c r="V785" i="2"/>
  <c r="W785" i="2"/>
  <c r="X785" i="2"/>
  <c r="E786" i="2"/>
  <c r="F786" i="2"/>
  <c r="G786" i="2"/>
  <c r="H786" i="2"/>
  <c r="I786" i="2"/>
  <c r="J786" i="2"/>
  <c r="K786" i="2"/>
  <c r="L786" i="2"/>
  <c r="M786" i="2"/>
  <c r="N786" i="2"/>
  <c r="O786" i="2"/>
  <c r="Q786" i="2"/>
  <c r="R786" i="2"/>
  <c r="S786" i="2"/>
  <c r="T786" i="2"/>
  <c r="U786" i="2"/>
  <c r="V786" i="2"/>
  <c r="W786" i="2"/>
  <c r="X786" i="2"/>
  <c r="E787" i="2"/>
  <c r="F787" i="2"/>
  <c r="G787" i="2"/>
  <c r="H787" i="2"/>
  <c r="I787" i="2"/>
  <c r="J787" i="2"/>
  <c r="K787" i="2"/>
  <c r="L787" i="2"/>
  <c r="M787" i="2"/>
  <c r="N787" i="2"/>
  <c r="O787" i="2"/>
  <c r="P787" i="2" s="1"/>
  <c r="Q787" i="2"/>
  <c r="R787" i="2"/>
  <c r="S787" i="2"/>
  <c r="T787" i="2"/>
  <c r="U787" i="2"/>
  <c r="V787" i="2"/>
  <c r="W787" i="2"/>
  <c r="X787" i="2"/>
  <c r="E788" i="2"/>
  <c r="F788" i="2"/>
  <c r="G788" i="2"/>
  <c r="H788" i="2"/>
  <c r="I788" i="2"/>
  <c r="J788" i="2"/>
  <c r="K788" i="2"/>
  <c r="L788" i="2"/>
  <c r="M788" i="2"/>
  <c r="N788" i="2"/>
  <c r="O788" i="2"/>
  <c r="P788" i="2" s="1"/>
  <c r="Q788" i="2"/>
  <c r="R788" i="2"/>
  <c r="S788" i="2"/>
  <c r="T788" i="2"/>
  <c r="U788" i="2"/>
  <c r="V788" i="2"/>
  <c r="W788" i="2"/>
  <c r="X788" i="2"/>
  <c r="E789" i="2"/>
  <c r="F789" i="2"/>
  <c r="G789" i="2"/>
  <c r="H789" i="2"/>
  <c r="I789" i="2"/>
  <c r="J789" i="2"/>
  <c r="K789" i="2"/>
  <c r="L789" i="2"/>
  <c r="M789" i="2"/>
  <c r="N789" i="2"/>
  <c r="O789" i="2"/>
  <c r="P789" i="2" s="1"/>
  <c r="Q789" i="2"/>
  <c r="R789" i="2"/>
  <c r="S789" i="2"/>
  <c r="T789" i="2"/>
  <c r="U789" i="2"/>
  <c r="V789" i="2"/>
  <c r="W789" i="2"/>
  <c r="X789" i="2"/>
  <c r="E790" i="2"/>
  <c r="F790" i="2"/>
  <c r="G790" i="2"/>
  <c r="H790" i="2"/>
  <c r="I790" i="2"/>
  <c r="J790" i="2"/>
  <c r="K790" i="2"/>
  <c r="L790" i="2"/>
  <c r="M790" i="2"/>
  <c r="N790" i="2"/>
  <c r="O790" i="2"/>
  <c r="Q790" i="2"/>
  <c r="R790" i="2"/>
  <c r="S790" i="2"/>
  <c r="T790" i="2"/>
  <c r="U790" i="2"/>
  <c r="V790" i="2"/>
  <c r="W790" i="2"/>
  <c r="X790" i="2"/>
  <c r="E791" i="2"/>
  <c r="F791" i="2"/>
  <c r="G791" i="2"/>
  <c r="H791" i="2"/>
  <c r="I791" i="2"/>
  <c r="J791" i="2"/>
  <c r="K791" i="2"/>
  <c r="L791" i="2"/>
  <c r="M791" i="2"/>
  <c r="N791" i="2"/>
  <c r="O791" i="2"/>
  <c r="Q791" i="2"/>
  <c r="R791" i="2"/>
  <c r="S791" i="2"/>
  <c r="T791" i="2"/>
  <c r="U791" i="2"/>
  <c r="V791" i="2"/>
  <c r="W791" i="2"/>
  <c r="X791" i="2"/>
  <c r="E792" i="2"/>
  <c r="F792" i="2"/>
  <c r="G792" i="2"/>
  <c r="H792" i="2"/>
  <c r="I792" i="2"/>
  <c r="J792" i="2"/>
  <c r="K792" i="2"/>
  <c r="L792" i="2"/>
  <c r="M792" i="2"/>
  <c r="N792" i="2"/>
  <c r="O792" i="2"/>
  <c r="Q792" i="2"/>
  <c r="R792" i="2"/>
  <c r="S792" i="2"/>
  <c r="T792" i="2"/>
  <c r="U792" i="2"/>
  <c r="V792" i="2"/>
  <c r="W792" i="2"/>
  <c r="X792" i="2"/>
  <c r="E793" i="2"/>
  <c r="F793" i="2"/>
  <c r="G793" i="2"/>
  <c r="H793" i="2"/>
  <c r="I793" i="2"/>
  <c r="J793" i="2"/>
  <c r="K793" i="2"/>
  <c r="L793" i="2"/>
  <c r="M793" i="2"/>
  <c r="N793" i="2"/>
  <c r="O793" i="2"/>
  <c r="P793" i="2" s="1"/>
  <c r="Q793" i="2"/>
  <c r="R793" i="2"/>
  <c r="S793" i="2"/>
  <c r="T793" i="2"/>
  <c r="U793" i="2"/>
  <c r="V793" i="2"/>
  <c r="W793" i="2"/>
  <c r="X793" i="2"/>
  <c r="E794" i="2"/>
  <c r="F794" i="2"/>
  <c r="G794" i="2"/>
  <c r="H794" i="2"/>
  <c r="I794" i="2"/>
  <c r="J794" i="2"/>
  <c r="K794" i="2"/>
  <c r="L794" i="2"/>
  <c r="M794" i="2"/>
  <c r="N794" i="2"/>
  <c r="O794" i="2"/>
  <c r="P794" i="2" s="1"/>
  <c r="Q794" i="2"/>
  <c r="R794" i="2"/>
  <c r="S794" i="2"/>
  <c r="T794" i="2"/>
  <c r="U794" i="2"/>
  <c r="V794" i="2"/>
  <c r="W794" i="2"/>
  <c r="X794" i="2"/>
  <c r="E795" i="2"/>
  <c r="F795" i="2"/>
  <c r="G795" i="2"/>
  <c r="H795" i="2"/>
  <c r="I795" i="2"/>
  <c r="J795" i="2"/>
  <c r="K795" i="2"/>
  <c r="L795" i="2"/>
  <c r="M795" i="2"/>
  <c r="N795" i="2"/>
  <c r="O795" i="2"/>
  <c r="P795" i="2" s="1"/>
  <c r="Q795" i="2"/>
  <c r="R795" i="2"/>
  <c r="S795" i="2"/>
  <c r="T795" i="2"/>
  <c r="U795" i="2"/>
  <c r="V795" i="2"/>
  <c r="W795" i="2"/>
  <c r="X795" i="2"/>
  <c r="E796" i="2"/>
  <c r="F796" i="2"/>
  <c r="G796" i="2"/>
  <c r="H796" i="2"/>
  <c r="I796" i="2"/>
  <c r="J796" i="2"/>
  <c r="K796" i="2"/>
  <c r="L796" i="2"/>
  <c r="M796" i="2"/>
  <c r="N796" i="2"/>
  <c r="O796" i="2"/>
  <c r="Q796" i="2"/>
  <c r="R796" i="2"/>
  <c r="S796" i="2"/>
  <c r="T796" i="2"/>
  <c r="U796" i="2"/>
  <c r="V796" i="2"/>
  <c r="W796" i="2"/>
  <c r="X796" i="2"/>
  <c r="E797" i="2"/>
  <c r="F797" i="2"/>
  <c r="G797" i="2"/>
  <c r="H797" i="2"/>
  <c r="I797" i="2"/>
  <c r="J797" i="2"/>
  <c r="K797" i="2"/>
  <c r="L797" i="2"/>
  <c r="M797" i="2"/>
  <c r="N797" i="2"/>
  <c r="O797" i="2"/>
  <c r="Q797" i="2"/>
  <c r="R797" i="2"/>
  <c r="S797" i="2"/>
  <c r="T797" i="2"/>
  <c r="U797" i="2"/>
  <c r="V797" i="2"/>
  <c r="W797" i="2"/>
  <c r="X797" i="2"/>
  <c r="E798" i="2"/>
  <c r="F798" i="2"/>
  <c r="G798" i="2"/>
  <c r="H798" i="2"/>
  <c r="I798" i="2"/>
  <c r="J798" i="2"/>
  <c r="K798" i="2"/>
  <c r="L798" i="2"/>
  <c r="M798" i="2"/>
  <c r="N798" i="2"/>
  <c r="O798" i="2"/>
  <c r="Q798" i="2"/>
  <c r="R798" i="2"/>
  <c r="S798" i="2"/>
  <c r="T798" i="2"/>
  <c r="U798" i="2"/>
  <c r="V798" i="2"/>
  <c r="W798" i="2"/>
  <c r="X798" i="2"/>
  <c r="E799" i="2"/>
  <c r="F799" i="2"/>
  <c r="G799" i="2"/>
  <c r="H799" i="2"/>
  <c r="I799" i="2"/>
  <c r="J799" i="2"/>
  <c r="K799" i="2"/>
  <c r="L799" i="2"/>
  <c r="M799" i="2"/>
  <c r="N799" i="2"/>
  <c r="O799" i="2"/>
  <c r="P799" i="2" s="1"/>
  <c r="Q799" i="2"/>
  <c r="R799" i="2"/>
  <c r="S799" i="2"/>
  <c r="T799" i="2"/>
  <c r="U799" i="2"/>
  <c r="V799" i="2"/>
  <c r="W799" i="2"/>
  <c r="X799" i="2"/>
  <c r="E800" i="2"/>
  <c r="F800" i="2"/>
  <c r="G800" i="2"/>
  <c r="H800" i="2"/>
  <c r="I800" i="2"/>
  <c r="J800" i="2"/>
  <c r="K800" i="2"/>
  <c r="L800" i="2"/>
  <c r="M800" i="2"/>
  <c r="N800" i="2"/>
  <c r="O800" i="2"/>
  <c r="P800" i="2" s="1"/>
  <c r="Q800" i="2"/>
  <c r="R800" i="2"/>
  <c r="S800" i="2"/>
  <c r="T800" i="2"/>
  <c r="U800" i="2"/>
  <c r="V800" i="2"/>
  <c r="W800" i="2"/>
  <c r="X800" i="2"/>
  <c r="E801" i="2"/>
  <c r="F801" i="2"/>
  <c r="G801" i="2"/>
  <c r="H801" i="2"/>
  <c r="I801" i="2"/>
  <c r="J801" i="2"/>
  <c r="K801" i="2"/>
  <c r="L801" i="2"/>
  <c r="M801" i="2"/>
  <c r="N801" i="2"/>
  <c r="O801" i="2"/>
  <c r="P801" i="2" s="1"/>
  <c r="Q801" i="2"/>
  <c r="R801" i="2"/>
  <c r="S801" i="2"/>
  <c r="T801" i="2"/>
  <c r="U801" i="2"/>
  <c r="V801" i="2"/>
  <c r="W801" i="2"/>
  <c r="X801" i="2"/>
  <c r="X711" i="2"/>
  <c r="W711" i="2"/>
  <c r="V711" i="2"/>
  <c r="U711" i="2"/>
  <c r="T711" i="2"/>
  <c r="S711" i="2"/>
  <c r="R711" i="2"/>
  <c r="Q711" i="2"/>
  <c r="O711" i="2"/>
  <c r="P711" i="2" s="1"/>
  <c r="N711" i="2"/>
  <c r="M711" i="2"/>
  <c r="L711" i="2"/>
  <c r="K711" i="2"/>
  <c r="J711" i="2"/>
  <c r="I711" i="2"/>
  <c r="H711" i="2"/>
  <c r="G711" i="2"/>
  <c r="F711" i="2"/>
  <c r="E711" i="2"/>
  <c r="E652" i="2"/>
  <c r="F652" i="2"/>
  <c r="G652" i="2"/>
  <c r="H652" i="2"/>
  <c r="I652" i="2"/>
  <c r="J652" i="2"/>
  <c r="K652" i="2"/>
  <c r="L652" i="2"/>
  <c r="M652" i="2"/>
  <c r="N652" i="2"/>
  <c r="O652" i="2"/>
  <c r="Q652" i="2"/>
  <c r="R652" i="2"/>
  <c r="S652" i="2"/>
  <c r="T652" i="2"/>
  <c r="U652" i="2"/>
  <c r="V652" i="2"/>
  <c r="W652" i="2"/>
  <c r="X652" i="2"/>
  <c r="E653" i="2"/>
  <c r="F653" i="2"/>
  <c r="G653" i="2"/>
  <c r="H653" i="2"/>
  <c r="I653" i="2"/>
  <c r="J653" i="2"/>
  <c r="K653" i="2"/>
  <c r="L653" i="2"/>
  <c r="M653" i="2"/>
  <c r="N653" i="2"/>
  <c r="O653" i="2"/>
  <c r="Q653" i="2"/>
  <c r="R653" i="2"/>
  <c r="S653" i="2"/>
  <c r="T653" i="2"/>
  <c r="U653" i="2"/>
  <c r="V653" i="2"/>
  <c r="W653" i="2"/>
  <c r="X653" i="2"/>
  <c r="E654" i="2"/>
  <c r="F654" i="2"/>
  <c r="G654" i="2"/>
  <c r="H654" i="2"/>
  <c r="I654" i="2"/>
  <c r="J654" i="2"/>
  <c r="K654" i="2"/>
  <c r="L654" i="2"/>
  <c r="M654" i="2"/>
  <c r="N654" i="2"/>
  <c r="O654" i="2"/>
  <c r="P654" i="2" s="1"/>
  <c r="Q654" i="2"/>
  <c r="R654" i="2"/>
  <c r="S654" i="2"/>
  <c r="T654" i="2"/>
  <c r="U654" i="2"/>
  <c r="V654" i="2"/>
  <c r="W654" i="2"/>
  <c r="X654" i="2"/>
  <c r="E655" i="2"/>
  <c r="F655" i="2"/>
  <c r="G655" i="2"/>
  <c r="H655" i="2"/>
  <c r="I655" i="2"/>
  <c r="J655" i="2"/>
  <c r="K655" i="2"/>
  <c r="L655" i="2"/>
  <c r="M655" i="2"/>
  <c r="N655" i="2"/>
  <c r="O655" i="2"/>
  <c r="P655" i="2" s="1"/>
  <c r="Q655" i="2"/>
  <c r="R655" i="2"/>
  <c r="S655" i="2"/>
  <c r="T655" i="2"/>
  <c r="U655" i="2"/>
  <c r="V655" i="2"/>
  <c r="W655" i="2"/>
  <c r="X655" i="2"/>
  <c r="E656" i="2"/>
  <c r="F656" i="2"/>
  <c r="G656" i="2"/>
  <c r="H656" i="2"/>
  <c r="I656" i="2"/>
  <c r="J656" i="2"/>
  <c r="K656" i="2"/>
  <c r="L656" i="2"/>
  <c r="M656" i="2"/>
  <c r="N656" i="2"/>
  <c r="O656" i="2"/>
  <c r="P656" i="2" s="1"/>
  <c r="Q656" i="2"/>
  <c r="R656" i="2"/>
  <c r="S656" i="2"/>
  <c r="T656" i="2"/>
  <c r="U656" i="2"/>
  <c r="V656" i="2"/>
  <c r="W656" i="2"/>
  <c r="X656" i="2"/>
  <c r="E657" i="2"/>
  <c r="F657" i="2"/>
  <c r="G657" i="2"/>
  <c r="H657" i="2"/>
  <c r="I657" i="2"/>
  <c r="J657" i="2"/>
  <c r="K657" i="2"/>
  <c r="L657" i="2"/>
  <c r="M657" i="2"/>
  <c r="N657" i="2"/>
  <c r="O657" i="2"/>
  <c r="Q657" i="2"/>
  <c r="R657" i="2"/>
  <c r="S657" i="2"/>
  <c r="T657" i="2"/>
  <c r="U657" i="2"/>
  <c r="V657" i="2"/>
  <c r="W657" i="2"/>
  <c r="X657" i="2"/>
  <c r="E658" i="2"/>
  <c r="F658" i="2"/>
  <c r="G658" i="2"/>
  <c r="H658" i="2"/>
  <c r="I658" i="2"/>
  <c r="J658" i="2"/>
  <c r="K658" i="2"/>
  <c r="L658" i="2"/>
  <c r="M658" i="2"/>
  <c r="N658" i="2"/>
  <c r="O658" i="2"/>
  <c r="Q658" i="2"/>
  <c r="R658" i="2"/>
  <c r="S658" i="2"/>
  <c r="T658" i="2"/>
  <c r="U658" i="2"/>
  <c r="V658" i="2"/>
  <c r="W658" i="2"/>
  <c r="X658" i="2"/>
  <c r="E659" i="2"/>
  <c r="F659" i="2"/>
  <c r="G659" i="2"/>
  <c r="H659" i="2"/>
  <c r="I659" i="2"/>
  <c r="J659" i="2"/>
  <c r="K659" i="2"/>
  <c r="L659" i="2"/>
  <c r="M659" i="2"/>
  <c r="N659" i="2"/>
  <c r="O659" i="2"/>
  <c r="Q659" i="2"/>
  <c r="R659" i="2"/>
  <c r="S659" i="2"/>
  <c r="T659" i="2"/>
  <c r="U659" i="2"/>
  <c r="V659" i="2"/>
  <c r="W659" i="2"/>
  <c r="X659" i="2"/>
  <c r="E660" i="2"/>
  <c r="F660" i="2"/>
  <c r="G660" i="2"/>
  <c r="H660" i="2"/>
  <c r="I660" i="2"/>
  <c r="J660" i="2"/>
  <c r="K660" i="2"/>
  <c r="L660" i="2"/>
  <c r="M660" i="2"/>
  <c r="N660" i="2"/>
  <c r="O660" i="2"/>
  <c r="P660" i="2" s="1"/>
  <c r="Q660" i="2"/>
  <c r="R660" i="2"/>
  <c r="S660" i="2"/>
  <c r="T660" i="2"/>
  <c r="U660" i="2"/>
  <c r="V660" i="2"/>
  <c r="W660" i="2"/>
  <c r="X660" i="2"/>
  <c r="E661" i="2"/>
  <c r="F661" i="2"/>
  <c r="G661" i="2"/>
  <c r="H661" i="2"/>
  <c r="I661" i="2"/>
  <c r="J661" i="2"/>
  <c r="K661" i="2"/>
  <c r="L661" i="2"/>
  <c r="M661" i="2"/>
  <c r="N661" i="2"/>
  <c r="O661" i="2"/>
  <c r="P661" i="2" s="1"/>
  <c r="Q661" i="2"/>
  <c r="R661" i="2"/>
  <c r="S661" i="2"/>
  <c r="T661" i="2"/>
  <c r="U661" i="2"/>
  <c r="V661" i="2"/>
  <c r="W661" i="2"/>
  <c r="X661" i="2"/>
  <c r="E662" i="2"/>
  <c r="F662" i="2"/>
  <c r="G662" i="2"/>
  <c r="H662" i="2"/>
  <c r="I662" i="2"/>
  <c r="J662" i="2"/>
  <c r="K662" i="2"/>
  <c r="L662" i="2"/>
  <c r="M662" i="2"/>
  <c r="N662" i="2"/>
  <c r="O662" i="2"/>
  <c r="P662" i="2" s="1"/>
  <c r="Q662" i="2"/>
  <c r="R662" i="2"/>
  <c r="S662" i="2"/>
  <c r="T662" i="2"/>
  <c r="U662" i="2"/>
  <c r="V662" i="2"/>
  <c r="W662" i="2"/>
  <c r="X662" i="2"/>
  <c r="E663" i="2"/>
  <c r="F663" i="2"/>
  <c r="G663" i="2"/>
  <c r="H663" i="2"/>
  <c r="I663" i="2"/>
  <c r="J663" i="2"/>
  <c r="K663" i="2"/>
  <c r="L663" i="2"/>
  <c r="M663" i="2"/>
  <c r="N663" i="2"/>
  <c r="O663" i="2"/>
  <c r="Q663" i="2"/>
  <c r="R663" i="2"/>
  <c r="S663" i="2"/>
  <c r="T663" i="2"/>
  <c r="U663" i="2"/>
  <c r="V663" i="2"/>
  <c r="W663" i="2"/>
  <c r="X663" i="2"/>
  <c r="E664" i="2"/>
  <c r="F664" i="2"/>
  <c r="G664" i="2"/>
  <c r="H664" i="2"/>
  <c r="I664" i="2"/>
  <c r="J664" i="2"/>
  <c r="K664" i="2"/>
  <c r="L664" i="2"/>
  <c r="M664" i="2"/>
  <c r="N664" i="2"/>
  <c r="O664" i="2"/>
  <c r="Q664" i="2"/>
  <c r="R664" i="2"/>
  <c r="S664" i="2"/>
  <c r="T664" i="2"/>
  <c r="U664" i="2"/>
  <c r="V664" i="2"/>
  <c r="W664" i="2"/>
  <c r="X664" i="2"/>
  <c r="E665" i="2"/>
  <c r="F665" i="2"/>
  <c r="G665" i="2"/>
  <c r="H665" i="2"/>
  <c r="I665" i="2"/>
  <c r="J665" i="2"/>
  <c r="K665" i="2"/>
  <c r="L665" i="2"/>
  <c r="M665" i="2"/>
  <c r="N665" i="2"/>
  <c r="O665" i="2"/>
  <c r="Q665" i="2"/>
  <c r="R665" i="2"/>
  <c r="S665" i="2"/>
  <c r="T665" i="2"/>
  <c r="U665" i="2"/>
  <c r="V665" i="2"/>
  <c r="W665" i="2"/>
  <c r="X665" i="2"/>
  <c r="E666" i="2"/>
  <c r="F666" i="2"/>
  <c r="G666" i="2"/>
  <c r="H666" i="2"/>
  <c r="I666" i="2"/>
  <c r="J666" i="2"/>
  <c r="K666" i="2"/>
  <c r="L666" i="2"/>
  <c r="M666" i="2"/>
  <c r="N666" i="2"/>
  <c r="O666" i="2"/>
  <c r="P666" i="2" s="1"/>
  <c r="Q666" i="2"/>
  <c r="R666" i="2"/>
  <c r="S666" i="2"/>
  <c r="T666" i="2"/>
  <c r="U666" i="2"/>
  <c r="V666" i="2"/>
  <c r="W666" i="2"/>
  <c r="X666" i="2"/>
  <c r="E667" i="2"/>
  <c r="F667" i="2"/>
  <c r="G667" i="2"/>
  <c r="H667" i="2"/>
  <c r="I667" i="2"/>
  <c r="J667" i="2"/>
  <c r="K667" i="2"/>
  <c r="L667" i="2"/>
  <c r="M667" i="2"/>
  <c r="N667" i="2"/>
  <c r="O667" i="2"/>
  <c r="P667" i="2" s="1"/>
  <c r="Q667" i="2"/>
  <c r="R667" i="2"/>
  <c r="S667" i="2"/>
  <c r="T667" i="2"/>
  <c r="U667" i="2"/>
  <c r="V667" i="2"/>
  <c r="W667" i="2"/>
  <c r="X667" i="2"/>
  <c r="E668" i="2"/>
  <c r="F668" i="2"/>
  <c r="G668" i="2"/>
  <c r="H668" i="2"/>
  <c r="I668" i="2"/>
  <c r="J668" i="2"/>
  <c r="K668" i="2"/>
  <c r="L668" i="2"/>
  <c r="M668" i="2"/>
  <c r="N668" i="2"/>
  <c r="O668" i="2"/>
  <c r="P668" i="2" s="1"/>
  <c r="Q668" i="2"/>
  <c r="R668" i="2"/>
  <c r="S668" i="2"/>
  <c r="T668" i="2"/>
  <c r="U668" i="2"/>
  <c r="V668" i="2"/>
  <c r="W668" i="2"/>
  <c r="X668" i="2"/>
  <c r="E669" i="2"/>
  <c r="F669" i="2"/>
  <c r="G669" i="2"/>
  <c r="H669" i="2"/>
  <c r="I669" i="2"/>
  <c r="J669" i="2"/>
  <c r="K669" i="2"/>
  <c r="L669" i="2"/>
  <c r="M669" i="2"/>
  <c r="N669" i="2"/>
  <c r="O669" i="2"/>
  <c r="Q669" i="2"/>
  <c r="R669" i="2"/>
  <c r="S669" i="2"/>
  <c r="T669" i="2"/>
  <c r="U669" i="2"/>
  <c r="V669" i="2"/>
  <c r="W669" i="2"/>
  <c r="X669" i="2"/>
  <c r="E670" i="2"/>
  <c r="F670" i="2"/>
  <c r="G670" i="2"/>
  <c r="H670" i="2"/>
  <c r="I670" i="2"/>
  <c r="J670" i="2"/>
  <c r="K670" i="2"/>
  <c r="L670" i="2"/>
  <c r="M670" i="2"/>
  <c r="N670" i="2"/>
  <c r="O670" i="2"/>
  <c r="Q670" i="2"/>
  <c r="R670" i="2"/>
  <c r="S670" i="2"/>
  <c r="T670" i="2"/>
  <c r="U670" i="2"/>
  <c r="V670" i="2"/>
  <c r="W670" i="2"/>
  <c r="X670" i="2"/>
  <c r="E671" i="2"/>
  <c r="F671" i="2"/>
  <c r="G671" i="2"/>
  <c r="H671" i="2"/>
  <c r="I671" i="2"/>
  <c r="J671" i="2"/>
  <c r="K671" i="2"/>
  <c r="L671" i="2"/>
  <c r="M671" i="2"/>
  <c r="N671" i="2"/>
  <c r="O671" i="2"/>
  <c r="Q671" i="2"/>
  <c r="R671" i="2"/>
  <c r="S671" i="2"/>
  <c r="T671" i="2"/>
  <c r="U671" i="2"/>
  <c r="V671" i="2"/>
  <c r="W671" i="2"/>
  <c r="X671" i="2"/>
  <c r="E672" i="2"/>
  <c r="F672" i="2"/>
  <c r="G672" i="2"/>
  <c r="H672" i="2"/>
  <c r="I672" i="2"/>
  <c r="J672" i="2"/>
  <c r="K672" i="2"/>
  <c r="L672" i="2"/>
  <c r="M672" i="2"/>
  <c r="N672" i="2"/>
  <c r="O672" i="2"/>
  <c r="P672" i="2" s="1"/>
  <c r="Q672" i="2"/>
  <c r="R672" i="2"/>
  <c r="S672" i="2"/>
  <c r="T672" i="2"/>
  <c r="U672" i="2"/>
  <c r="V672" i="2"/>
  <c r="W672" i="2"/>
  <c r="X672" i="2"/>
  <c r="E673" i="2"/>
  <c r="F673" i="2"/>
  <c r="G673" i="2"/>
  <c r="H673" i="2"/>
  <c r="I673" i="2"/>
  <c r="J673" i="2"/>
  <c r="K673" i="2"/>
  <c r="L673" i="2"/>
  <c r="M673" i="2"/>
  <c r="N673" i="2"/>
  <c r="O673" i="2"/>
  <c r="P673" i="2" s="1"/>
  <c r="Q673" i="2"/>
  <c r="R673" i="2"/>
  <c r="S673" i="2"/>
  <c r="T673" i="2"/>
  <c r="U673" i="2"/>
  <c r="V673" i="2"/>
  <c r="W673" i="2"/>
  <c r="X673" i="2"/>
  <c r="E674" i="2"/>
  <c r="F674" i="2"/>
  <c r="G674" i="2"/>
  <c r="H674" i="2"/>
  <c r="I674" i="2"/>
  <c r="J674" i="2"/>
  <c r="K674" i="2"/>
  <c r="L674" i="2"/>
  <c r="M674" i="2"/>
  <c r="N674" i="2"/>
  <c r="O674" i="2"/>
  <c r="P674" i="2" s="1"/>
  <c r="Q674" i="2"/>
  <c r="R674" i="2"/>
  <c r="S674" i="2"/>
  <c r="T674" i="2"/>
  <c r="U674" i="2"/>
  <c r="V674" i="2"/>
  <c r="W674" i="2"/>
  <c r="X674" i="2"/>
  <c r="E675" i="2"/>
  <c r="F675" i="2"/>
  <c r="G675" i="2"/>
  <c r="H675" i="2"/>
  <c r="I675" i="2"/>
  <c r="J675" i="2"/>
  <c r="K675" i="2"/>
  <c r="L675" i="2"/>
  <c r="M675" i="2"/>
  <c r="N675" i="2"/>
  <c r="O675" i="2"/>
  <c r="Q675" i="2"/>
  <c r="R675" i="2"/>
  <c r="S675" i="2"/>
  <c r="T675" i="2"/>
  <c r="U675" i="2"/>
  <c r="V675" i="2"/>
  <c r="W675" i="2"/>
  <c r="X675" i="2"/>
  <c r="E676" i="2"/>
  <c r="F676" i="2"/>
  <c r="G676" i="2"/>
  <c r="H676" i="2"/>
  <c r="I676" i="2"/>
  <c r="J676" i="2"/>
  <c r="K676" i="2"/>
  <c r="L676" i="2"/>
  <c r="M676" i="2"/>
  <c r="N676" i="2"/>
  <c r="O676" i="2"/>
  <c r="Q676" i="2"/>
  <c r="R676" i="2"/>
  <c r="S676" i="2"/>
  <c r="T676" i="2"/>
  <c r="U676" i="2"/>
  <c r="V676" i="2"/>
  <c r="W676" i="2"/>
  <c r="X676" i="2"/>
  <c r="E677" i="2"/>
  <c r="F677" i="2"/>
  <c r="G677" i="2"/>
  <c r="H677" i="2"/>
  <c r="I677" i="2"/>
  <c r="J677" i="2"/>
  <c r="K677" i="2"/>
  <c r="L677" i="2"/>
  <c r="M677" i="2"/>
  <c r="N677" i="2"/>
  <c r="O677" i="2"/>
  <c r="Q677" i="2"/>
  <c r="R677" i="2"/>
  <c r="S677" i="2"/>
  <c r="T677" i="2"/>
  <c r="U677" i="2"/>
  <c r="V677" i="2"/>
  <c r="W677" i="2"/>
  <c r="X677" i="2"/>
  <c r="E678" i="2"/>
  <c r="F678" i="2"/>
  <c r="G678" i="2"/>
  <c r="H678" i="2"/>
  <c r="I678" i="2"/>
  <c r="J678" i="2"/>
  <c r="K678" i="2"/>
  <c r="L678" i="2"/>
  <c r="M678" i="2"/>
  <c r="N678" i="2"/>
  <c r="O678" i="2"/>
  <c r="P678" i="2" s="1"/>
  <c r="Q678" i="2"/>
  <c r="R678" i="2"/>
  <c r="S678" i="2"/>
  <c r="T678" i="2"/>
  <c r="U678" i="2"/>
  <c r="V678" i="2"/>
  <c r="W678" i="2"/>
  <c r="X678" i="2"/>
  <c r="E679" i="2"/>
  <c r="F679" i="2"/>
  <c r="G679" i="2"/>
  <c r="H679" i="2"/>
  <c r="I679" i="2"/>
  <c r="J679" i="2"/>
  <c r="K679" i="2"/>
  <c r="L679" i="2"/>
  <c r="M679" i="2"/>
  <c r="N679" i="2"/>
  <c r="O679" i="2"/>
  <c r="P679" i="2" s="1"/>
  <c r="Q679" i="2"/>
  <c r="R679" i="2"/>
  <c r="S679" i="2"/>
  <c r="T679" i="2"/>
  <c r="U679" i="2"/>
  <c r="V679" i="2"/>
  <c r="W679" i="2"/>
  <c r="X679" i="2"/>
  <c r="E680" i="2"/>
  <c r="F680" i="2"/>
  <c r="G680" i="2"/>
  <c r="H680" i="2"/>
  <c r="I680" i="2"/>
  <c r="J680" i="2"/>
  <c r="K680" i="2"/>
  <c r="L680" i="2"/>
  <c r="M680" i="2"/>
  <c r="N680" i="2"/>
  <c r="O680" i="2"/>
  <c r="P680" i="2" s="1"/>
  <c r="Q680" i="2"/>
  <c r="R680" i="2"/>
  <c r="S680" i="2"/>
  <c r="T680" i="2"/>
  <c r="U680" i="2"/>
  <c r="V680" i="2"/>
  <c r="W680" i="2"/>
  <c r="X680" i="2"/>
  <c r="E681" i="2"/>
  <c r="F681" i="2"/>
  <c r="G681" i="2"/>
  <c r="H681" i="2"/>
  <c r="I681" i="2"/>
  <c r="J681" i="2"/>
  <c r="K681" i="2"/>
  <c r="L681" i="2"/>
  <c r="M681" i="2"/>
  <c r="N681" i="2"/>
  <c r="O681" i="2"/>
  <c r="Q681" i="2"/>
  <c r="R681" i="2"/>
  <c r="S681" i="2"/>
  <c r="T681" i="2"/>
  <c r="U681" i="2"/>
  <c r="V681" i="2"/>
  <c r="W681" i="2"/>
  <c r="X681" i="2"/>
  <c r="E682" i="2"/>
  <c r="F682" i="2"/>
  <c r="G682" i="2"/>
  <c r="H682" i="2"/>
  <c r="I682" i="2"/>
  <c r="J682" i="2"/>
  <c r="K682" i="2"/>
  <c r="L682" i="2"/>
  <c r="M682" i="2"/>
  <c r="N682" i="2"/>
  <c r="O682" i="2"/>
  <c r="Q682" i="2"/>
  <c r="R682" i="2"/>
  <c r="S682" i="2"/>
  <c r="T682" i="2"/>
  <c r="U682" i="2"/>
  <c r="V682" i="2"/>
  <c r="W682" i="2"/>
  <c r="X682" i="2"/>
  <c r="E683" i="2"/>
  <c r="F683" i="2"/>
  <c r="G683" i="2"/>
  <c r="H683" i="2"/>
  <c r="I683" i="2"/>
  <c r="J683" i="2"/>
  <c r="K683" i="2"/>
  <c r="L683" i="2"/>
  <c r="M683" i="2"/>
  <c r="N683" i="2"/>
  <c r="O683" i="2"/>
  <c r="Q683" i="2"/>
  <c r="R683" i="2"/>
  <c r="S683" i="2"/>
  <c r="T683" i="2"/>
  <c r="U683" i="2"/>
  <c r="V683" i="2"/>
  <c r="W683" i="2"/>
  <c r="X683" i="2"/>
  <c r="E684" i="2"/>
  <c r="F684" i="2"/>
  <c r="G684" i="2"/>
  <c r="H684" i="2"/>
  <c r="I684" i="2"/>
  <c r="J684" i="2"/>
  <c r="K684" i="2"/>
  <c r="L684" i="2"/>
  <c r="M684" i="2"/>
  <c r="N684" i="2"/>
  <c r="O684" i="2"/>
  <c r="P684" i="2" s="1"/>
  <c r="Q684" i="2"/>
  <c r="R684" i="2"/>
  <c r="S684" i="2"/>
  <c r="T684" i="2"/>
  <c r="U684" i="2"/>
  <c r="V684" i="2"/>
  <c r="W684" i="2"/>
  <c r="X684" i="2"/>
  <c r="E685" i="2"/>
  <c r="F685" i="2"/>
  <c r="G685" i="2"/>
  <c r="H685" i="2"/>
  <c r="I685" i="2"/>
  <c r="J685" i="2"/>
  <c r="K685" i="2"/>
  <c r="L685" i="2"/>
  <c r="M685" i="2"/>
  <c r="N685" i="2"/>
  <c r="O685" i="2"/>
  <c r="P685" i="2" s="1"/>
  <c r="Q685" i="2"/>
  <c r="R685" i="2"/>
  <c r="S685" i="2"/>
  <c r="T685" i="2"/>
  <c r="U685" i="2"/>
  <c r="V685" i="2"/>
  <c r="W685" i="2"/>
  <c r="X685" i="2"/>
  <c r="E686" i="2"/>
  <c r="F686" i="2"/>
  <c r="G686" i="2"/>
  <c r="H686" i="2"/>
  <c r="I686" i="2"/>
  <c r="J686" i="2"/>
  <c r="K686" i="2"/>
  <c r="L686" i="2"/>
  <c r="M686" i="2"/>
  <c r="N686" i="2"/>
  <c r="O686" i="2"/>
  <c r="P686" i="2" s="1"/>
  <c r="Q686" i="2"/>
  <c r="R686" i="2"/>
  <c r="S686" i="2"/>
  <c r="T686" i="2"/>
  <c r="U686" i="2"/>
  <c r="V686" i="2"/>
  <c r="W686" i="2"/>
  <c r="X686" i="2"/>
  <c r="E687" i="2"/>
  <c r="F687" i="2"/>
  <c r="G687" i="2"/>
  <c r="H687" i="2"/>
  <c r="I687" i="2"/>
  <c r="J687" i="2"/>
  <c r="K687" i="2"/>
  <c r="L687" i="2"/>
  <c r="M687" i="2"/>
  <c r="N687" i="2"/>
  <c r="O687" i="2"/>
  <c r="Q687" i="2"/>
  <c r="R687" i="2"/>
  <c r="S687" i="2"/>
  <c r="T687" i="2"/>
  <c r="U687" i="2"/>
  <c r="V687" i="2"/>
  <c r="W687" i="2"/>
  <c r="X687" i="2"/>
  <c r="E688" i="2"/>
  <c r="F688" i="2"/>
  <c r="G688" i="2"/>
  <c r="H688" i="2"/>
  <c r="I688" i="2"/>
  <c r="J688" i="2"/>
  <c r="K688" i="2"/>
  <c r="L688" i="2"/>
  <c r="M688" i="2"/>
  <c r="N688" i="2"/>
  <c r="O688" i="2"/>
  <c r="Q688" i="2"/>
  <c r="R688" i="2"/>
  <c r="S688" i="2"/>
  <c r="T688" i="2"/>
  <c r="U688" i="2"/>
  <c r="V688" i="2"/>
  <c r="W688" i="2"/>
  <c r="X688" i="2"/>
  <c r="E689" i="2"/>
  <c r="F689" i="2"/>
  <c r="G689" i="2"/>
  <c r="H689" i="2"/>
  <c r="I689" i="2"/>
  <c r="J689" i="2"/>
  <c r="K689" i="2"/>
  <c r="L689" i="2"/>
  <c r="M689" i="2"/>
  <c r="N689" i="2"/>
  <c r="O689" i="2"/>
  <c r="Q689" i="2"/>
  <c r="R689" i="2"/>
  <c r="S689" i="2"/>
  <c r="T689" i="2"/>
  <c r="U689" i="2"/>
  <c r="V689" i="2"/>
  <c r="W689" i="2"/>
  <c r="X689" i="2"/>
  <c r="E690" i="2"/>
  <c r="F690" i="2"/>
  <c r="G690" i="2"/>
  <c r="H690" i="2"/>
  <c r="I690" i="2"/>
  <c r="J690" i="2"/>
  <c r="K690" i="2"/>
  <c r="L690" i="2"/>
  <c r="M690" i="2"/>
  <c r="N690" i="2"/>
  <c r="O690" i="2"/>
  <c r="P690" i="2" s="1"/>
  <c r="Q690" i="2"/>
  <c r="R690" i="2"/>
  <c r="S690" i="2"/>
  <c r="T690" i="2"/>
  <c r="U690" i="2"/>
  <c r="V690" i="2"/>
  <c r="W690" i="2"/>
  <c r="X690" i="2"/>
  <c r="E691" i="2"/>
  <c r="F691" i="2"/>
  <c r="G691" i="2"/>
  <c r="H691" i="2"/>
  <c r="I691" i="2"/>
  <c r="J691" i="2"/>
  <c r="K691" i="2"/>
  <c r="L691" i="2"/>
  <c r="M691" i="2"/>
  <c r="N691" i="2"/>
  <c r="O691" i="2"/>
  <c r="P691" i="2" s="1"/>
  <c r="Q691" i="2"/>
  <c r="R691" i="2"/>
  <c r="S691" i="2"/>
  <c r="T691" i="2"/>
  <c r="U691" i="2"/>
  <c r="V691" i="2"/>
  <c r="W691" i="2"/>
  <c r="X691" i="2"/>
  <c r="E692" i="2"/>
  <c r="F692" i="2"/>
  <c r="G692" i="2"/>
  <c r="H692" i="2"/>
  <c r="I692" i="2"/>
  <c r="J692" i="2"/>
  <c r="K692" i="2"/>
  <c r="L692" i="2"/>
  <c r="M692" i="2"/>
  <c r="N692" i="2"/>
  <c r="O692" i="2"/>
  <c r="P692" i="2" s="1"/>
  <c r="Q692" i="2"/>
  <c r="R692" i="2"/>
  <c r="S692" i="2"/>
  <c r="T692" i="2"/>
  <c r="U692" i="2"/>
  <c r="V692" i="2"/>
  <c r="W692" i="2"/>
  <c r="X692" i="2"/>
  <c r="E693" i="2"/>
  <c r="F693" i="2"/>
  <c r="G693" i="2"/>
  <c r="H693" i="2"/>
  <c r="I693" i="2"/>
  <c r="J693" i="2"/>
  <c r="K693" i="2"/>
  <c r="L693" i="2"/>
  <c r="M693" i="2"/>
  <c r="N693" i="2"/>
  <c r="O693" i="2"/>
  <c r="Q693" i="2"/>
  <c r="R693" i="2"/>
  <c r="S693" i="2"/>
  <c r="T693" i="2"/>
  <c r="U693" i="2"/>
  <c r="V693" i="2"/>
  <c r="W693" i="2"/>
  <c r="X693" i="2"/>
  <c r="E694" i="2"/>
  <c r="F694" i="2"/>
  <c r="G694" i="2"/>
  <c r="H694" i="2"/>
  <c r="I694" i="2"/>
  <c r="J694" i="2"/>
  <c r="K694" i="2"/>
  <c r="L694" i="2"/>
  <c r="M694" i="2"/>
  <c r="N694" i="2"/>
  <c r="O694" i="2"/>
  <c r="Q694" i="2"/>
  <c r="R694" i="2"/>
  <c r="S694" i="2"/>
  <c r="T694" i="2"/>
  <c r="U694" i="2"/>
  <c r="V694" i="2"/>
  <c r="W694" i="2"/>
  <c r="X694" i="2"/>
  <c r="E695" i="2"/>
  <c r="F695" i="2"/>
  <c r="G695" i="2"/>
  <c r="H695" i="2"/>
  <c r="I695" i="2"/>
  <c r="J695" i="2"/>
  <c r="K695" i="2"/>
  <c r="L695" i="2"/>
  <c r="M695" i="2"/>
  <c r="N695" i="2"/>
  <c r="O695" i="2"/>
  <c r="Q695" i="2"/>
  <c r="R695" i="2"/>
  <c r="S695" i="2"/>
  <c r="T695" i="2"/>
  <c r="U695" i="2"/>
  <c r="V695" i="2"/>
  <c r="W695" i="2"/>
  <c r="X695" i="2"/>
  <c r="E696" i="2"/>
  <c r="F696" i="2"/>
  <c r="G696" i="2"/>
  <c r="H696" i="2"/>
  <c r="I696" i="2"/>
  <c r="J696" i="2"/>
  <c r="K696" i="2"/>
  <c r="L696" i="2"/>
  <c r="M696" i="2"/>
  <c r="N696" i="2"/>
  <c r="O696" i="2"/>
  <c r="P696" i="2" s="1"/>
  <c r="Q696" i="2"/>
  <c r="R696" i="2"/>
  <c r="S696" i="2"/>
  <c r="T696" i="2"/>
  <c r="U696" i="2"/>
  <c r="V696" i="2"/>
  <c r="W696" i="2"/>
  <c r="X696" i="2"/>
  <c r="E697" i="2"/>
  <c r="F697" i="2"/>
  <c r="G697" i="2"/>
  <c r="H697" i="2"/>
  <c r="I697" i="2"/>
  <c r="J697" i="2"/>
  <c r="K697" i="2"/>
  <c r="L697" i="2"/>
  <c r="M697" i="2"/>
  <c r="N697" i="2"/>
  <c r="O697" i="2"/>
  <c r="P697" i="2" s="1"/>
  <c r="Q697" i="2"/>
  <c r="R697" i="2"/>
  <c r="S697" i="2"/>
  <c r="T697" i="2"/>
  <c r="U697" i="2"/>
  <c r="V697" i="2"/>
  <c r="W697" i="2"/>
  <c r="X697" i="2"/>
  <c r="E698" i="2"/>
  <c r="F698" i="2"/>
  <c r="G698" i="2"/>
  <c r="H698" i="2"/>
  <c r="I698" i="2"/>
  <c r="J698" i="2"/>
  <c r="K698" i="2"/>
  <c r="L698" i="2"/>
  <c r="M698" i="2"/>
  <c r="N698" i="2"/>
  <c r="O698" i="2"/>
  <c r="P698" i="2" s="1"/>
  <c r="Q698" i="2"/>
  <c r="R698" i="2"/>
  <c r="S698" i="2"/>
  <c r="T698" i="2"/>
  <c r="U698" i="2"/>
  <c r="V698" i="2"/>
  <c r="W698" i="2"/>
  <c r="X698" i="2"/>
  <c r="E699" i="2"/>
  <c r="F699" i="2"/>
  <c r="G699" i="2"/>
  <c r="H699" i="2"/>
  <c r="I699" i="2"/>
  <c r="J699" i="2"/>
  <c r="K699" i="2"/>
  <c r="L699" i="2"/>
  <c r="M699" i="2"/>
  <c r="N699" i="2"/>
  <c r="O699" i="2"/>
  <c r="Q699" i="2"/>
  <c r="R699" i="2"/>
  <c r="S699" i="2"/>
  <c r="T699" i="2"/>
  <c r="U699" i="2"/>
  <c r="V699" i="2"/>
  <c r="W699" i="2"/>
  <c r="X699" i="2"/>
  <c r="E700" i="2"/>
  <c r="F700" i="2"/>
  <c r="G700" i="2"/>
  <c r="H700" i="2"/>
  <c r="I700" i="2"/>
  <c r="J700" i="2"/>
  <c r="K700" i="2"/>
  <c r="L700" i="2"/>
  <c r="M700" i="2"/>
  <c r="N700" i="2"/>
  <c r="O700" i="2"/>
  <c r="Q700" i="2"/>
  <c r="R700" i="2"/>
  <c r="S700" i="2"/>
  <c r="T700" i="2"/>
  <c r="U700" i="2"/>
  <c r="V700" i="2"/>
  <c r="W700" i="2"/>
  <c r="X700" i="2"/>
  <c r="E701" i="2"/>
  <c r="F701" i="2"/>
  <c r="G701" i="2"/>
  <c r="H701" i="2"/>
  <c r="I701" i="2"/>
  <c r="J701" i="2"/>
  <c r="K701" i="2"/>
  <c r="L701" i="2"/>
  <c r="M701" i="2"/>
  <c r="N701" i="2"/>
  <c r="O701" i="2"/>
  <c r="Q701" i="2"/>
  <c r="R701" i="2"/>
  <c r="S701" i="2"/>
  <c r="T701" i="2"/>
  <c r="U701" i="2"/>
  <c r="V701" i="2"/>
  <c r="W701" i="2"/>
  <c r="X701" i="2"/>
  <c r="E702" i="2"/>
  <c r="F702" i="2"/>
  <c r="G702" i="2"/>
  <c r="H702" i="2"/>
  <c r="I702" i="2"/>
  <c r="J702" i="2"/>
  <c r="K702" i="2"/>
  <c r="L702" i="2"/>
  <c r="M702" i="2"/>
  <c r="N702" i="2"/>
  <c r="O702" i="2"/>
  <c r="P702" i="2" s="1"/>
  <c r="Q702" i="2"/>
  <c r="R702" i="2"/>
  <c r="S702" i="2"/>
  <c r="T702" i="2"/>
  <c r="U702" i="2"/>
  <c r="V702" i="2"/>
  <c r="W702" i="2"/>
  <c r="X702" i="2"/>
  <c r="E703" i="2"/>
  <c r="F703" i="2"/>
  <c r="G703" i="2"/>
  <c r="H703" i="2"/>
  <c r="I703" i="2"/>
  <c r="J703" i="2"/>
  <c r="K703" i="2"/>
  <c r="L703" i="2"/>
  <c r="M703" i="2"/>
  <c r="N703" i="2"/>
  <c r="O703" i="2"/>
  <c r="P703" i="2" s="1"/>
  <c r="Q703" i="2"/>
  <c r="R703" i="2"/>
  <c r="S703" i="2"/>
  <c r="T703" i="2"/>
  <c r="U703" i="2"/>
  <c r="V703" i="2"/>
  <c r="W703" i="2"/>
  <c r="X703" i="2"/>
  <c r="E704" i="2"/>
  <c r="F704" i="2"/>
  <c r="G704" i="2"/>
  <c r="H704" i="2"/>
  <c r="I704" i="2"/>
  <c r="J704" i="2"/>
  <c r="K704" i="2"/>
  <c r="L704" i="2"/>
  <c r="M704" i="2"/>
  <c r="N704" i="2"/>
  <c r="O704" i="2"/>
  <c r="P704" i="2" s="1"/>
  <c r="Q704" i="2"/>
  <c r="R704" i="2"/>
  <c r="S704" i="2"/>
  <c r="T704" i="2"/>
  <c r="U704" i="2"/>
  <c r="V704" i="2"/>
  <c r="W704" i="2"/>
  <c r="X704" i="2"/>
  <c r="E705" i="2"/>
  <c r="F705" i="2"/>
  <c r="G705" i="2"/>
  <c r="H705" i="2"/>
  <c r="I705" i="2"/>
  <c r="J705" i="2"/>
  <c r="K705" i="2"/>
  <c r="L705" i="2"/>
  <c r="M705" i="2"/>
  <c r="N705" i="2"/>
  <c r="O705" i="2"/>
  <c r="Q705" i="2"/>
  <c r="R705" i="2"/>
  <c r="S705" i="2"/>
  <c r="T705" i="2"/>
  <c r="U705" i="2"/>
  <c r="V705" i="2"/>
  <c r="W705" i="2"/>
  <c r="X705" i="2"/>
  <c r="E706" i="2"/>
  <c r="F706" i="2"/>
  <c r="G706" i="2"/>
  <c r="H706" i="2"/>
  <c r="I706" i="2"/>
  <c r="J706" i="2"/>
  <c r="K706" i="2"/>
  <c r="L706" i="2"/>
  <c r="M706" i="2"/>
  <c r="N706" i="2"/>
  <c r="O706" i="2"/>
  <c r="Q706" i="2"/>
  <c r="R706" i="2"/>
  <c r="S706" i="2"/>
  <c r="T706" i="2"/>
  <c r="U706" i="2"/>
  <c r="V706" i="2"/>
  <c r="W706" i="2"/>
  <c r="X706" i="2"/>
  <c r="E707" i="2"/>
  <c r="F707" i="2"/>
  <c r="G707" i="2"/>
  <c r="H707" i="2"/>
  <c r="I707" i="2"/>
  <c r="J707" i="2"/>
  <c r="K707" i="2"/>
  <c r="L707" i="2"/>
  <c r="M707" i="2"/>
  <c r="N707" i="2"/>
  <c r="O707" i="2"/>
  <c r="Q707" i="2"/>
  <c r="R707" i="2"/>
  <c r="S707" i="2"/>
  <c r="T707" i="2"/>
  <c r="U707" i="2"/>
  <c r="V707" i="2"/>
  <c r="W707" i="2"/>
  <c r="X707" i="2"/>
  <c r="E708" i="2"/>
  <c r="F708" i="2"/>
  <c r="G708" i="2"/>
  <c r="H708" i="2"/>
  <c r="I708" i="2"/>
  <c r="J708" i="2"/>
  <c r="K708" i="2"/>
  <c r="L708" i="2"/>
  <c r="M708" i="2"/>
  <c r="N708" i="2"/>
  <c r="O708" i="2"/>
  <c r="P708" i="2" s="1"/>
  <c r="Q708" i="2"/>
  <c r="R708" i="2"/>
  <c r="S708" i="2"/>
  <c r="T708" i="2"/>
  <c r="U708" i="2"/>
  <c r="V708" i="2"/>
  <c r="W708" i="2"/>
  <c r="X708" i="2"/>
  <c r="E709" i="2"/>
  <c r="F709" i="2"/>
  <c r="G709" i="2"/>
  <c r="H709" i="2"/>
  <c r="I709" i="2"/>
  <c r="J709" i="2"/>
  <c r="K709" i="2"/>
  <c r="L709" i="2"/>
  <c r="M709" i="2"/>
  <c r="N709" i="2"/>
  <c r="O709" i="2"/>
  <c r="P709" i="2" s="1"/>
  <c r="Q709" i="2"/>
  <c r="R709" i="2"/>
  <c r="S709" i="2"/>
  <c r="T709" i="2"/>
  <c r="U709" i="2"/>
  <c r="V709" i="2"/>
  <c r="W709" i="2"/>
  <c r="X709" i="2"/>
  <c r="X651" i="2"/>
  <c r="W651" i="2"/>
  <c r="V651" i="2"/>
  <c r="U651" i="2"/>
  <c r="T651" i="2"/>
  <c r="S651" i="2"/>
  <c r="R651" i="2"/>
  <c r="Q651" i="2"/>
  <c r="O651" i="2"/>
  <c r="P651" i="2" s="1"/>
  <c r="N651" i="2"/>
  <c r="M651" i="2"/>
  <c r="L651" i="2"/>
  <c r="K651" i="2"/>
  <c r="J651" i="2"/>
  <c r="I651" i="2"/>
  <c r="H651" i="2"/>
  <c r="G651" i="2"/>
  <c r="F651" i="2"/>
  <c r="E651" i="2"/>
  <c r="E588" i="2"/>
  <c r="F588" i="2"/>
  <c r="G588" i="2"/>
  <c r="H588" i="2"/>
  <c r="I588" i="2"/>
  <c r="J588" i="2"/>
  <c r="K588" i="2"/>
  <c r="L588" i="2"/>
  <c r="M588" i="2"/>
  <c r="N588" i="2"/>
  <c r="O588" i="2"/>
  <c r="Q588" i="2"/>
  <c r="R588" i="2"/>
  <c r="S588" i="2"/>
  <c r="T588" i="2"/>
  <c r="U588" i="2"/>
  <c r="V588" i="2"/>
  <c r="W588" i="2"/>
  <c r="X588" i="2"/>
  <c r="E589" i="2"/>
  <c r="F589" i="2"/>
  <c r="G589" i="2"/>
  <c r="H589" i="2"/>
  <c r="I589" i="2"/>
  <c r="J589" i="2"/>
  <c r="K589" i="2"/>
  <c r="L589" i="2"/>
  <c r="M589" i="2"/>
  <c r="N589" i="2"/>
  <c r="O589" i="2"/>
  <c r="Q589" i="2"/>
  <c r="R589" i="2"/>
  <c r="S589" i="2"/>
  <c r="T589" i="2"/>
  <c r="U589" i="2"/>
  <c r="V589" i="2"/>
  <c r="W589" i="2"/>
  <c r="X589" i="2"/>
  <c r="E590" i="2"/>
  <c r="F590" i="2"/>
  <c r="G590" i="2"/>
  <c r="H590" i="2"/>
  <c r="I590" i="2"/>
  <c r="J590" i="2"/>
  <c r="K590" i="2"/>
  <c r="L590" i="2"/>
  <c r="M590" i="2"/>
  <c r="N590" i="2"/>
  <c r="O590" i="2"/>
  <c r="Q590" i="2"/>
  <c r="R590" i="2"/>
  <c r="S590" i="2"/>
  <c r="T590" i="2"/>
  <c r="U590" i="2"/>
  <c r="V590" i="2"/>
  <c r="W590" i="2"/>
  <c r="X590" i="2"/>
  <c r="E591" i="2"/>
  <c r="F591" i="2"/>
  <c r="G591" i="2"/>
  <c r="H591" i="2"/>
  <c r="I591" i="2"/>
  <c r="J591" i="2"/>
  <c r="K591" i="2"/>
  <c r="L591" i="2"/>
  <c r="M591" i="2"/>
  <c r="N591" i="2"/>
  <c r="O591" i="2"/>
  <c r="P591" i="2" s="1"/>
  <c r="Q591" i="2"/>
  <c r="R591" i="2"/>
  <c r="S591" i="2"/>
  <c r="T591" i="2"/>
  <c r="U591" i="2"/>
  <c r="V591" i="2"/>
  <c r="W591" i="2"/>
  <c r="X591" i="2"/>
  <c r="E592" i="2"/>
  <c r="F592" i="2"/>
  <c r="G592" i="2"/>
  <c r="H592" i="2"/>
  <c r="I592" i="2"/>
  <c r="J592" i="2"/>
  <c r="K592" i="2"/>
  <c r="L592" i="2"/>
  <c r="M592" i="2"/>
  <c r="N592" i="2"/>
  <c r="O592" i="2"/>
  <c r="P592" i="2" s="1"/>
  <c r="Q592" i="2"/>
  <c r="R592" i="2"/>
  <c r="S592" i="2"/>
  <c r="T592" i="2"/>
  <c r="U592" i="2"/>
  <c r="V592" i="2"/>
  <c r="W592" i="2"/>
  <c r="X592" i="2"/>
  <c r="E593" i="2"/>
  <c r="F593" i="2"/>
  <c r="G593" i="2"/>
  <c r="H593" i="2"/>
  <c r="I593" i="2"/>
  <c r="J593" i="2"/>
  <c r="K593" i="2"/>
  <c r="L593" i="2"/>
  <c r="M593" i="2"/>
  <c r="N593" i="2"/>
  <c r="O593" i="2"/>
  <c r="P593" i="2" s="1"/>
  <c r="Q593" i="2"/>
  <c r="R593" i="2"/>
  <c r="S593" i="2"/>
  <c r="T593" i="2"/>
  <c r="U593" i="2"/>
  <c r="V593" i="2"/>
  <c r="W593" i="2"/>
  <c r="X593" i="2"/>
  <c r="E594" i="2"/>
  <c r="F594" i="2"/>
  <c r="G594" i="2"/>
  <c r="H594" i="2"/>
  <c r="I594" i="2"/>
  <c r="J594" i="2"/>
  <c r="K594" i="2"/>
  <c r="L594" i="2"/>
  <c r="M594" i="2"/>
  <c r="N594" i="2"/>
  <c r="O594" i="2"/>
  <c r="Q594" i="2"/>
  <c r="R594" i="2"/>
  <c r="S594" i="2"/>
  <c r="T594" i="2"/>
  <c r="U594" i="2"/>
  <c r="V594" i="2"/>
  <c r="W594" i="2"/>
  <c r="X594" i="2"/>
  <c r="E595" i="2"/>
  <c r="F595" i="2"/>
  <c r="G595" i="2"/>
  <c r="H595" i="2"/>
  <c r="I595" i="2"/>
  <c r="J595" i="2"/>
  <c r="K595" i="2"/>
  <c r="L595" i="2"/>
  <c r="M595" i="2"/>
  <c r="N595" i="2"/>
  <c r="O595" i="2"/>
  <c r="Q595" i="2"/>
  <c r="R595" i="2"/>
  <c r="S595" i="2"/>
  <c r="T595" i="2"/>
  <c r="U595" i="2"/>
  <c r="V595" i="2"/>
  <c r="W595" i="2"/>
  <c r="X595" i="2"/>
  <c r="E596" i="2"/>
  <c r="F596" i="2"/>
  <c r="G596" i="2"/>
  <c r="H596" i="2"/>
  <c r="I596" i="2"/>
  <c r="J596" i="2"/>
  <c r="K596" i="2"/>
  <c r="L596" i="2"/>
  <c r="M596" i="2"/>
  <c r="N596" i="2"/>
  <c r="O596" i="2"/>
  <c r="Q596" i="2"/>
  <c r="R596" i="2"/>
  <c r="S596" i="2"/>
  <c r="T596" i="2"/>
  <c r="U596" i="2"/>
  <c r="V596" i="2"/>
  <c r="W596" i="2"/>
  <c r="X596" i="2"/>
  <c r="E597" i="2"/>
  <c r="F597" i="2"/>
  <c r="G597" i="2"/>
  <c r="H597" i="2"/>
  <c r="I597" i="2"/>
  <c r="J597" i="2"/>
  <c r="K597" i="2"/>
  <c r="L597" i="2"/>
  <c r="M597" i="2"/>
  <c r="N597" i="2"/>
  <c r="O597" i="2"/>
  <c r="P597" i="2" s="1"/>
  <c r="Q597" i="2"/>
  <c r="R597" i="2"/>
  <c r="S597" i="2"/>
  <c r="T597" i="2"/>
  <c r="U597" i="2"/>
  <c r="V597" i="2"/>
  <c r="W597" i="2"/>
  <c r="X597" i="2"/>
  <c r="E598" i="2"/>
  <c r="F598" i="2"/>
  <c r="G598" i="2"/>
  <c r="H598" i="2"/>
  <c r="I598" i="2"/>
  <c r="J598" i="2"/>
  <c r="K598" i="2"/>
  <c r="L598" i="2"/>
  <c r="M598" i="2"/>
  <c r="N598" i="2"/>
  <c r="O598" i="2"/>
  <c r="P598" i="2" s="1"/>
  <c r="Q598" i="2"/>
  <c r="R598" i="2"/>
  <c r="S598" i="2"/>
  <c r="T598" i="2"/>
  <c r="U598" i="2"/>
  <c r="V598" i="2"/>
  <c r="W598" i="2"/>
  <c r="X598" i="2"/>
  <c r="E599" i="2"/>
  <c r="F599" i="2"/>
  <c r="G599" i="2"/>
  <c r="H599" i="2"/>
  <c r="I599" i="2"/>
  <c r="J599" i="2"/>
  <c r="K599" i="2"/>
  <c r="L599" i="2"/>
  <c r="M599" i="2"/>
  <c r="N599" i="2"/>
  <c r="O599" i="2"/>
  <c r="P599" i="2" s="1"/>
  <c r="Q599" i="2"/>
  <c r="R599" i="2"/>
  <c r="S599" i="2"/>
  <c r="T599" i="2"/>
  <c r="U599" i="2"/>
  <c r="V599" i="2"/>
  <c r="W599" i="2"/>
  <c r="X599" i="2"/>
  <c r="E600" i="2"/>
  <c r="F600" i="2"/>
  <c r="G600" i="2"/>
  <c r="H600" i="2"/>
  <c r="I600" i="2"/>
  <c r="J600" i="2"/>
  <c r="K600" i="2"/>
  <c r="L600" i="2"/>
  <c r="M600" i="2"/>
  <c r="N600" i="2"/>
  <c r="O600" i="2"/>
  <c r="Q600" i="2"/>
  <c r="R600" i="2"/>
  <c r="S600" i="2"/>
  <c r="T600" i="2"/>
  <c r="U600" i="2"/>
  <c r="V600" i="2"/>
  <c r="W600" i="2"/>
  <c r="X600" i="2"/>
  <c r="E601" i="2"/>
  <c r="F601" i="2"/>
  <c r="G601" i="2"/>
  <c r="H601" i="2"/>
  <c r="I601" i="2"/>
  <c r="J601" i="2"/>
  <c r="K601" i="2"/>
  <c r="L601" i="2"/>
  <c r="M601" i="2"/>
  <c r="N601" i="2"/>
  <c r="O601" i="2"/>
  <c r="Q601" i="2"/>
  <c r="R601" i="2"/>
  <c r="S601" i="2"/>
  <c r="T601" i="2"/>
  <c r="U601" i="2"/>
  <c r="V601" i="2"/>
  <c r="W601" i="2"/>
  <c r="X601" i="2"/>
  <c r="E602" i="2"/>
  <c r="F602" i="2"/>
  <c r="G602" i="2"/>
  <c r="H602" i="2"/>
  <c r="I602" i="2"/>
  <c r="J602" i="2"/>
  <c r="K602" i="2"/>
  <c r="L602" i="2"/>
  <c r="M602" i="2"/>
  <c r="N602" i="2"/>
  <c r="O602" i="2"/>
  <c r="Q602" i="2"/>
  <c r="R602" i="2"/>
  <c r="S602" i="2"/>
  <c r="T602" i="2"/>
  <c r="U602" i="2"/>
  <c r="V602" i="2"/>
  <c r="W602" i="2"/>
  <c r="X602" i="2"/>
  <c r="E603" i="2"/>
  <c r="F603" i="2"/>
  <c r="G603" i="2"/>
  <c r="H603" i="2"/>
  <c r="I603" i="2"/>
  <c r="J603" i="2"/>
  <c r="K603" i="2"/>
  <c r="L603" i="2"/>
  <c r="M603" i="2"/>
  <c r="N603" i="2"/>
  <c r="O603" i="2"/>
  <c r="P603" i="2" s="1"/>
  <c r="Q603" i="2"/>
  <c r="R603" i="2"/>
  <c r="S603" i="2"/>
  <c r="T603" i="2"/>
  <c r="U603" i="2"/>
  <c r="V603" i="2"/>
  <c r="W603" i="2"/>
  <c r="X603" i="2"/>
  <c r="E604" i="2"/>
  <c r="F604" i="2"/>
  <c r="G604" i="2"/>
  <c r="H604" i="2"/>
  <c r="I604" i="2"/>
  <c r="J604" i="2"/>
  <c r="K604" i="2"/>
  <c r="L604" i="2"/>
  <c r="M604" i="2"/>
  <c r="N604" i="2"/>
  <c r="O604" i="2"/>
  <c r="P604" i="2" s="1"/>
  <c r="Q604" i="2"/>
  <c r="R604" i="2"/>
  <c r="S604" i="2"/>
  <c r="T604" i="2"/>
  <c r="U604" i="2"/>
  <c r="V604" i="2"/>
  <c r="W604" i="2"/>
  <c r="X604" i="2"/>
  <c r="E605" i="2"/>
  <c r="F605" i="2"/>
  <c r="G605" i="2"/>
  <c r="H605" i="2"/>
  <c r="I605" i="2"/>
  <c r="J605" i="2"/>
  <c r="K605" i="2"/>
  <c r="L605" i="2"/>
  <c r="M605" i="2"/>
  <c r="N605" i="2"/>
  <c r="O605" i="2"/>
  <c r="P605" i="2" s="1"/>
  <c r="Q605" i="2"/>
  <c r="R605" i="2"/>
  <c r="S605" i="2"/>
  <c r="T605" i="2"/>
  <c r="U605" i="2"/>
  <c r="V605" i="2"/>
  <c r="W605" i="2"/>
  <c r="X605" i="2"/>
  <c r="E606" i="2"/>
  <c r="F606" i="2"/>
  <c r="G606" i="2"/>
  <c r="H606" i="2"/>
  <c r="I606" i="2"/>
  <c r="J606" i="2"/>
  <c r="K606" i="2"/>
  <c r="L606" i="2"/>
  <c r="M606" i="2"/>
  <c r="N606" i="2"/>
  <c r="O606" i="2"/>
  <c r="Q606" i="2"/>
  <c r="R606" i="2"/>
  <c r="S606" i="2"/>
  <c r="T606" i="2"/>
  <c r="U606" i="2"/>
  <c r="V606" i="2"/>
  <c r="W606" i="2"/>
  <c r="X606" i="2"/>
  <c r="E607" i="2"/>
  <c r="F607" i="2"/>
  <c r="G607" i="2"/>
  <c r="H607" i="2"/>
  <c r="I607" i="2"/>
  <c r="J607" i="2"/>
  <c r="K607" i="2"/>
  <c r="L607" i="2"/>
  <c r="M607" i="2"/>
  <c r="N607" i="2"/>
  <c r="O607" i="2"/>
  <c r="Q607" i="2"/>
  <c r="R607" i="2"/>
  <c r="S607" i="2"/>
  <c r="T607" i="2"/>
  <c r="U607" i="2"/>
  <c r="V607" i="2"/>
  <c r="W607" i="2"/>
  <c r="X607" i="2"/>
  <c r="E608" i="2"/>
  <c r="F608" i="2"/>
  <c r="G608" i="2"/>
  <c r="H608" i="2"/>
  <c r="I608" i="2"/>
  <c r="J608" i="2"/>
  <c r="K608" i="2"/>
  <c r="L608" i="2"/>
  <c r="M608" i="2"/>
  <c r="N608" i="2"/>
  <c r="O608" i="2"/>
  <c r="Q608" i="2"/>
  <c r="R608" i="2"/>
  <c r="S608" i="2"/>
  <c r="T608" i="2"/>
  <c r="U608" i="2"/>
  <c r="V608" i="2"/>
  <c r="W608" i="2"/>
  <c r="X608" i="2"/>
  <c r="E609" i="2"/>
  <c r="F609" i="2"/>
  <c r="G609" i="2"/>
  <c r="H609" i="2"/>
  <c r="I609" i="2"/>
  <c r="J609" i="2"/>
  <c r="K609" i="2"/>
  <c r="L609" i="2"/>
  <c r="M609" i="2"/>
  <c r="N609" i="2"/>
  <c r="O609" i="2"/>
  <c r="P609" i="2" s="1"/>
  <c r="Q609" i="2"/>
  <c r="R609" i="2"/>
  <c r="S609" i="2"/>
  <c r="T609" i="2"/>
  <c r="U609" i="2"/>
  <c r="V609" i="2"/>
  <c r="W609" i="2"/>
  <c r="X609" i="2"/>
  <c r="E610" i="2"/>
  <c r="F610" i="2"/>
  <c r="G610" i="2"/>
  <c r="H610" i="2"/>
  <c r="I610" i="2"/>
  <c r="J610" i="2"/>
  <c r="K610" i="2"/>
  <c r="L610" i="2"/>
  <c r="M610" i="2"/>
  <c r="N610" i="2"/>
  <c r="O610" i="2"/>
  <c r="P610" i="2" s="1"/>
  <c r="Q610" i="2"/>
  <c r="R610" i="2"/>
  <c r="S610" i="2"/>
  <c r="T610" i="2"/>
  <c r="U610" i="2"/>
  <c r="V610" i="2"/>
  <c r="W610" i="2"/>
  <c r="X610" i="2"/>
  <c r="E611" i="2"/>
  <c r="F611" i="2"/>
  <c r="G611" i="2"/>
  <c r="H611" i="2"/>
  <c r="I611" i="2"/>
  <c r="J611" i="2"/>
  <c r="K611" i="2"/>
  <c r="L611" i="2"/>
  <c r="M611" i="2"/>
  <c r="N611" i="2"/>
  <c r="O611" i="2"/>
  <c r="P611" i="2" s="1"/>
  <c r="Q611" i="2"/>
  <c r="R611" i="2"/>
  <c r="S611" i="2"/>
  <c r="T611" i="2"/>
  <c r="U611" i="2"/>
  <c r="V611" i="2"/>
  <c r="W611" i="2"/>
  <c r="X611" i="2"/>
  <c r="E612" i="2"/>
  <c r="F612" i="2"/>
  <c r="G612" i="2"/>
  <c r="H612" i="2"/>
  <c r="I612" i="2"/>
  <c r="J612" i="2"/>
  <c r="K612" i="2"/>
  <c r="L612" i="2"/>
  <c r="M612" i="2"/>
  <c r="N612" i="2"/>
  <c r="O612" i="2"/>
  <c r="Q612" i="2"/>
  <c r="R612" i="2"/>
  <c r="S612" i="2"/>
  <c r="T612" i="2"/>
  <c r="U612" i="2"/>
  <c r="V612" i="2"/>
  <c r="W612" i="2"/>
  <c r="X612" i="2"/>
  <c r="E613" i="2"/>
  <c r="F613" i="2"/>
  <c r="G613" i="2"/>
  <c r="H613" i="2"/>
  <c r="I613" i="2"/>
  <c r="J613" i="2"/>
  <c r="K613" i="2"/>
  <c r="L613" i="2"/>
  <c r="M613" i="2"/>
  <c r="N613" i="2"/>
  <c r="O613" i="2"/>
  <c r="Q613" i="2"/>
  <c r="R613" i="2"/>
  <c r="S613" i="2"/>
  <c r="T613" i="2"/>
  <c r="U613" i="2"/>
  <c r="V613" i="2"/>
  <c r="W613" i="2"/>
  <c r="X613" i="2"/>
  <c r="E614" i="2"/>
  <c r="F614" i="2"/>
  <c r="G614" i="2"/>
  <c r="H614" i="2"/>
  <c r="I614" i="2"/>
  <c r="J614" i="2"/>
  <c r="K614" i="2"/>
  <c r="L614" i="2"/>
  <c r="M614" i="2"/>
  <c r="N614" i="2"/>
  <c r="O614" i="2"/>
  <c r="Q614" i="2"/>
  <c r="R614" i="2"/>
  <c r="S614" i="2"/>
  <c r="T614" i="2"/>
  <c r="U614" i="2"/>
  <c r="V614" i="2"/>
  <c r="W614" i="2"/>
  <c r="X614" i="2"/>
  <c r="E615" i="2"/>
  <c r="F615" i="2"/>
  <c r="G615" i="2"/>
  <c r="H615" i="2"/>
  <c r="I615" i="2"/>
  <c r="J615" i="2"/>
  <c r="K615" i="2"/>
  <c r="L615" i="2"/>
  <c r="M615" i="2"/>
  <c r="N615" i="2"/>
  <c r="O615" i="2"/>
  <c r="P615" i="2" s="1"/>
  <c r="Q615" i="2"/>
  <c r="R615" i="2"/>
  <c r="S615" i="2"/>
  <c r="T615" i="2"/>
  <c r="U615" i="2"/>
  <c r="V615" i="2"/>
  <c r="W615" i="2"/>
  <c r="X615" i="2"/>
  <c r="E616" i="2"/>
  <c r="F616" i="2"/>
  <c r="G616" i="2"/>
  <c r="H616" i="2"/>
  <c r="I616" i="2"/>
  <c r="J616" i="2"/>
  <c r="K616" i="2"/>
  <c r="L616" i="2"/>
  <c r="M616" i="2"/>
  <c r="N616" i="2"/>
  <c r="O616" i="2"/>
  <c r="P616" i="2" s="1"/>
  <c r="Q616" i="2"/>
  <c r="R616" i="2"/>
  <c r="S616" i="2"/>
  <c r="T616" i="2"/>
  <c r="U616" i="2"/>
  <c r="V616" i="2"/>
  <c r="W616" i="2"/>
  <c r="X616" i="2"/>
  <c r="E617" i="2"/>
  <c r="F617" i="2"/>
  <c r="G617" i="2"/>
  <c r="H617" i="2"/>
  <c r="I617" i="2"/>
  <c r="J617" i="2"/>
  <c r="K617" i="2"/>
  <c r="L617" i="2"/>
  <c r="M617" i="2"/>
  <c r="N617" i="2"/>
  <c r="O617" i="2"/>
  <c r="P617" i="2" s="1"/>
  <c r="Q617" i="2"/>
  <c r="R617" i="2"/>
  <c r="S617" i="2"/>
  <c r="T617" i="2"/>
  <c r="U617" i="2"/>
  <c r="V617" i="2"/>
  <c r="W617" i="2"/>
  <c r="X617" i="2"/>
  <c r="E618" i="2"/>
  <c r="F618" i="2"/>
  <c r="G618" i="2"/>
  <c r="H618" i="2"/>
  <c r="I618" i="2"/>
  <c r="J618" i="2"/>
  <c r="K618" i="2"/>
  <c r="L618" i="2"/>
  <c r="M618" i="2"/>
  <c r="N618" i="2"/>
  <c r="O618" i="2"/>
  <c r="Q618" i="2"/>
  <c r="R618" i="2"/>
  <c r="S618" i="2"/>
  <c r="T618" i="2"/>
  <c r="U618" i="2"/>
  <c r="V618" i="2"/>
  <c r="W618" i="2"/>
  <c r="X618" i="2"/>
  <c r="E619" i="2"/>
  <c r="F619" i="2"/>
  <c r="G619" i="2"/>
  <c r="H619" i="2"/>
  <c r="I619" i="2"/>
  <c r="J619" i="2"/>
  <c r="K619" i="2"/>
  <c r="L619" i="2"/>
  <c r="M619" i="2"/>
  <c r="N619" i="2"/>
  <c r="O619" i="2"/>
  <c r="Q619" i="2"/>
  <c r="R619" i="2"/>
  <c r="S619" i="2"/>
  <c r="T619" i="2"/>
  <c r="U619" i="2"/>
  <c r="V619" i="2"/>
  <c r="W619" i="2"/>
  <c r="X619" i="2"/>
  <c r="E620" i="2"/>
  <c r="F620" i="2"/>
  <c r="G620" i="2"/>
  <c r="H620" i="2"/>
  <c r="I620" i="2"/>
  <c r="J620" i="2"/>
  <c r="K620" i="2"/>
  <c r="L620" i="2"/>
  <c r="M620" i="2"/>
  <c r="N620" i="2"/>
  <c r="O620" i="2"/>
  <c r="Q620" i="2"/>
  <c r="R620" i="2"/>
  <c r="S620" i="2"/>
  <c r="T620" i="2"/>
  <c r="U620" i="2"/>
  <c r="V620" i="2"/>
  <c r="W620" i="2"/>
  <c r="X620" i="2"/>
  <c r="E621" i="2"/>
  <c r="F621" i="2"/>
  <c r="G621" i="2"/>
  <c r="H621" i="2"/>
  <c r="I621" i="2"/>
  <c r="J621" i="2"/>
  <c r="K621" i="2"/>
  <c r="L621" i="2"/>
  <c r="M621" i="2"/>
  <c r="N621" i="2"/>
  <c r="O621" i="2"/>
  <c r="P621" i="2" s="1"/>
  <c r="Q621" i="2"/>
  <c r="R621" i="2"/>
  <c r="S621" i="2"/>
  <c r="T621" i="2"/>
  <c r="U621" i="2"/>
  <c r="V621" i="2"/>
  <c r="W621" i="2"/>
  <c r="X621" i="2"/>
  <c r="E622" i="2"/>
  <c r="F622" i="2"/>
  <c r="G622" i="2"/>
  <c r="H622" i="2"/>
  <c r="I622" i="2"/>
  <c r="J622" i="2"/>
  <c r="K622" i="2"/>
  <c r="L622" i="2"/>
  <c r="M622" i="2"/>
  <c r="N622" i="2"/>
  <c r="O622" i="2"/>
  <c r="P622" i="2" s="1"/>
  <c r="Q622" i="2"/>
  <c r="R622" i="2"/>
  <c r="S622" i="2"/>
  <c r="T622" i="2"/>
  <c r="U622" i="2"/>
  <c r="V622" i="2"/>
  <c r="W622" i="2"/>
  <c r="X622" i="2"/>
  <c r="E623" i="2"/>
  <c r="F623" i="2"/>
  <c r="G623" i="2"/>
  <c r="H623" i="2"/>
  <c r="I623" i="2"/>
  <c r="J623" i="2"/>
  <c r="K623" i="2"/>
  <c r="L623" i="2"/>
  <c r="M623" i="2"/>
  <c r="N623" i="2"/>
  <c r="O623" i="2"/>
  <c r="P623" i="2" s="1"/>
  <c r="Q623" i="2"/>
  <c r="R623" i="2"/>
  <c r="S623" i="2"/>
  <c r="T623" i="2"/>
  <c r="U623" i="2"/>
  <c r="V623" i="2"/>
  <c r="W623" i="2"/>
  <c r="X623" i="2"/>
  <c r="E624" i="2"/>
  <c r="F624" i="2"/>
  <c r="G624" i="2"/>
  <c r="H624" i="2"/>
  <c r="I624" i="2"/>
  <c r="J624" i="2"/>
  <c r="K624" i="2"/>
  <c r="L624" i="2"/>
  <c r="M624" i="2"/>
  <c r="N624" i="2"/>
  <c r="O624" i="2"/>
  <c r="Q624" i="2"/>
  <c r="R624" i="2"/>
  <c r="S624" i="2"/>
  <c r="T624" i="2"/>
  <c r="U624" i="2"/>
  <c r="V624" i="2"/>
  <c r="W624" i="2"/>
  <c r="X624" i="2"/>
  <c r="E625" i="2"/>
  <c r="F625" i="2"/>
  <c r="G625" i="2"/>
  <c r="H625" i="2"/>
  <c r="I625" i="2"/>
  <c r="J625" i="2"/>
  <c r="K625" i="2"/>
  <c r="L625" i="2"/>
  <c r="M625" i="2"/>
  <c r="N625" i="2"/>
  <c r="O625" i="2"/>
  <c r="Q625" i="2"/>
  <c r="R625" i="2"/>
  <c r="S625" i="2"/>
  <c r="T625" i="2"/>
  <c r="U625" i="2"/>
  <c r="V625" i="2"/>
  <c r="W625" i="2"/>
  <c r="X625" i="2"/>
  <c r="E626" i="2"/>
  <c r="F626" i="2"/>
  <c r="G626" i="2"/>
  <c r="H626" i="2"/>
  <c r="I626" i="2"/>
  <c r="J626" i="2"/>
  <c r="K626" i="2"/>
  <c r="L626" i="2"/>
  <c r="M626" i="2"/>
  <c r="N626" i="2"/>
  <c r="O626" i="2"/>
  <c r="Q626" i="2"/>
  <c r="R626" i="2"/>
  <c r="S626" i="2"/>
  <c r="T626" i="2"/>
  <c r="U626" i="2"/>
  <c r="V626" i="2"/>
  <c r="W626" i="2"/>
  <c r="X626" i="2"/>
  <c r="E627" i="2"/>
  <c r="F627" i="2"/>
  <c r="G627" i="2"/>
  <c r="H627" i="2"/>
  <c r="I627" i="2"/>
  <c r="J627" i="2"/>
  <c r="K627" i="2"/>
  <c r="L627" i="2"/>
  <c r="M627" i="2"/>
  <c r="N627" i="2"/>
  <c r="O627" i="2"/>
  <c r="P627" i="2" s="1"/>
  <c r="Q627" i="2"/>
  <c r="R627" i="2"/>
  <c r="S627" i="2"/>
  <c r="T627" i="2"/>
  <c r="U627" i="2"/>
  <c r="V627" i="2"/>
  <c r="W627" i="2"/>
  <c r="X627" i="2"/>
  <c r="E628" i="2"/>
  <c r="F628" i="2"/>
  <c r="G628" i="2"/>
  <c r="H628" i="2"/>
  <c r="I628" i="2"/>
  <c r="J628" i="2"/>
  <c r="K628" i="2"/>
  <c r="L628" i="2"/>
  <c r="M628" i="2"/>
  <c r="N628" i="2"/>
  <c r="O628" i="2"/>
  <c r="P628" i="2" s="1"/>
  <c r="Q628" i="2"/>
  <c r="R628" i="2"/>
  <c r="S628" i="2"/>
  <c r="T628" i="2"/>
  <c r="U628" i="2"/>
  <c r="V628" i="2"/>
  <c r="W628" i="2"/>
  <c r="X628" i="2"/>
  <c r="E629" i="2"/>
  <c r="F629" i="2"/>
  <c r="G629" i="2"/>
  <c r="H629" i="2"/>
  <c r="I629" i="2"/>
  <c r="J629" i="2"/>
  <c r="K629" i="2"/>
  <c r="L629" i="2"/>
  <c r="M629" i="2"/>
  <c r="N629" i="2"/>
  <c r="O629" i="2"/>
  <c r="P629" i="2" s="1"/>
  <c r="Q629" i="2"/>
  <c r="R629" i="2"/>
  <c r="S629" i="2"/>
  <c r="T629" i="2"/>
  <c r="U629" i="2"/>
  <c r="V629" i="2"/>
  <c r="W629" i="2"/>
  <c r="X629" i="2"/>
  <c r="E630" i="2"/>
  <c r="F630" i="2"/>
  <c r="G630" i="2"/>
  <c r="H630" i="2"/>
  <c r="I630" i="2"/>
  <c r="J630" i="2"/>
  <c r="K630" i="2"/>
  <c r="L630" i="2"/>
  <c r="M630" i="2"/>
  <c r="N630" i="2"/>
  <c r="O630" i="2"/>
  <c r="Q630" i="2"/>
  <c r="R630" i="2"/>
  <c r="S630" i="2"/>
  <c r="T630" i="2"/>
  <c r="U630" i="2"/>
  <c r="V630" i="2"/>
  <c r="W630" i="2"/>
  <c r="X630" i="2"/>
  <c r="E631" i="2"/>
  <c r="F631" i="2"/>
  <c r="G631" i="2"/>
  <c r="H631" i="2"/>
  <c r="I631" i="2"/>
  <c r="J631" i="2"/>
  <c r="K631" i="2"/>
  <c r="L631" i="2"/>
  <c r="M631" i="2"/>
  <c r="N631" i="2"/>
  <c r="O631" i="2"/>
  <c r="Q631" i="2"/>
  <c r="R631" i="2"/>
  <c r="S631" i="2"/>
  <c r="T631" i="2"/>
  <c r="U631" i="2"/>
  <c r="V631" i="2"/>
  <c r="W631" i="2"/>
  <c r="X631" i="2"/>
  <c r="E632" i="2"/>
  <c r="F632" i="2"/>
  <c r="G632" i="2"/>
  <c r="H632" i="2"/>
  <c r="I632" i="2"/>
  <c r="J632" i="2"/>
  <c r="K632" i="2"/>
  <c r="L632" i="2"/>
  <c r="M632" i="2"/>
  <c r="N632" i="2"/>
  <c r="O632" i="2"/>
  <c r="Q632" i="2"/>
  <c r="R632" i="2"/>
  <c r="S632" i="2"/>
  <c r="T632" i="2"/>
  <c r="U632" i="2"/>
  <c r="V632" i="2"/>
  <c r="W632" i="2"/>
  <c r="X632" i="2"/>
  <c r="E633" i="2"/>
  <c r="F633" i="2"/>
  <c r="G633" i="2"/>
  <c r="H633" i="2"/>
  <c r="I633" i="2"/>
  <c r="J633" i="2"/>
  <c r="K633" i="2"/>
  <c r="L633" i="2"/>
  <c r="M633" i="2"/>
  <c r="N633" i="2"/>
  <c r="O633" i="2"/>
  <c r="P633" i="2" s="1"/>
  <c r="Q633" i="2"/>
  <c r="R633" i="2"/>
  <c r="S633" i="2"/>
  <c r="T633" i="2"/>
  <c r="U633" i="2"/>
  <c r="V633" i="2"/>
  <c r="W633" i="2"/>
  <c r="X633" i="2"/>
  <c r="E634" i="2"/>
  <c r="F634" i="2"/>
  <c r="G634" i="2"/>
  <c r="H634" i="2"/>
  <c r="I634" i="2"/>
  <c r="J634" i="2"/>
  <c r="K634" i="2"/>
  <c r="L634" i="2"/>
  <c r="M634" i="2"/>
  <c r="N634" i="2"/>
  <c r="O634" i="2"/>
  <c r="P634" i="2" s="1"/>
  <c r="Q634" i="2"/>
  <c r="R634" i="2"/>
  <c r="S634" i="2"/>
  <c r="T634" i="2"/>
  <c r="U634" i="2"/>
  <c r="V634" i="2"/>
  <c r="W634" i="2"/>
  <c r="X634" i="2"/>
  <c r="E635" i="2"/>
  <c r="F635" i="2"/>
  <c r="G635" i="2"/>
  <c r="H635" i="2"/>
  <c r="I635" i="2"/>
  <c r="J635" i="2"/>
  <c r="K635" i="2"/>
  <c r="L635" i="2"/>
  <c r="M635" i="2"/>
  <c r="N635" i="2"/>
  <c r="O635" i="2"/>
  <c r="P635" i="2" s="1"/>
  <c r="Q635" i="2"/>
  <c r="R635" i="2"/>
  <c r="S635" i="2"/>
  <c r="T635" i="2"/>
  <c r="U635" i="2"/>
  <c r="V635" i="2"/>
  <c r="W635" i="2"/>
  <c r="X635" i="2"/>
  <c r="E636" i="2"/>
  <c r="F636" i="2"/>
  <c r="G636" i="2"/>
  <c r="H636" i="2"/>
  <c r="I636" i="2"/>
  <c r="J636" i="2"/>
  <c r="K636" i="2"/>
  <c r="L636" i="2"/>
  <c r="M636" i="2"/>
  <c r="N636" i="2"/>
  <c r="O636" i="2"/>
  <c r="Q636" i="2"/>
  <c r="R636" i="2"/>
  <c r="S636" i="2"/>
  <c r="T636" i="2"/>
  <c r="U636" i="2"/>
  <c r="V636" i="2"/>
  <c r="W636" i="2"/>
  <c r="X636" i="2"/>
  <c r="E637" i="2"/>
  <c r="F637" i="2"/>
  <c r="G637" i="2"/>
  <c r="H637" i="2"/>
  <c r="I637" i="2"/>
  <c r="J637" i="2"/>
  <c r="K637" i="2"/>
  <c r="L637" i="2"/>
  <c r="M637" i="2"/>
  <c r="N637" i="2"/>
  <c r="O637" i="2"/>
  <c r="Q637" i="2"/>
  <c r="R637" i="2"/>
  <c r="S637" i="2"/>
  <c r="T637" i="2"/>
  <c r="U637" i="2"/>
  <c r="V637" i="2"/>
  <c r="W637" i="2"/>
  <c r="X637" i="2"/>
  <c r="E638" i="2"/>
  <c r="F638" i="2"/>
  <c r="G638" i="2"/>
  <c r="H638" i="2"/>
  <c r="I638" i="2"/>
  <c r="J638" i="2"/>
  <c r="K638" i="2"/>
  <c r="L638" i="2"/>
  <c r="M638" i="2"/>
  <c r="N638" i="2"/>
  <c r="O638" i="2"/>
  <c r="Q638" i="2"/>
  <c r="R638" i="2"/>
  <c r="S638" i="2"/>
  <c r="T638" i="2"/>
  <c r="U638" i="2"/>
  <c r="V638" i="2"/>
  <c r="W638" i="2"/>
  <c r="X638" i="2"/>
  <c r="E639" i="2"/>
  <c r="F639" i="2"/>
  <c r="G639" i="2"/>
  <c r="H639" i="2"/>
  <c r="I639" i="2"/>
  <c r="J639" i="2"/>
  <c r="K639" i="2"/>
  <c r="L639" i="2"/>
  <c r="M639" i="2"/>
  <c r="N639" i="2"/>
  <c r="O639" i="2"/>
  <c r="P639" i="2" s="1"/>
  <c r="Q639" i="2"/>
  <c r="R639" i="2"/>
  <c r="S639" i="2"/>
  <c r="T639" i="2"/>
  <c r="U639" i="2"/>
  <c r="V639" i="2"/>
  <c r="W639" i="2"/>
  <c r="X639" i="2"/>
  <c r="E640" i="2"/>
  <c r="F640" i="2"/>
  <c r="G640" i="2"/>
  <c r="H640" i="2"/>
  <c r="I640" i="2"/>
  <c r="J640" i="2"/>
  <c r="K640" i="2"/>
  <c r="L640" i="2"/>
  <c r="M640" i="2"/>
  <c r="N640" i="2"/>
  <c r="O640" i="2"/>
  <c r="P640" i="2" s="1"/>
  <c r="Q640" i="2"/>
  <c r="R640" i="2"/>
  <c r="S640" i="2"/>
  <c r="T640" i="2"/>
  <c r="U640" i="2"/>
  <c r="V640" i="2"/>
  <c r="W640" i="2"/>
  <c r="X640" i="2"/>
  <c r="E641" i="2"/>
  <c r="F641" i="2"/>
  <c r="G641" i="2"/>
  <c r="H641" i="2"/>
  <c r="I641" i="2"/>
  <c r="J641" i="2"/>
  <c r="K641" i="2"/>
  <c r="L641" i="2"/>
  <c r="M641" i="2"/>
  <c r="N641" i="2"/>
  <c r="O641" i="2"/>
  <c r="P641" i="2" s="1"/>
  <c r="Q641" i="2"/>
  <c r="R641" i="2"/>
  <c r="S641" i="2"/>
  <c r="T641" i="2"/>
  <c r="U641" i="2"/>
  <c r="V641" i="2"/>
  <c r="W641" i="2"/>
  <c r="X641" i="2"/>
  <c r="E642" i="2"/>
  <c r="F642" i="2"/>
  <c r="G642" i="2"/>
  <c r="H642" i="2"/>
  <c r="I642" i="2"/>
  <c r="J642" i="2"/>
  <c r="K642" i="2"/>
  <c r="L642" i="2"/>
  <c r="M642" i="2"/>
  <c r="N642" i="2"/>
  <c r="O642" i="2"/>
  <c r="Q642" i="2"/>
  <c r="R642" i="2"/>
  <c r="S642" i="2"/>
  <c r="T642" i="2"/>
  <c r="U642" i="2"/>
  <c r="V642" i="2"/>
  <c r="W642" i="2"/>
  <c r="X642" i="2"/>
  <c r="E643" i="2"/>
  <c r="F643" i="2"/>
  <c r="G643" i="2"/>
  <c r="H643" i="2"/>
  <c r="I643" i="2"/>
  <c r="J643" i="2"/>
  <c r="K643" i="2"/>
  <c r="L643" i="2"/>
  <c r="M643" i="2"/>
  <c r="N643" i="2"/>
  <c r="O643" i="2"/>
  <c r="Q643" i="2"/>
  <c r="R643" i="2"/>
  <c r="S643" i="2"/>
  <c r="T643" i="2"/>
  <c r="U643" i="2"/>
  <c r="V643" i="2"/>
  <c r="W643" i="2"/>
  <c r="X643" i="2"/>
  <c r="E644" i="2"/>
  <c r="F644" i="2"/>
  <c r="G644" i="2"/>
  <c r="H644" i="2"/>
  <c r="I644" i="2"/>
  <c r="J644" i="2"/>
  <c r="K644" i="2"/>
  <c r="L644" i="2"/>
  <c r="M644" i="2"/>
  <c r="N644" i="2"/>
  <c r="O644" i="2"/>
  <c r="Q644" i="2"/>
  <c r="R644" i="2"/>
  <c r="S644" i="2"/>
  <c r="T644" i="2"/>
  <c r="U644" i="2"/>
  <c r="V644" i="2"/>
  <c r="W644" i="2"/>
  <c r="X644" i="2"/>
  <c r="E645" i="2"/>
  <c r="F645" i="2"/>
  <c r="G645" i="2"/>
  <c r="H645" i="2"/>
  <c r="I645" i="2"/>
  <c r="J645" i="2"/>
  <c r="K645" i="2"/>
  <c r="L645" i="2"/>
  <c r="M645" i="2"/>
  <c r="N645" i="2"/>
  <c r="O645" i="2"/>
  <c r="P645" i="2" s="1"/>
  <c r="Q645" i="2"/>
  <c r="R645" i="2"/>
  <c r="S645" i="2"/>
  <c r="T645" i="2"/>
  <c r="U645" i="2"/>
  <c r="V645" i="2"/>
  <c r="W645" i="2"/>
  <c r="X645" i="2"/>
  <c r="E646" i="2"/>
  <c r="F646" i="2"/>
  <c r="G646" i="2"/>
  <c r="H646" i="2"/>
  <c r="I646" i="2"/>
  <c r="J646" i="2"/>
  <c r="K646" i="2"/>
  <c r="L646" i="2"/>
  <c r="M646" i="2"/>
  <c r="N646" i="2"/>
  <c r="O646" i="2"/>
  <c r="P646" i="2" s="1"/>
  <c r="Q646" i="2"/>
  <c r="R646" i="2"/>
  <c r="S646" i="2"/>
  <c r="T646" i="2"/>
  <c r="U646" i="2"/>
  <c r="V646" i="2"/>
  <c r="W646" i="2"/>
  <c r="X646" i="2"/>
  <c r="E647" i="2"/>
  <c r="F647" i="2"/>
  <c r="G647" i="2"/>
  <c r="H647" i="2"/>
  <c r="I647" i="2"/>
  <c r="J647" i="2"/>
  <c r="K647" i="2"/>
  <c r="L647" i="2"/>
  <c r="M647" i="2"/>
  <c r="N647" i="2"/>
  <c r="O647" i="2"/>
  <c r="P647" i="2" s="1"/>
  <c r="Q647" i="2"/>
  <c r="R647" i="2"/>
  <c r="S647" i="2"/>
  <c r="T647" i="2"/>
  <c r="U647" i="2"/>
  <c r="V647" i="2"/>
  <c r="W647" i="2"/>
  <c r="X647" i="2"/>
  <c r="E648" i="2"/>
  <c r="F648" i="2"/>
  <c r="G648" i="2"/>
  <c r="H648" i="2"/>
  <c r="I648" i="2"/>
  <c r="J648" i="2"/>
  <c r="K648" i="2"/>
  <c r="L648" i="2"/>
  <c r="M648" i="2"/>
  <c r="N648" i="2"/>
  <c r="O648" i="2"/>
  <c r="Q648" i="2"/>
  <c r="R648" i="2"/>
  <c r="S648" i="2"/>
  <c r="T648" i="2"/>
  <c r="U648" i="2"/>
  <c r="V648" i="2"/>
  <c r="W648" i="2"/>
  <c r="X648" i="2"/>
  <c r="E649" i="2"/>
  <c r="F649" i="2"/>
  <c r="G649" i="2"/>
  <c r="H649" i="2"/>
  <c r="I649" i="2"/>
  <c r="J649" i="2"/>
  <c r="K649" i="2"/>
  <c r="L649" i="2"/>
  <c r="M649" i="2"/>
  <c r="N649" i="2"/>
  <c r="O649" i="2"/>
  <c r="Q649" i="2"/>
  <c r="R649" i="2"/>
  <c r="S649" i="2"/>
  <c r="T649" i="2"/>
  <c r="U649" i="2"/>
  <c r="V649" i="2"/>
  <c r="W649" i="2"/>
  <c r="X649" i="2"/>
  <c r="X587" i="2"/>
  <c r="W587" i="2"/>
  <c r="V587" i="2"/>
  <c r="U587" i="2"/>
  <c r="T587" i="2"/>
  <c r="S587" i="2"/>
  <c r="R587" i="2"/>
  <c r="Q587" i="2"/>
  <c r="O587" i="2"/>
  <c r="N587" i="2"/>
  <c r="M587" i="2"/>
  <c r="L587" i="2"/>
  <c r="K587" i="2"/>
  <c r="J587" i="2"/>
  <c r="I587" i="2"/>
  <c r="H587" i="2"/>
  <c r="G587" i="2"/>
  <c r="F587" i="2"/>
  <c r="E587" i="2"/>
  <c r="E543" i="2"/>
  <c r="F543" i="2"/>
  <c r="G543" i="2"/>
  <c r="H543" i="2"/>
  <c r="I543" i="2"/>
  <c r="J543" i="2"/>
  <c r="K543" i="2"/>
  <c r="L543" i="2"/>
  <c r="M543" i="2"/>
  <c r="N543" i="2"/>
  <c r="O543" i="2"/>
  <c r="P543" i="2" s="1"/>
  <c r="Q543" i="2"/>
  <c r="R543" i="2"/>
  <c r="S543" i="2"/>
  <c r="T543" i="2"/>
  <c r="U543" i="2"/>
  <c r="V543" i="2"/>
  <c r="W543" i="2"/>
  <c r="X543" i="2"/>
  <c r="E544" i="2"/>
  <c r="F544" i="2"/>
  <c r="G544" i="2"/>
  <c r="H544" i="2"/>
  <c r="I544" i="2"/>
  <c r="J544" i="2"/>
  <c r="K544" i="2"/>
  <c r="L544" i="2"/>
  <c r="M544" i="2"/>
  <c r="N544" i="2"/>
  <c r="O544" i="2"/>
  <c r="P544" i="2" s="1"/>
  <c r="Q544" i="2"/>
  <c r="R544" i="2"/>
  <c r="S544" i="2"/>
  <c r="T544" i="2"/>
  <c r="U544" i="2"/>
  <c r="V544" i="2"/>
  <c r="W544" i="2"/>
  <c r="X544" i="2"/>
  <c r="E545" i="2"/>
  <c r="F545" i="2"/>
  <c r="G545" i="2"/>
  <c r="H545" i="2"/>
  <c r="I545" i="2"/>
  <c r="J545" i="2"/>
  <c r="K545" i="2"/>
  <c r="L545" i="2"/>
  <c r="M545" i="2"/>
  <c r="N545" i="2"/>
  <c r="O545" i="2"/>
  <c r="P545" i="2" s="1"/>
  <c r="Q545" i="2"/>
  <c r="R545" i="2"/>
  <c r="S545" i="2"/>
  <c r="T545" i="2"/>
  <c r="U545" i="2"/>
  <c r="V545" i="2"/>
  <c r="W545" i="2"/>
  <c r="X545" i="2"/>
  <c r="E546" i="2"/>
  <c r="F546" i="2"/>
  <c r="G546" i="2"/>
  <c r="H546" i="2"/>
  <c r="I546" i="2"/>
  <c r="J546" i="2"/>
  <c r="K546" i="2"/>
  <c r="L546" i="2"/>
  <c r="M546" i="2"/>
  <c r="N546" i="2"/>
  <c r="O546" i="2"/>
  <c r="Q546" i="2"/>
  <c r="R546" i="2"/>
  <c r="S546" i="2"/>
  <c r="T546" i="2"/>
  <c r="U546" i="2"/>
  <c r="V546" i="2"/>
  <c r="W546" i="2"/>
  <c r="X546" i="2"/>
  <c r="E547" i="2"/>
  <c r="F547" i="2"/>
  <c r="G547" i="2"/>
  <c r="H547" i="2"/>
  <c r="I547" i="2"/>
  <c r="J547" i="2"/>
  <c r="K547" i="2"/>
  <c r="L547" i="2"/>
  <c r="M547" i="2"/>
  <c r="N547" i="2"/>
  <c r="O547" i="2"/>
  <c r="Q547" i="2"/>
  <c r="R547" i="2"/>
  <c r="S547" i="2"/>
  <c r="T547" i="2"/>
  <c r="U547" i="2"/>
  <c r="V547" i="2"/>
  <c r="W547" i="2"/>
  <c r="X547" i="2"/>
  <c r="E548" i="2"/>
  <c r="F548" i="2"/>
  <c r="G548" i="2"/>
  <c r="H548" i="2"/>
  <c r="I548" i="2"/>
  <c r="J548" i="2"/>
  <c r="K548" i="2"/>
  <c r="L548" i="2"/>
  <c r="M548" i="2"/>
  <c r="N548" i="2"/>
  <c r="O548" i="2"/>
  <c r="Q548" i="2"/>
  <c r="R548" i="2"/>
  <c r="S548" i="2"/>
  <c r="T548" i="2"/>
  <c r="U548" i="2"/>
  <c r="V548" i="2"/>
  <c r="W548" i="2"/>
  <c r="X548" i="2"/>
  <c r="E549" i="2"/>
  <c r="F549" i="2"/>
  <c r="G549" i="2"/>
  <c r="H549" i="2"/>
  <c r="I549" i="2"/>
  <c r="J549" i="2"/>
  <c r="K549" i="2"/>
  <c r="L549" i="2"/>
  <c r="M549" i="2"/>
  <c r="N549" i="2"/>
  <c r="O549" i="2"/>
  <c r="P549" i="2" s="1"/>
  <c r="Q549" i="2"/>
  <c r="R549" i="2"/>
  <c r="S549" i="2"/>
  <c r="T549" i="2"/>
  <c r="U549" i="2"/>
  <c r="V549" i="2"/>
  <c r="W549" i="2"/>
  <c r="X549" i="2"/>
  <c r="E550" i="2"/>
  <c r="F550" i="2"/>
  <c r="G550" i="2"/>
  <c r="H550" i="2"/>
  <c r="I550" i="2"/>
  <c r="J550" i="2"/>
  <c r="K550" i="2"/>
  <c r="L550" i="2"/>
  <c r="M550" i="2"/>
  <c r="N550" i="2"/>
  <c r="O550" i="2"/>
  <c r="P550" i="2" s="1"/>
  <c r="Q550" i="2"/>
  <c r="R550" i="2"/>
  <c r="S550" i="2"/>
  <c r="T550" i="2"/>
  <c r="U550" i="2"/>
  <c r="V550" i="2"/>
  <c r="W550" i="2"/>
  <c r="X550" i="2"/>
  <c r="E551" i="2"/>
  <c r="F551" i="2"/>
  <c r="G551" i="2"/>
  <c r="H551" i="2"/>
  <c r="I551" i="2"/>
  <c r="J551" i="2"/>
  <c r="K551" i="2"/>
  <c r="L551" i="2"/>
  <c r="M551" i="2"/>
  <c r="N551" i="2"/>
  <c r="O551" i="2"/>
  <c r="P551" i="2" s="1"/>
  <c r="Q551" i="2"/>
  <c r="R551" i="2"/>
  <c r="S551" i="2"/>
  <c r="T551" i="2"/>
  <c r="U551" i="2"/>
  <c r="V551" i="2"/>
  <c r="W551" i="2"/>
  <c r="X551" i="2"/>
  <c r="E552" i="2"/>
  <c r="F552" i="2"/>
  <c r="G552" i="2"/>
  <c r="H552" i="2"/>
  <c r="I552" i="2"/>
  <c r="J552" i="2"/>
  <c r="K552" i="2"/>
  <c r="L552" i="2"/>
  <c r="M552" i="2"/>
  <c r="N552" i="2"/>
  <c r="O552" i="2"/>
  <c r="Q552" i="2"/>
  <c r="R552" i="2"/>
  <c r="S552" i="2"/>
  <c r="T552" i="2"/>
  <c r="U552" i="2"/>
  <c r="V552" i="2"/>
  <c r="W552" i="2"/>
  <c r="X552" i="2"/>
  <c r="E553" i="2"/>
  <c r="F553" i="2"/>
  <c r="G553" i="2"/>
  <c r="H553" i="2"/>
  <c r="I553" i="2"/>
  <c r="J553" i="2"/>
  <c r="K553" i="2"/>
  <c r="L553" i="2"/>
  <c r="M553" i="2"/>
  <c r="N553" i="2"/>
  <c r="O553" i="2"/>
  <c r="Q553" i="2"/>
  <c r="R553" i="2"/>
  <c r="S553" i="2"/>
  <c r="T553" i="2"/>
  <c r="U553" i="2"/>
  <c r="V553" i="2"/>
  <c r="W553" i="2"/>
  <c r="X553" i="2"/>
  <c r="E554" i="2"/>
  <c r="F554" i="2"/>
  <c r="G554" i="2"/>
  <c r="H554" i="2"/>
  <c r="I554" i="2"/>
  <c r="J554" i="2"/>
  <c r="K554" i="2"/>
  <c r="L554" i="2"/>
  <c r="M554" i="2"/>
  <c r="N554" i="2"/>
  <c r="O554" i="2"/>
  <c r="Q554" i="2"/>
  <c r="R554" i="2"/>
  <c r="S554" i="2"/>
  <c r="T554" i="2"/>
  <c r="U554" i="2"/>
  <c r="V554" i="2"/>
  <c r="W554" i="2"/>
  <c r="X554" i="2"/>
  <c r="E555" i="2"/>
  <c r="F555" i="2"/>
  <c r="G555" i="2"/>
  <c r="H555" i="2"/>
  <c r="I555" i="2"/>
  <c r="J555" i="2"/>
  <c r="K555" i="2"/>
  <c r="L555" i="2"/>
  <c r="M555" i="2"/>
  <c r="N555" i="2"/>
  <c r="O555" i="2"/>
  <c r="P555" i="2" s="1"/>
  <c r="Q555" i="2"/>
  <c r="R555" i="2"/>
  <c r="S555" i="2"/>
  <c r="T555" i="2"/>
  <c r="U555" i="2"/>
  <c r="V555" i="2"/>
  <c r="W555" i="2"/>
  <c r="X555" i="2"/>
  <c r="E556" i="2"/>
  <c r="F556" i="2"/>
  <c r="G556" i="2"/>
  <c r="H556" i="2"/>
  <c r="I556" i="2"/>
  <c r="J556" i="2"/>
  <c r="K556" i="2"/>
  <c r="L556" i="2"/>
  <c r="M556" i="2"/>
  <c r="N556" i="2"/>
  <c r="O556" i="2"/>
  <c r="P556" i="2" s="1"/>
  <c r="Q556" i="2"/>
  <c r="R556" i="2"/>
  <c r="S556" i="2"/>
  <c r="T556" i="2"/>
  <c r="U556" i="2"/>
  <c r="V556" i="2"/>
  <c r="W556" i="2"/>
  <c r="X556" i="2"/>
  <c r="E557" i="2"/>
  <c r="F557" i="2"/>
  <c r="G557" i="2"/>
  <c r="H557" i="2"/>
  <c r="I557" i="2"/>
  <c r="J557" i="2"/>
  <c r="K557" i="2"/>
  <c r="L557" i="2"/>
  <c r="M557" i="2"/>
  <c r="N557" i="2"/>
  <c r="O557" i="2"/>
  <c r="P557" i="2" s="1"/>
  <c r="Q557" i="2"/>
  <c r="R557" i="2"/>
  <c r="S557" i="2"/>
  <c r="T557" i="2"/>
  <c r="U557" i="2"/>
  <c r="V557" i="2"/>
  <c r="W557" i="2"/>
  <c r="X557" i="2"/>
  <c r="E558" i="2"/>
  <c r="F558" i="2"/>
  <c r="G558" i="2"/>
  <c r="H558" i="2"/>
  <c r="I558" i="2"/>
  <c r="J558" i="2"/>
  <c r="K558" i="2"/>
  <c r="L558" i="2"/>
  <c r="M558" i="2"/>
  <c r="N558" i="2"/>
  <c r="O558" i="2"/>
  <c r="Q558" i="2"/>
  <c r="R558" i="2"/>
  <c r="S558" i="2"/>
  <c r="T558" i="2"/>
  <c r="U558" i="2"/>
  <c r="V558" i="2"/>
  <c r="W558" i="2"/>
  <c r="X558" i="2"/>
  <c r="E559" i="2"/>
  <c r="F559" i="2"/>
  <c r="G559" i="2"/>
  <c r="H559" i="2"/>
  <c r="I559" i="2"/>
  <c r="J559" i="2"/>
  <c r="K559" i="2"/>
  <c r="L559" i="2"/>
  <c r="M559" i="2"/>
  <c r="N559" i="2"/>
  <c r="O559" i="2"/>
  <c r="Q559" i="2"/>
  <c r="R559" i="2"/>
  <c r="S559" i="2"/>
  <c r="T559" i="2"/>
  <c r="U559" i="2"/>
  <c r="V559" i="2"/>
  <c r="W559" i="2"/>
  <c r="X559" i="2"/>
  <c r="E560" i="2"/>
  <c r="F560" i="2"/>
  <c r="G560" i="2"/>
  <c r="H560" i="2"/>
  <c r="I560" i="2"/>
  <c r="J560" i="2"/>
  <c r="K560" i="2"/>
  <c r="L560" i="2"/>
  <c r="M560" i="2"/>
  <c r="N560" i="2"/>
  <c r="O560" i="2"/>
  <c r="Q560" i="2"/>
  <c r="R560" i="2"/>
  <c r="S560" i="2"/>
  <c r="T560" i="2"/>
  <c r="U560" i="2"/>
  <c r="V560" i="2"/>
  <c r="W560" i="2"/>
  <c r="X560" i="2"/>
  <c r="E561" i="2"/>
  <c r="F561" i="2"/>
  <c r="G561" i="2"/>
  <c r="H561" i="2"/>
  <c r="I561" i="2"/>
  <c r="J561" i="2"/>
  <c r="K561" i="2"/>
  <c r="L561" i="2"/>
  <c r="M561" i="2"/>
  <c r="N561" i="2"/>
  <c r="O561" i="2"/>
  <c r="P561" i="2" s="1"/>
  <c r="Q561" i="2"/>
  <c r="R561" i="2"/>
  <c r="S561" i="2"/>
  <c r="T561" i="2"/>
  <c r="U561" i="2"/>
  <c r="V561" i="2"/>
  <c r="W561" i="2"/>
  <c r="X561" i="2"/>
  <c r="E562" i="2"/>
  <c r="F562" i="2"/>
  <c r="G562" i="2"/>
  <c r="H562" i="2"/>
  <c r="I562" i="2"/>
  <c r="J562" i="2"/>
  <c r="K562" i="2"/>
  <c r="L562" i="2"/>
  <c r="M562" i="2"/>
  <c r="N562" i="2"/>
  <c r="O562" i="2"/>
  <c r="P562" i="2" s="1"/>
  <c r="Q562" i="2"/>
  <c r="R562" i="2"/>
  <c r="S562" i="2"/>
  <c r="T562" i="2"/>
  <c r="U562" i="2"/>
  <c r="V562" i="2"/>
  <c r="W562" i="2"/>
  <c r="X562" i="2"/>
  <c r="E563" i="2"/>
  <c r="F563" i="2"/>
  <c r="G563" i="2"/>
  <c r="H563" i="2"/>
  <c r="I563" i="2"/>
  <c r="J563" i="2"/>
  <c r="K563" i="2"/>
  <c r="L563" i="2"/>
  <c r="M563" i="2"/>
  <c r="N563" i="2"/>
  <c r="O563" i="2"/>
  <c r="P563" i="2" s="1"/>
  <c r="Q563" i="2"/>
  <c r="R563" i="2"/>
  <c r="S563" i="2"/>
  <c r="T563" i="2"/>
  <c r="U563" i="2"/>
  <c r="V563" i="2"/>
  <c r="W563" i="2"/>
  <c r="X563" i="2"/>
  <c r="E564" i="2"/>
  <c r="F564" i="2"/>
  <c r="G564" i="2"/>
  <c r="H564" i="2"/>
  <c r="I564" i="2"/>
  <c r="J564" i="2"/>
  <c r="K564" i="2"/>
  <c r="L564" i="2"/>
  <c r="M564" i="2"/>
  <c r="N564" i="2"/>
  <c r="O564" i="2"/>
  <c r="Q564" i="2"/>
  <c r="R564" i="2"/>
  <c r="S564" i="2"/>
  <c r="T564" i="2"/>
  <c r="U564" i="2"/>
  <c r="V564" i="2"/>
  <c r="W564" i="2"/>
  <c r="X564" i="2"/>
  <c r="E565" i="2"/>
  <c r="F565" i="2"/>
  <c r="G565" i="2"/>
  <c r="H565" i="2"/>
  <c r="I565" i="2"/>
  <c r="J565" i="2"/>
  <c r="K565" i="2"/>
  <c r="L565" i="2"/>
  <c r="M565" i="2"/>
  <c r="N565" i="2"/>
  <c r="O565" i="2"/>
  <c r="Q565" i="2"/>
  <c r="R565" i="2"/>
  <c r="S565" i="2"/>
  <c r="T565" i="2"/>
  <c r="U565" i="2"/>
  <c r="V565" i="2"/>
  <c r="W565" i="2"/>
  <c r="X565" i="2"/>
  <c r="E566" i="2"/>
  <c r="F566" i="2"/>
  <c r="G566" i="2"/>
  <c r="H566" i="2"/>
  <c r="I566" i="2"/>
  <c r="J566" i="2"/>
  <c r="K566" i="2"/>
  <c r="L566" i="2"/>
  <c r="M566" i="2"/>
  <c r="N566" i="2"/>
  <c r="O566" i="2"/>
  <c r="Q566" i="2"/>
  <c r="R566" i="2"/>
  <c r="S566" i="2"/>
  <c r="T566" i="2"/>
  <c r="U566" i="2"/>
  <c r="V566" i="2"/>
  <c r="W566" i="2"/>
  <c r="X566" i="2"/>
  <c r="E567" i="2"/>
  <c r="F567" i="2"/>
  <c r="G567" i="2"/>
  <c r="H567" i="2"/>
  <c r="I567" i="2"/>
  <c r="J567" i="2"/>
  <c r="K567" i="2"/>
  <c r="L567" i="2"/>
  <c r="M567" i="2"/>
  <c r="N567" i="2"/>
  <c r="O567" i="2"/>
  <c r="P567" i="2" s="1"/>
  <c r="Q567" i="2"/>
  <c r="R567" i="2"/>
  <c r="S567" i="2"/>
  <c r="T567" i="2"/>
  <c r="U567" i="2"/>
  <c r="V567" i="2"/>
  <c r="W567" i="2"/>
  <c r="X567" i="2"/>
  <c r="E568" i="2"/>
  <c r="F568" i="2"/>
  <c r="G568" i="2"/>
  <c r="H568" i="2"/>
  <c r="I568" i="2"/>
  <c r="J568" i="2"/>
  <c r="K568" i="2"/>
  <c r="L568" i="2"/>
  <c r="M568" i="2"/>
  <c r="N568" i="2"/>
  <c r="O568" i="2"/>
  <c r="P568" i="2" s="1"/>
  <c r="Q568" i="2"/>
  <c r="R568" i="2"/>
  <c r="S568" i="2"/>
  <c r="T568" i="2"/>
  <c r="U568" i="2"/>
  <c r="V568" i="2"/>
  <c r="W568" i="2"/>
  <c r="X568" i="2"/>
  <c r="E569" i="2"/>
  <c r="F569" i="2"/>
  <c r="G569" i="2"/>
  <c r="H569" i="2"/>
  <c r="I569" i="2"/>
  <c r="J569" i="2"/>
  <c r="K569" i="2"/>
  <c r="L569" i="2"/>
  <c r="M569" i="2"/>
  <c r="N569" i="2"/>
  <c r="O569" i="2"/>
  <c r="P569" i="2" s="1"/>
  <c r="Q569" i="2"/>
  <c r="R569" i="2"/>
  <c r="S569" i="2"/>
  <c r="T569" i="2"/>
  <c r="U569" i="2"/>
  <c r="V569" i="2"/>
  <c r="W569" i="2"/>
  <c r="X569" i="2"/>
  <c r="E570" i="2"/>
  <c r="F570" i="2"/>
  <c r="G570" i="2"/>
  <c r="H570" i="2"/>
  <c r="I570" i="2"/>
  <c r="J570" i="2"/>
  <c r="K570" i="2"/>
  <c r="L570" i="2"/>
  <c r="M570" i="2"/>
  <c r="N570" i="2"/>
  <c r="O570" i="2"/>
  <c r="Q570" i="2"/>
  <c r="R570" i="2"/>
  <c r="S570" i="2"/>
  <c r="T570" i="2"/>
  <c r="U570" i="2"/>
  <c r="V570" i="2"/>
  <c r="W570" i="2"/>
  <c r="X570" i="2"/>
  <c r="E571" i="2"/>
  <c r="F571" i="2"/>
  <c r="G571" i="2"/>
  <c r="H571" i="2"/>
  <c r="I571" i="2"/>
  <c r="J571" i="2"/>
  <c r="K571" i="2"/>
  <c r="L571" i="2"/>
  <c r="M571" i="2"/>
  <c r="N571" i="2"/>
  <c r="O571" i="2"/>
  <c r="Q571" i="2"/>
  <c r="R571" i="2"/>
  <c r="S571" i="2"/>
  <c r="T571" i="2"/>
  <c r="U571" i="2"/>
  <c r="V571" i="2"/>
  <c r="W571" i="2"/>
  <c r="X571" i="2"/>
  <c r="E572" i="2"/>
  <c r="F572" i="2"/>
  <c r="G572" i="2"/>
  <c r="H572" i="2"/>
  <c r="I572" i="2"/>
  <c r="J572" i="2"/>
  <c r="K572" i="2"/>
  <c r="L572" i="2"/>
  <c r="M572" i="2"/>
  <c r="N572" i="2"/>
  <c r="O572" i="2"/>
  <c r="Q572" i="2"/>
  <c r="R572" i="2"/>
  <c r="S572" i="2"/>
  <c r="T572" i="2"/>
  <c r="U572" i="2"/>
  <c r="V572" i="2"/>
  <c r="W572" i="2"/>
  <c r="X572" i="2"/>
  <c r="E573" i="2"/>
  <c r="F573" i="2"/>
  <c r="G573" i="2"/>
  <c r="H573" i="2"/>
  <c r="I573" i="2"/>
  <c r="J573" i="2"/>
  <c r="K573" i="2"/>
  <c r="L573" i="2"/>
  <c r="M573" i="2"/>
  <c r="N573" i="2"/>
  <c r="O573" i="2"/>
  <c r="P573" i="2" s="1"/>
  <c r="Q573" i="2"/>
  <c r="R573" i="2"/>
  <c r="S573" i="2"/>
  <c r="T573" i="2"/>
  <c r="U573" i="2"/>
  <c r="V573" i="2"/>
  <c r="W573" i="2"/>
  <c r="X573" i="2"/>
  <c r="E574" i="2"/>
  <c r="F574" i="2"/>
  <c r="G574" i="2"/>
  <c r="H574" i="2"/>
  <c r="I574" i="2"/>
  <c r="J574" i="2"/>
  <c r="K574" i="2"/>
  <c r="L574" i="2"/>
  <c r="M574" i="2"/>
  <c r="N574" i="2"/>
  <c r="O574" i="2"/>
  <c r="P574" i="2" s="1"/>
  <c r="Q574" i="2"/>
  <c r="R574" i="2"/>
  <c r="S574" i="2"/>
  <c r="T574" i="2"/>
  <c r="U574" i="2"/>
  <c r="V574" i="2"/>
  <c r="W574" i="2"/>
  <c r="X574" i="2"/>
  <c r="E575" i="2"/>
  <c r="F575" i="2"/>
  <c r="G575" i="2"/>
  <c r="H575" i="2"/>
  <c r="I575" i="2"/>
  <c r="J575" i="2"/>
  <c r="K575" i="2"/>
  <c r="L575" i="2"/>
  <c r="M575" i="2"/>
  <c r="N575" i="2"/>
  <c r="O575" i="2"/>
  <c r="P575" i="2" s="1"/>
  <c r="Q575" i="2"/>
  <c r="R575" i="2"/>
  <c r="S575" i="2"/>
  <c r="T575" i="2"/>
  <c r="U575" i="2"/>
  <c r="V575" i="2"/>
  <c r="W575" i="2"/>
  <c r="X575" i="2"/>
  <c r="E576" i="2"/>
  <c r="F576" i="2"/>
  <c r="G576" i="2"/>
  <c r="H576" i="2"/>
  <c r="I576" i="2"/>
  <c r="J576" i="2"/>
  <c r="K576" i="2"/>
  <c r="L576" i="2"/>
  <c r="M576" i="2"/>
  <c r="N576" i="2"/>
  <c r="O576" i="2"/>
  <c r="Q576" i="2"/>
  <c r="R576" i="2"/>
  <c r="S576" i="2"/>
  <c r="T576" i="2"/>
  <c r="U576" i="2"/>
  <c r="V576" i="2"/>
  <c r="W576" i="2"/>
  <c r="X576" i="2"/>
  <c r="E577" i="2"/>
  <c r="F577" i="2"/>
  <c r="G577" i="2"/>
  <c r="H577" i="2"/>
  <c r="I577" i="2"/>
  <c r="J577" i="2"/>
  <c r="K577" i="2"/>
  <c r="L577" i="2"/>
  <c r="M577" i="2"/>
  <c r="N577" i="2"/>
  <c r="O577" i="2"/>
  <c r="Q577" i="2"/>
  <c r="R577" i="2"/>
  <c r="S577" i="2"/>
  <c r="T577" i="2"/>
  <c r="U577" i="2"/>
  <c r="V577" i="2"/>
  <c r="W577" i="2"/>
  <c r="X577" i="2"/>
  <c r="E578" i="2"/>
  <c r="F578" i="2"/>
  <c r="G578" i="2"/>
  <c r="H578" i="2"/>
  <c r="I578" i="2"/>
  <c r="J578" i="2"/>
  <c r="K578" i="2"/>
  <c r="L578" i="2"/>
  <c r="M578" i="2"/>
  <c r="N578" i="2"/>
  <c r="O578" i="2"/>
  <c r="Q578" i="2"/>
  <c r="R578" i="2"/>
  <c r="S578" i="2"/>
  <c r="T578" i="2"/>
  <c r="U578" i="2"/>
  <c r="V578" i="2"/>
  <c r="W578" i="2"/>
  <c r="X578" i="2"/>
  <c r="E579" i="2"/>
  <c r="F579" i="2"/>
  <c r="G579" i="2"/>
  <c r="H579" i="2"/>
  <c r="I579" i="2"/>
  <c r="J579" i="2"/>
  <c r="K579" i="2"/>
  <c r="L579" i="2"/>
  <c r="M579" i="2"/>
  <c r="N579" i="2"/>
  <c r="O579" i="2"/>
  <c r="P579" i="2" s="1"/>
  <c r="Q579" i="2"/>
  <c r="R579" i="2"/>
  <c r="S579" i="2"/>
  <c r="T579" i="2"/>
  <c r="U579" i="2"/>
  <c r="V579" i="2"/>
  <c r="W579" i="2"/>
  <c r="X579" i="2"/>
  <c r="E580" i="2"/>
  <c r="F580" i="2"/>
  <c r="G580" i="2"/>
  <c r="H580" i="2"/>
  <c r="I580" i="2"/>
  <c r="J580" i="2"/>
  <c r="K580" i="2"/>
  <c r="L580" i="2"/>
  <c r="M580" i="2"/>
  <c r="N580" i="2"/>
  <c r="O580" i="2"/>
  <c r="P580" i="2" s="1"/>
  <c r="Q580" i="2"/>
  <c r="R580" i="2"/>
  <c r="S580" i="2"/>
  <c r="T580" i="2"/>
  <c r="U580" i="2"/>
  <c r="V580" i="2"/>
  <c r="W580" i="2"/>
  <c r="X580" i="2"/>
  <c r="E581" i="2"/>
  <c r="F581" i="2"/>
  <c r="G581" i="2"/>
  <c r="H581" i="2"/>
  <c r="I581" i="2"/>
  <c r="J581" i="2"/>
  <c r="K581" i="2"/>
  <c r="L581" i="2"/>
  <c r="M581" i="2"/>
  <c r="N581" i="2"/>
  <c r="O581" i="2"/>
  <c r="P581" i="2" s="1"/>
  <c r="Q581" i="2"/>
  <c r="R581" i="2"/>
  <c r="S581" i="2"/>
  <c r="T581" i="2"/>
  <c r="U581" i="2"/>
  <c r="V581" i="2"/>
  <c r="W581" i="2"/>
  <c r="X581" i="2"/>
  <c r="E582" i="2"/>
  <c r="F582" i="2"/>
  <c r="G582" i="2"/>
  <c r="H582" i="2"/>
  <c r="I582" i="2"/>
  <c r="J582" i="2"/>
  <c r="K582" i="2"/>
  <c r="L582" i="2"/>
  <c r="M582" i="2"/>
  <c r="N582" i="2"/>
  <c r="O582" i="2"/>
  <c r="Q582" i="2"/>
  <c r="R582" i="2"/>
  <c r="S582" i="2"/>
  <c r="T582" i="2"/>
  <c r="U582" i="2"/>
  <c r="V582" i="2"/>
  <c r="W582" i="2"/>
  <c r="X582" i="2"/>
  <c r="E583" i="2"/>
  <c r="F583" i="2"/>
  <c r="G583" i="2"/>
  <c r="H583" i="2"/>
  <c r="I583" i="2"/>
  <c r="J583" i="2"/>
  <c r="K583" i="2"/>
  <c r="L583" i="2"/>
  <c r="M583" i="2"/>
  <c r="N583" i="2"/>
  <c r="O583" i="2"/>
  <c r="Q583" i="2"/>
  <c r="R583" i="2"/>
  <c r="S583" i="2"/>
  <c r="T583" i="2"/>
  <c r="U583" i="2"/>
  <c r="V583" i="2"/>
  <c r="W583" i="2"/>
  <c r="X583" i="2"/>
  <c r="E584" i="2"/>
  <c r="F584" i="2"/>
  <c r="G584" i="2"/>
  <c r="H584" i="2"/>
  <c r="I584" i="2"/>
  <c r="J584" i="2"/>
  <c r="K584" i="2"/>
  <c r="L584" i="2"/>
  <c r="M584" i="2"/>
  <c r="N584" i="2"/>
  <c r="O584" i="2"/>
  <c r="Q584" i="2"/>
  <c r="R584" i="2"/>
  <c r="S584" i="2"/>
  <c r="T584" i="2"/>
  <c r="U584" i="2"/>
  <c r="V584" i="2"/>
  <c r="W584" i="2"/>
  <c r="X584" i="2"/>
  <c r="E585" i="2"/>
  <c r="F585" i="2"/>
  <c r="G585" i="2"/>
  <c r="H585" i="2"/>
  <c r="I585" i="2"/>
  <c r="J585" i="2"/>
  <c r="K585" i="2"/>
  <c r="L585" i="2"/>
  <c r="M585" i="2"/>
  <c r="N585" i="2"/>
  <c r="O585" i="2"/>
  <c r="P585" i="2" s="1"/>
  <c r="Q585" i="2"/>
  <c r="R585" i="2"/>
  <c r="S585" i="2"/>
  <c r="T585" i="2"/>
  <c r="U585" i="2"/>
  <c r="V585" i="2"/>
  <c r="W585" i="2"/>
  <c r="X585" i="2"/>
  <c r="X542" i="2"/>
  <c r="W542" i="2"/>
  <c r="V542" i="2"/>
  <c r="U542" i="2"/>
  <c r="T542" i="2"/>
  <c r="S542" i="2"/>
  <c r="R542" i="2"/>
  <c r="Q542" i="2"/>
  <c r="O542" i="2"/>
  <c r="N542" i="2"/>
  <c r="M542" i="2"/>
  <c r="L542" i="2"/>
  <c r="K542" i="2"/>
  <c r="J542" i="2"/>
  <c r="I542" i="2"/>
  <c r="H542" i="2"/>
  <c r="G542" i="2"/>
  <c r="F542" i="2"/>
  <c r="E542" i="2"/>
  <c r="E419" i="2"/>
  <c r="F419" i="2"/>
  <c r="G419" i="2"/>
  <c r="H419" i="2"/>
  <c r="I419" i="2"/>
  <c r="J419" i="2"/>
  <c r="K419" i="2"/>
  <c r="L419" i="2"/>
  <c r="M419" i="2"/>
  <c r="N419" i="2"/>
  <c r="O419" i="2"/>
  <c r="P419" i="2" s="1"/>
  <c r="Q419" i="2"/>
  <c r="R419" i="2"/>
  <c r="S419" i="2"/>
  <c r="T419" i="2"/>
  <c r="U419" i="2"/>
  <c r="V419" i="2"/>
  <c r="W419" i="2"/>
  <c r="X419" i="2"/>
  <c r="E420" i="2"/>
  <c r="F420" i="2"/>
  <c r="G420" i="2"/>
  <c r="H420" i="2"/>
  <c r="I420" i="2"/>
  <c r="J420" i="2"/>
  <c r="K420" i="2"/>
  <c r="L420" i="2"/>
  <c r="M420" i="2"/>
  <c r="N420" i="2"/>
  <c r="O420" i="2"/>
  <c r="Q420" i="2"/>
  <c r="R420" i="2"/>
  <c r="S420" i="2"/>
  <c r="T420" i="2"/>
  <c r="U420" i="2"/>
  <c r="V420" i="2"/>
  <c r="W420" i="2"/>
  <c r="X420" i="2"/>
  <c r="E421" i="2"/>
  <c r="F421" i="2"/>
  <c r="G421" i="2"/>
  <c r="H421" i="2"/>
  <c r="I421" i="2"/>
  <c r="J421" i="2"/>
  <c r="K421" i="2"/>
  <c r="L421" i="2"/>
  <c r="M421" i="2"/>
  <c r="N421" i="2"/>
  <c r="O421" i="2"/>
  <c r="Q421" i="2"/>
  <c r="R421" i="2"/>
  <c r="S421" i="2"/>
  <c r="T421" i="2"/>
  <c r="U421" i="2"/>
  <c r="V421" i="2"/>
  <c r="W421" i="2"/>
  <c r="X421" i="2"/>
  <c r="E422" i="2"/>
  <c r="F422" i="2"/>
  <c r="G422" i="2"/>
  <c r="H422" i="2"/>
  <c r="I422" i="2"/>
  <c r="J422" i="2"/>
  <c r="K422" i="2"/>
  <c r="L422" i="2"/>
  <c r="M422" i="2"/>
  <c r="N422" i="2"/>
  <c r="O422" i="2"/>
  <c r="Q422" i="2"/>
  <c r="R422" i="2"/>
  <c r="S422" i="2"/>
  <c r="T422" i="2"/>
  <c r="U422" i="2"/>
  <c r="V422" i="2"/>
  <c r="W422" i="2"/>
  <c r="X422" i="2"/>
  <c r="E423" i="2"/>
  <c r="F423" i="2"/>
  <c r="G423" i="2"/>
  <c r="H423" i="2"/>
  <c r="I423" i="2"/>
  <c r="J423" i="2"/>
  <c r="K423" i="2"/>
  <c r="L423" i="2"/>
  <c r="M423" i="2"/>
  <c r="N423" i="2"/>
  <c r="O423" i="2"/>
  <c r="P423" i="2" s="1"/>
  <c r="Q423" i="2"/>
  <c r="R423" i="2"/>
  <c r="S423" i="2"/>
  <c r="T423" i="2"/>
  <c r="U423" i="2"/>
  <c r="V423" i="2"/>
  <c r="W423" i="2"/>
  <c r="X423" i="2"/>
  <c r="E424" i="2"/>
  <c r="F424" i="2"/>
  <c r="G424" i="2"/>
  <c r="H424" i="2"/>
  <c r="I424" i="2"/>
  <c r="J424" i="2"/>
  <c r="K424" i="2"/>
  <c r="L424" i="2"/>
  <c r="M424" i="2"/>
  <c r="N424" i="2"/>
  <c r="O424" i="2"/>
  <c r="P424" i="2" s="1"/>
  <c r="Q424" i="2"/>
  <c r="R424" i="2"/>
  <c r="S424" i="2"/>
  <c r="T424" i="2"/>
  <c r="U424" i="2"/>
  <c r="V424" i="2"/>
  <c r="W424" i="2"/>
  <c r="X424" i="2"/>
  <c r="E425" i="2"/>
  <c r="F425" i="2"/>
  <c r="G425" i="2"/>
  <c r="H425" i="2"/>
  <c r="I425" i="2"/>
  <c r="J425" i="2"/>
  <c r="K425" i="2"/>
  <c r="L425" i="2"/>
  <c r="M425" i="2"/>
  <c r="N425" i="2"/>
  <c r="O425" i="2"/>
  <c r="P425" i="2" s="1"/>
  <c r="Q425" i="2"/>
  <c r="R425" i="2"/>
  <c r="S425" i="2"/>
  <c r="T425" i="2"/>
  <c r="U425" i="2"/>
  <c r="V425" i="2"/>
  <c r="W425" i="2"/>
  <c r="X425" i="2"/>
  <c r="E426" i="2"/>
  <c r="F426" i="2"/>
  <c r="G426" i="2"/>
  <c r="H426" i="2"/>
  <c r="I426" i="2"/>
  <c r="J426" i="2"/>
  <c r="K426" i="2"/>
  <c r="L426" i="2"/>
  <c r="M426" i="2"/>
  <c r="N426" i="2"/>
  <c r="O426" i="2"/>
  <c r="Q426" i="2"/>
  <c r="R426" i="2"/>
  <c r="S426" i="2"/>
  <c r="T426" i="2"/>
  <c r="U426" i="2"/>
  <c r="V426" i="2"/>
  <c r="W426" i="2"/>
  <c r="X426" i="2"/>
  <c r="E427" i="2"/>
  <c r="F427" i="2"/>
  <c r="G427" i="2"/>
  <c r="H427" i="2"/>
  <c r="I427" i="2"/>
  <c r="J427" i="2"/>
  <c r="K427" i="2"/>
  <c r="L427" i="2"/>
  <c r="M427" i="2"/>
  <c r="N427" i="2"/>
  <c r="O427" i="2"/>
  <c r="Q427" i="2"/>
  <c r="R427" i="2"/>
  <c r="S427" i="2"/>
  <c r="T427" i="2"/>
  <c r="U427" i="2"/>
  <c r="V427" i="2"/>
  <c r="W427" i="2"/>
  <c r="X427" i="2"/>
  <c r="E428" i="2"/>
  <c r="F428" i="2"/>
  <c r="G428" i="2"/>
  <c r="H428" i="2"/>
  <c r="I428" i="2"/>
  <c r="J428" i="2"/>
  <c r="K428" i="2"/>
  <c r="L428" i="2"/>
  <c r="M428" i="2"/>
  <c r="N428" i="2"/>
  <c r="O428" i="2"/>
  <c r="Q428" i="2"/>
  <c r="R428" i="2"/>
  <c r="S428" i="2"/>
  <c r="T428" i="2"/>
  <c r="U428" i="2"/>
  <c r="V428" i="2"/>
  <c r="W428" i="2"/>
  <c r="X428" i="2"/>
  <c r="E429" i="2"/>
  <c r="F429" i="2"/>
  <c r="G429" i="2"/>
  <c r="H429" i="2"/>
  <c r="I429" i="2"/>
  <c r="J429" i="2"/>
  <c r="K429" i="2"/>
  <c r="L429" i="2"/>
  <c r="M429" i="2"/>
  <c r="N429" i="2"/>
  <c r="O429" i="2"/>
  <c r="P429" i="2" s="1"/>
  <c r="Q429" i="2"/>
  <c r="R429" i="2"/>
  <c r="S429" i="2"/>
  <c r="T429" i="2"/>
  <c r="U429" i="2"/>
  <c r="V429" i="2"/>
  <c r="W429" i="2"/>
  <c r="X429" i="2"/>
  <c r="E430" i="2"/>
  <c r="F430" i="2"/>
  <c r="G430" i="2"/>
  <c r="H430" i="2"/>
  <c r="I430" i="2"/>
  <c r="J430" i="2"/>
  <c r="K430" i="2"/>
  <c r="L430" i="2"/>
  <c r="M430" i="2"/>
  <c r="N430" i="2"/>
  <c r="O430" i="2"/>
  <c r="P430" i="2" s="1"/>
  <c r="Q430" i="2"/>
  <c r="R430" i="2"/>
  <c r="S430" i="2"/>
  <c r="T430" i="2"/>
  <c r="U430" i="2"/>
  <c r="V430" i="2"/>
  <c r="W430" i="2"/>
  <c r="X430" i="2"/>
  <c r="E431" i="2"/>
  <c r="F431" i="2"/>
  <c r="G431" i="2"/>
  <c r="H431" i="2"/>
  <c r="I431" i="2"/>
  <c r="J431" i="2"/>
  <c r="K431" i="2"/>
  <c r="L431" i="2"/>
  <c r="M431" i="2"/>
  <c r="N431" i="2"/>
  <c r="O431" i="2"/>
  <c r="P431" i="2" s="1"/>
  <c r="Q431" i="2"/>
  <c r="R431" i="2"/>
  <c r="S431" i="2"/>
  <c r="T431" i="2"/>
  <c r="U431" i="2"/>
  <c r="V431" i="2"/>
  <c r="W431" i="2"/>
  <c r="X431" i="2"/>
  <c r="E432" i="2"/>
  <c r="F432" i="2"/>
  <c r="G432" i="2"/>
  <c r="H432" i="2"/>
  <c r="I432" i="2"/>
  <c r="J432" i="2"/>
  <c r="K432" i="2"/>
  <c r="L432" i="2"/>
  <c r="M432" i="2"/>
  <c r="N432" i="2"/>
  <c r="O432" i="2"/>
  <c r="Q432" i="2"/>
  <c r="R432" i="2"/>
  <c r="S432" i="2"/>
  <c r="T432" i="2"/>
  <c r="U432" i="2"/>
  <c r="V432" i="2"/>
  <c r="W432" i="2"/>
  <c r="X432" i="2"/>
  <c r="E433" i="2"/>
  <c r="F433" i="2"/>
  <c r="G433" i="2"/>
  <c r="H433" i="2"/>
  <c r="I433" i="2"/>
  <c r="J433" i="2"/>
  <c r="K433" i="2"/>
  <c r="L433" i="2"/>
  <c r="M433" i="2"/>
  <c r="N433" i="2"/>
  <c r="O433" i="2"/>
  <c r="Q433" i="2"/>
  <c r="R433" i="2"/>
  <c r="S433" i="2"/>
  <c r="T433" i="2"/>
  <c r="U433" i="2"/>
  <c r="V433" i="2"/>
  <c r="W433" i="2"/>
  <c r="X433" i="2"/>
  <c r="E434" i="2"/>
  <c r="F434" i="2"/>
  <c r="G434" i="2"/>
  <c r="H434" i="2"/>
  <c r="I434" i="2"/>
  <c r="J434" i="2"/>
  <c r="K434" i="2"/>
  <c r="L434" i="2"/>
  <c r="M434" i="2"/>
  <c r="N434" i="2"/>
  <c r="O434" i="2"/>
  <c r="Q434" i="2"/>
  <c r="R434" i="2"/>
  <c r="S434" i="2"/>
  <c r="T434" i="2"/>
  <c r="U434" i="2"/>
  <c r="V434" i="2"/>
  <c r="W434" i="2"/>
  <c r="X434" i="2"/>
  <c r="E435" i="2"/>
  <c r="F435" i="2"/>
  <c r="G435" i="2"/>
  <c r="H435" i="2"/>
  <c r="I435" i="2"/>
  <c r="J435" i="2"/>
  <c r="K435" i="2"/>
  <c r="L435" i="2"/>
  <c r="M435" i="2"/>
  <c r="N435" i="2"/>
  <c r="O435" i="2"/>
  <c r="P435" i="2" s="1"/>
  <c r="Q435" i="2"/>
  <c r="R435" i="2"/>
  <c r="S435" i="2"/>
  <c r="T435" i="2"/>
  <c r="U435" i="2"/>
  <c r="V435" i="2"/>
  <c r="W435" i="2"/>
  <c r="X435" i="2"/>
  <c r="E436" i="2"/>
  <c r="F436" i="2"/>
  <c r="G436" i="2"/>
  <c r="H436" i="2"/>
  <c r="I436" i="2"/>
  <c r="J436" i="2"/>
  <c r="K436" i="2"/>
  <c r="L436" i="2"/>
  <c r="M436" i="2"/>
  <c r="N436" i="2"/>
  <c r="O436" i="2"/>
  <c r="P436" i="2" s="1"/>
  <c r="Q436" i="2"/>
  <c r="R436" i="2"/>
  <c r="S436" i="2"/>
  <c r="T436" i="2"/>
  <c r="U436" i="2"/>
  <c r="V436" i="2"/>
  <c r="W436" i="2"/>
  <c r="X436" i="2"/>
  <c r="E437" i="2"/>
  <c r="F437" i="2"/>
  <c r="G437" i="2"/>
  <c r="H437" i="2"/>
  <c r="I437" i="2"/>
  <c r="J437" i="2"/>
  <c r="K437" i="2"/>
  <c r="L437" i="2"/>
  <c r="M437" i="2"/>
  <c r="N437" i="2"/>
  <c r="O437" i="2"/>
  <c r="P437" i="2" s="1"/>
  <c r="Q437" i="2"/>
  <c r="R437" i="2"/>
  <c r="S437" i="2"/>
  <c r="T437" i="2"/>
  <c r="U437" i="2"/>
  <c r="V437" i="2"/>
  <c r="W437" i="2"/>
  <c r="X437" i="2"/>
  <c r="E438" i="2"/>
  <c r="F438" i="2"/>
  <c r="G438" i="2"/>
  <c r="H438" i="2"/>
  <c r="I438" i="2"/>
  <c r="J438" i="2"/>
  <c r="K438" i="2"/>
  <c r="L438" i="2"/>
  <c r="M438" i="2"/>
  <c r="N438" i="2"/>
  <c r="O438" i="2"/>
  <c r="Q438" i="2"/>
  <c r="R438" i="2"/>
  <c r="S438" i="2"/>
  <c r="T438" i="2"/>
  <c r="U438" i="2"/>
  <c r="V438" i="2"/>
  <c r="W438" i="2"/>
  <c r="X438" i="2"/>
  <c r="E439" i="2"/>
  <c r="F439" i="2"/>
  <c r="G439" i="2"/>
  <c r="H439" i="2"/>
  <c r="I439" i="2"/>
  <c r="J439" i="2"/>
  <c r="K439" i="2"/>
  <c r="L439" i="2"/>
  <c r="M439" i="2"/>
  <c r="N439" i="2"/>
  <c r="O439" i="2"/>
  <c r="Q439" i="2"/>
  <c r="R439" i="2"/>
  <c r="S439" i="2"/>
  <c r="T439" i="2"/>
  <c r="U439" i="2"/>
  <c r="V439" i="2"/>
  <c r="W439" i="2"/>
  <c r="X439" i="2"/>
  <c r="E440" i="2"/>
  <c r="F440" i="2"/>
  <c r="G440" i="2"/>
  <c r="H440" i="2"/>
  <c r="I440" i="2"/>
  <c r="J440" i="2"/>
  <c r="K440" i="2"/>
  <c r="L440" i="2"/>
  <c r="M440" i="2"/>
  <c r="N440" i="2"/>
  <c r="O440" i="2"/>
  <c r="Q440" i="2"/>
  <c r="R440" i="2"/>
  <c r="S440" i="2"/>
  <c r="T440" i="2"/>
  <c r="U440" i="2"/>
  <c r="V440" i="2"/>
  <c r="W440" i="2"/>
  <c r="X440" i="2"/>
  <c r="E441" i="2"/>
  <c r="F441" i="2"/>
  <c r="G441" i="2"/>
  <c r="H441" i="2"/>
  <c r="I441" i="2"/>
  <c r="J441" i="2"/>
  <c r="K441" i="2"/>
  <c r="L441" i="2"/>
  <c r="M441" i="2"/>
  <c r="N441" i="2"/>
  <c r="O441" i="2"/>
  <c r="P441" i="2" s="1"/>
  <c r="Q441" i="2"/>
  <c r="R441" i="2"/>
  <c r="S441" i="2"/>
  <c r="T441" i="2"/>
  <c r="U441" i="2"/>
  <c r="V441" i="2"/>
  <c r="W441" i="2"/>
  <c r="X441" i="2"/>
  <c r="E442" i="2"/>
  <c r="F442" i="2"/>
  <c r="G442" i="2"/>
  <c r="H442" i="2"/>
  <c r="I442" i="2"/>
  <c r="J442" i="2"/>
  <c r="K442" i="2"/>
  <c r="L442" i="2"/>
  <c r="M442" i="2"/>
  <c r="N442" i="2"/>
  <c r="O442" i="2"/>
  <c r="P442" i="2" s="1"/>
  <c r="Q442" i="2"/>
  <c r="R442" i="2"/>
  <c r="S442" i="2"/>
  <c r="T442" i="2"/>
  <c r="U442" i="2"/>
  <c r="V442" i="2"/>
  <c r="W442" i="2"/>
  <c r="X442" i="2"/>
  <c r="E443" i="2"/>
  <c r="F443" i="2"/>
  <c r="G443" i="2"/>
  <c r="H443" i="2"/>
  <c r="I443" i="2"/>
  <c r="J443" i="2"/>
  <c r="K443" i="2"/>
  <c r="L443" i="2"/>
  <c r="M443" i="2"/>
  <c r="N443" i="2"/>
  <c r="O443" i="2"/>
  <c r="P443" i="2" s="1"/>
  <c r="Q443" i="2"/>
  <c r="R443" i="2"/>
  <c r="S443" i="2"/>
  <c r="T443" i="2"/>
  <c r="U443" i="2"/>
  <c r="V443" i="2"/>
  <c r="W443" i="2"/>
  <c r="X443" i="2"/>
  <c r="E444" i="2"/>
  <c r="F444" i="2"/>
  <c r="G444" i="2"/>
  <c r="H444" i="2"/>
  <c r="I444" i="2"/>
  <c r="J444" i="2"/>
  <c r="K444" i="2"/>
  <c r="L444" i="2"/>
  <c r="M444" i="2"/>
  <c r="N444" i="2"/>
  <c r="O444" i="2"/>
  <c r="Q444" i="2"/>
  <c r="R444" i="2"/>
  <c r="S444" i="2"/>
  <c r="T444" i="2"/>
  <c r="U444" i="2"/>
  <c r="V444" i="2"/>
  <c r="W444" i="2"/>
  <c r="X444" i="2"/>
  <c r="E445" i="2"/>
  <c r="F445" i="2"/>
  <c r="G445" i="2"/>
  <c r="H445" i="2"/>
  <c r="I445" i="2"/>
  <c r="J445" i="2"/>
  <c r="K445" i="2"/>
  <c r="L445" i="2"/>
  <c r="M445" i="2"/>
  <c r="N445" i="2"/>
  <c r="O445" i="2"/>
  <c r="Q445" i="2"/>
  <c r="R445" i="2"/>
  <c r="S445" i="2"/>
  <c r="T445" i="2"/>
  <c r="U445" i="2"/>
  <c r="V445" i="2"/>
  <c r="W445" i="2"/>
  <c r="X445" i="2"/>
  <c r="E446" i="2"/>
  <c r="F446" i="2"/>
  <c r="G446" i="2"/>
  <c r="H446" i="2"/>
  <c r="I446" i="2"/>
  <c r="J446" i="2"/>
  <c r="K446" i="2"/>
  <c r="L446" i="2"/>
  <c r="M446" i="2"/>
  <c r="N446" i="2"/>
  <c r="O446" i="2"/>
  <c r="Q446" i="2"/>
  <c r="R446" i="2"/>
  <c r="S446" i="2"/>
  <c r="T446" i="2"/>
  <c r="U446" i="2"/>
  <c r="V446" i="2"/>
  <c r="W446" i="2"/>
  <c r="X446" i="2"/>
  <c r="E447" i="2"/>
  <c r="F447" i="2"/>
  <c r="G447" i="2"/>
  <c r="H447" i="2"/>
  <c r="I447" i="2"/>
  <c r="J447" i="2"/>
  <c r="K447" i="2"/>
  <c r="L447" i="2"/>
  <c r="M447" i="2"/>
  <c r="N447" i="2"/>
  <c r="O447" i="2"/>
  <c r="P447" i="2" s="1"/>
  <c r="Q447" i="2"/>
  <c r="R447" i="2"/>
  <c r="S447" i="2"/>
  <c r="T447" i="2"/>
  <c r="U447" i="2"/>
  <c r="V447" i="2"/>
  <c r="W447" i="2"/>
  <c r="X447" i="2"/>
  <c r="E448" i="2"/>
  <c r="F448" i="2"/>
  <c r="G448" i="2"/>
  <c r="H448" i="2"/>
  <c r="I448" i="2"/>
  <c r="J448" i="2"/>
  <c r="K448" i="2"/>
  <c r="L448" i="2"/>
  <c r="M448" i="2"/>
  <c r="N448" i="2"/>
  <c r="O448" i="2"/>
  <c r="P448" i="2" s="1"/>
  <c r="Q448" i="2"/>
  <c r="R448" i="2"/>
  <c r="S448" i="2"/>
  <c r="T448" i="2"/>
  <c r="U448" i="2"/>
  <c r="V448" i="2"/>
  <c r="W448" i="2"/>
  <c r="X448" i="2"/>
  <c r="E449" i="2"/>
  <c r="F449" i="2"/>
  <c r="G449" i="2"/>
  <c r="H449" i="2"/>
  <c r="I449" i="2"/>
  <c r="J449" i="2"/>
  <c r="K449" i="2"/>
  <c r="L449" i="2"/>
  <c r="M449" i="2"/>
  <c r="N449" i="2"/>
  <c r="O449" i="2"/>
  <c r="P449" i="2" s="1"/>
  <c r="Q449" i="2"/>
  <c r="R449" i="2"/>
  <c r="S449" i="2"/>
  <c r="T449" i="2"/>
  <c r="U449" i="2"/>
  <c r="V449" i="2"/>
  <c r="W449" i="2"/>
  <c r="X449" i="2"/>
  <c r="E450" i="2"/>
  <c r="F450" i="2"/>
  <c r="G450" i="2"/>
  <c r="H450" i="2"/>
  <c r="I450" i="2"/>
  <c r="J450" i="2"/>
  <c r="K450" i="2"/>
  <c r="L450" i="2"/>
  <c r="M450" i="2"/>
  <c r="N450" i="2"/>
  <c r="O450" i="2"/>
  <c r="Q450" i="2"/>
  <c r="R450" i="2"/>
  <c r="S450" i="2"/>
  <c r="T450" i="2"/>
  <c r="U450" i="2"/>
  <c r="V450" i="2"/>
  <c r="W450" i="2"/>
  <c r="X450" i="2"/>
  <c r="E451" i="2"/>
  <c r="F451" i="2"/>
  <c r="G451" i="2"/>
  <c r="H451" i="2"/>
  <c r="I451" i="2"/>
  <c r="J451" i="2"/>
  <c r="K451" i="2"/>
  <c r="L451" i="2"/>
  <c r="M451" i="2"/>
  <c r="N451" i="2"/>
  <c r="O451" i="2"/>
  <c r="Q451" i="2"/>
  <c r="R451" i="2"/>
  <c r="S451" i="2"/>
  <c r="T451" i="2"/>
  <c r="U451" i="2"/>
  <c r="V451" i="2"/>
  <c r="W451" i="2"/>
  <c r="X451" i="2"/>
  <c r="E452" i="2"/>
  <c r="F452" i="2"/>
  <c r="G452" i="2"/>
  <c r="H452" i="2"/>
  <c r="I452" i="2"/>
  <c r="J452" i="2"/>
  <c r="K452" i="2"/>
  <c r="L452" i="2"/>
  <c r="M452" i="2"/>
  <c r="N452" i="2"/>
  <c r="O452" i="2"/>
  <c r="Q452" i="2"/>
  <c r="R452" i="2"/>
  <c r="S452" i="2"/>
  <c r="T452" i="2"/>
  <c r="U452" i="2"/>
  <c r="V452" i="2"/>
  <c r="W452" i="2"/>
  <c r="X452" i="2"/>
  <c r="E453" i="2"/>
  <c r="F453" i="2"/>
  <c r="G453" i="2"/>
  <c r="H453" i="2"/>
  <c r="I453" i="2"/>
  <c r="J453" i="2"/>
  <c r="K453" i="2"/>
  <c r="L453" i="2"/>
  <c r="M453" i="2"/>
  <c r="N453" i="2"/>
  <c r="O453" i="2"/>
  <c r="P453" i="2" s="1"/>
  <c r="Q453" i="2"/>
  <c r="R453" i="2"/>
  <c r="S453" i="2"/>
  <c r="T453" i="2"/>
  <c r="U453" i="2"/>
  <c r="V453" i="2"/>
  <c r="W453" i="2"/>
  <c r="X453" i="2"/>
  <c r="E454" i="2"/>
  <c r="F454" i="2"/>
  <c r="G454" i="2"/>
  <c r="H454" i="2"/>
  <c r="I454" i="2"/>
  <c r="J454" i="2"/>
  <c r="K454" i="2"/>
  <c r="L454" i="2"/>
  <c r="M454" i="2"/>
  <c r="N454" i="2"/>
  <c r="O454" i="2"/>
  <c r="P454" i="2" s="1"/>
  <c r="Q454" i="2"/>
  <c r="R454" i="2"/>
  <c r="S454" i="2"/>
  <c r="T454" i="2"/>
  <c r="U454" i="2"/>
  <c r="V454" i="2"/>
  <c r="W454" i="2"/>
  <c r="X454" i="2"/>
  <c r="E455" i="2"/>
  <c r="F455" i="2"/>
  <c r="G455" i="2"/>
  <c r="H455" i="2"/>
  <c r="I455" i="2"/>
  <c r="J455" i="2"/>
  <c r="K455" i="2"/>
  <c r="L455" i="2"/>
  <c r="M455" i="2"/>
  <c r="N455" i="2"/>
  <c r="O455" i="2"/>
  <c r="P455" i="2" s="1"/>
  <c r="Q455" i="2"/>
  <c r="R455" i="2"/>
  <c r="S455" i="2"/>
  <c r="T455" i="2"/>
  <c r="U455" i="2"/>
  <c r="V455" i="2"/>
  <c r="W455" i="2"/>
  <c r="X455" i="2"/>
  <c r="E456" i="2"/>
  <c r="F456" i="2"/>
  <c r="G456" i="2"/>
  <c r="H456" i="2"/>
  <c r="I456" i="2"/>
  <c r="J456" i="2"/>
  <c r="K456" i="2"/>
  <c r="L456" i="2"/>
  <c r="M456" i="2"/>
  <c r="N456" i="2"/>
  <c r="O456" i="2"/>
  <c r="Q456" i="2"/>
  <c r="R456" i="2"/>
  <c r="S456" i="2"/>
  <c r="T456" i="2"/>
  <c r="U456" i="2"/>
  <c r="V456" i="2"/>
  <c r="W456" i="2"/>
  <c r="X456" i="2"/>
  <c r="E457" i="2"/>
  <c r="F457" i="2"/>
  <c r="G457" i="2"/>
  <c r="H457" i="2"/>
  <c r="I457" i="2"/>
  <c r="J457" i="2"/>
  <c r="K457" i="2"/>
  <c r="L457" i="2"/>
  <c r="M457" i="2"/>
  <c r="N457" i="2"/>
  <c r="O457" i="2"/>
  <c r="Q457" i="2"/>
  <c r="R457" i="2"/>
  <c r="S457" i="2"/>
  <c r="T457" i="2"/>
  <c r="U457" i="2"/>
  <c r="V457" i="2"/>
  <c r="W457" i="2"/>
  <c r="X457" i="2"/>
  <c r="E458" i="2"/>
  <c r="F458" i="2"/>
  <c r="G458" i="2"/>
  <c r="H458" i="2"/>
  <c r="I458" i="2"/>
  <c r="J458" i="2"/>
  <c r="K458" i="2"/>
  <c r="L458" i="2"/>
  <c r="M458" i="2"/>
  <c r="N458" i="2"/>
  <c r="O458" i="2"/>
  <c r="Q458" i="2"/>
  <c r="R458" i="2"/>
  <c r="S458" i="2"/>
  <c r="T458" i="2"/>
  <c r="U458" i="2"/>
  <c r="V458" i="2"/>
  <c r="W458" i="2"/>
  <c r="X458" i="2"/>
  <c r="E459" i="2"/>
  <c r="F459" i="2"/>
  <c r="G459" i="2"/>
  <c r="H459" i="2"/>
  <c r="I459" i="2"/>
  <c r="J459" i="2"/>
  <c r="K459" i="2"/>
  <c r="L459" i="2"/>
  <c r="M459" i="2"/>
  <c r="N459" i="2"/>
  <c r="O459" i="2"/>
  <c r="P459" i="2" s="1"/>
  <c r="Q459" i="2"/>
  <c r="R459" i="2"/>
  <c r="S459" i="2"/>
  <c r="T459" i="2"/>
  <c r="U459" i="2"/>
  <c r="V459" i="2"/>
  <c r="W459" i="2"/>
  <c r="X459" i="2"/>
  <c r="E460" i="2"/>
  <c r="F460" i="2"/>
  <c r="G460" i="2"/>
  <c r="H460" i="2"/>
  <c r="I460" i="2"/>
  <c r="J460" i="2"/>
  <c r="K460" i="2"/>
  <c r="L460" i="2"/>
  <c r="M460" i="2"/>
  <c r="N460" i="2"/>
  <c r="O460" i="2"/>
  <c r="P460" i="2" s="1"/>
  <c r="Q460" i="2"/>
  <c r="R460" i="2"/>
  <c r="S460" i="2"/>
  <c r="T460" i="2"/>
  <c r="U460" i="2"/>
  <c r="V460" i="2"/>
  <c r="W460" i="2"/>
  <c r="X460" i="2"/>
  <c r="E461" i="2"/>
  <c r="F461" i="2"/>
  <c r="G461" i="2"/>
  <c r="H461" i="2"/>
  <c r="I461" i="2"/>
  <c r="J461" i="2"/>
  <c r="K461" i="2"/>
  <c r="L461" i="2"/>
  <c r="M461" i="2"/>
  <c r="N461" i="2"/>
  <c r="O461" i="2"/>
  <c r="P461" i="2" s="1"/>
  <c r="Q461" i="2"/>
  <c r="R461" i="2"/>
  <c r="S461" i="2"/>
  <c r="T461" i="2"/>
  <c r="U461" i="2"/>
  <c r="V461" i="2"/>
  <c r="W461" i="2"/>
  <c r="X461" i="2"/>
  <c r="E462" i="2"/>
  <c r="F462" i="2"/>
  <c r="G462" i="2"/>
  <c r="H462" i="2"/>
  <c r="I462" i="2"/>
  <c r="J462" i="2"/>
  <c r="K462" i="2"/>
  <c r="L462" i="2"/>
  <c r="M462" i="2"/>
  <c r="N462" i="2"/>
  <c r="O462" i="2"/>
  <c r="Q462" i="2"/>
  <c r="R462" i="2"/>
  <c r="S462" i="2"/>
  <c r="T462" i="2"/>
  <c r="U462" i="2"/>
  <c r="V462" i="2"/>
  <c r="W462" i="2"/>
  <c r="X462" i="2"/>
  <c r="E463" i="2"/>
  <c r="F463" i="2"/>
  <c r="G463" i="2"/>
  <c r="H463" i="2"/>
  <c r="I463" i="2"/>
  <c r="J463" i="2"/>
  <c r="K463" i="2"/>
  <c r="L463" i="2"/>
  <c r="M463" i="2"/>
  <c r="N463" i="2"/>
  <c r="O463" i="2"/>
  <c r="Q463" i="2"/>
  <c r="R463" i="2"/>
  <c r="S463" i="2"/>
  <c r="T463" i="2"/>
  <c r="U463" i="2"/>
  <c r="V463" i="2"/>
  <c r="W463" i="2"/>
  <c r="X463" i="2"/>
  <c r="E464" i="2"/>
  <c r="F464" i="2"/>
  <c r="G464" i="2"/>
  <c r="H464" i="2"/>
  <c r="I464" i="2"/>
  <c r="J464" i="2"/>
  <c r="K464" i="2"/>
  <c r="L464" i="2"/>
  <c r="M464" i="2"/>
  <c r="N464" i="2"/>
  <c r="O464" i="2"/>
  <c r="Q464" i="2"/>
  <c r="R464" i="2"/>
  <c r="S464" i="2"/>
  <c r="T464" i="2"/>
  <c r="U464" i="2"/>
  <c r="V464" i="2"/>
  <c r="W464" i="2"/>
  <c r="X464" i="2"/>
  <c r="E465" i="2"/>
  <c r="F465" i="2"/>
  <c r="G465" i="2"/>
  <c r="H465" i="2"/>
  <c r="I465" i="2"/>
  <c r="J465" i="2"/>
  <c r="K465" i="2"/>
  <c r="L465" i="2"/>
  <c r="M465" i="2"/>
  <c r="N465" i="2"/>
  <c r="O465" i="2"/>
  <c r="P465" i="2" s="1"/>
  <c r="Q465" i="2"/>
  <c r="R465" i="2"/>
  <c r="S465" i="2"/>
  <c r="T465" i="2"/>
  <c r="U465" i="2"/>
  <c r="V465" i="2"/>
  <c r="W465" i="2"/>
  <c r="X465" i="2"/>
  <c r="E466" i="2"/>
  <c r="F466" i="2"/>
  <c r="G466" i="2"/>
  <c r="H466" i="2"/>
  <c r="I466" i="2"/>
  <c r="J466" i="2"/>
  <c r="K466" i="2"/>
  <c r="L466" i="2"/>
  <c r="M466" i="2"/>
  <c r="N466" i="2"/>
  <c r="O466" i="2"/>
  <c r="P466" i="2" s="1"/>
  <c r="Q466" i="2"/>
  <c r="R466" i="2"/>
  <c r="S466" i="2"/>
  <c r="T466" i="2"/>
  <c r="U466" i="2"/>
  <c r="V466" i="2"/>
  <c r="W466" i="2"/>
  <c r="X466" i="2"/>
  <c r="E467" i="2"/>
  <c r="F467" i="2"/>
  <c r="G467" i="2"/>
  <c r="H467" i="2"/>
  <c r="I467" i="2"/>
  <c r="J467" i="2"/>
  <c r="K467" i="2"/>
  <c r="L467" i="2"/>
  <c r="M467" i="2"/>
  <c r="N467" i="2"/>
  <c r="O467" i="2"/>
  <c r="P467" i="2" s="1"/>
  <c r="Q467" i="2"/>
  <c r="R467" i="2"/>
  <c r="S467" i="2"/>
  <c r="T467" i="2"/>
  <c r="U467" i="2"/>
  <c r="V467" i="2"/>
  <c r="W467" i="2"/>
  <c r="X467" i="2"/>
  <c r="E468" i="2"/>
  <c r="F468" i="2"/>
  <c r="G468" i="2"/>
  <c r="H468" i="2"/>
  <c r="I468" i="2"/>
  <c r="J468" i="2"/>
  <c r="K468" i="2"/>
  <c r="L468" i="2"/>
  <c r="M468" i="2"/>
  <c r="N468" i="2"/>
  <c r="O468" i="2"/>
  <c r="Q468" i="2"/>
  <c r="R468" i="2"/>
  <c r="S468" i="2"/>
  <c r="T468" i="2"/>
  <c r="U468" i="2"/>
  <c r="V468" i="2"/>
  <c r="W468" i="2"/>
  <c r="X468" i="2"/>
  <c r="E469" i="2"/>
  <c r="F469" i="2"/>
  <c r="G469" i="2"/>
  <c r="H469" i="2"/>
  <c r="I469" i="2"/>
  <c r="J469" i="2"/>
  <c r="K469" i="2"/>
  <c r="L469" i="2"/>
  <c r="M469" i="2"/>
  <c r="N469" i="2"/>
  <c r="O469" i="2"/>
  <c r="Q469" i="2"/>
  <c r="R469" i="2"/>
  <c r="S469" i="2"/>
  <c r="T469" i="2"/>
  <c r="U469" i="2"/>
  <c r="V469" i="2"/>
  <c r="W469" i="2"/>
  <c r="X469" i="2"/>
  <c r="E470" i="2"/>
  <c r="F470" i="2"/>
  <c r="G470" i="2"/>
  <c r="H470" i="2"/>
  <c r="I470" i="2"/>
  <c r="J470" i="2"/>
  <c r="K470" i="2"/>
  <c r="L470" i="2"/>
  <c r="M470" i="2"/>
  <c r="N470" i="2"/>
  <c r="O470" i="2"/>
  <c r="Q470" i="2"/>
  <c r="R470" i="2"/>
  <c r="S470" i="2"/>
  <c r="T470" i="2"/>
  <c r="U470" i="2"/>
  <c r="V470" i="2"/>
  <c r="W470" i="2"/>
  <c r="X470" i="2"/>
  <c r="E471" i="2"/>
  <c r="F471" i="2"/>
  <c r="G471" i="2"/>
  <c r="H471" i="2"/>
  <c r="I471" i="2"/>
  <c r="J471" i="2"/>
  <c r="K471" i="2"/>
  <c r="L471" i="2"/>
  <c r="M471" i="2"/>
  <c r="N471" i="2"/>
  <c r="O471" i="2"/>
  <c r="P471" i="2" s="1"/>
  <c r="Q471" i="2"/>
  <c r="R471" i="2"/>
  <c r="S471" i="2"/>
  <c r="T471" i="2"/>
  <c r="U471" i="2"/>
  <c r="V471" i="2"/>
  <c r="W471" i="2"/>
  <c r="X471" i="2"/>
  <c r="E472" i="2"/>
  <c r="F472" i="2"/>
  <c r="G472" i="2"/>
  <c r="H472" i="2"/>
  <c r="I472" i="2"/>
  <c r="J472" i="2"/>
  <c r="K472" i="2"/>
  <c r="L472" i="2"/>
  <c r="M472" i="2"/>
  <c r="N472" i="2"/>
  <c r="O472" i="2"/>
  <c r="P472" i="2" s="1"/>
  <c r="Q472" i="2"/>
  <c r="R472" i="2"/>
  <c r="S472" i="2"/>
  <c r="T472" i="2"/>
  <c r="U472" i="2"/>
  <c r="V472" i="2"/>
  <c r="W472" i="2"/>
  <c r="X472" i="2"/>
  <c r="E473" i="2"/>
  <c r="F473" i="2"/>
  <c r="G473" i="2"/>
  <c r="H473" i="2"/>
  <c r="I473" i="2"/>
  <c r="J473" i="2"/>
  <c r="K473" i="2"/>
  <c r="L473" i="2"/>
  <c r="M473" i="2"/>
  <c r="N473" i="2"/>
  <c r="O473" i="2"/>
  <c r="P473" i="2" s="1"/>
  <c r="Q473" i="2"/>
  <c r="R473" i="2"/>
  <c r="S473" i="2"/>
  <c r="T473" i="2"/>
  <c r="U473" i="2"/>
  <c r="V473" i="2"/>
  <c r="W473" i="2"/>
  <c r="X473" i="2"/>
  <c r="E474" i="2"/>
  <c r="F474" i="2"/>
  <c r="G474" i="2"/>
  <c r="H474" i="2"/>
  <c r="I474" i="2"/>
  <c r="J474" i="2"/>
  <c r="K474" i="2"/>
  <c r="L474" i="2"/>
  <c r="M474" i="2"/>
  <c r="N474" i="2"/>
  <c r="O474" i="2"/>
  <c r="Q474" i="2"/>
  <c r="R474" i="2"/>
  <c r="S474" i="2"/>
  <c r="T474" i="2"/>
  <c r="U474" i="2"/>
  <c r="V474" i="2"/>
  <c r="W474" i="2"/>
  <c r="X474" i="2"/>
  <c r="E475" i="2"/>
  <c r="F475" i="2"/>
  <c r="G475" i="2"/>
  <c r="H475" i="2"/>
  <c r="I475" i="2"/>
  <c r="J475" i="2"/>
  <c r="K475" i="2"/>
  <c r="L475" i="2"/>
  <c r="M475" i="2"/>
  <c r="N475" i="2"/>
  <c r="O475" i="2"/>
  <c r="Q475" i="2"/>
  <c r="R475" i="2"/>
  <c r="S475" i="2"/>
  <c r="T475" i="2"/>
  <c r="U475" i="2"/>
  <c r="V475" i="2"/>
  <c r="W475" i="2"/>
  <c r="X475" i="2"/>
  <c r="E476" i="2"/>
  <c r="F476" i="2"/>
  <c r="G476" i="2"/>
  <c r="H476" i="2"/>
  <c r="I476" i="2"/>
  <c r="J476" i="2"/>
  <c r="K476" i="2"/>
  <c r="L476" i="2"/>
  <c r="M476" i="2"/>
  <c r="N476" i="2"/>
  <c r="O476" i="2"/>
  <c r="Q476" i="2"/>
  <c r="R476" i="2"/>
  <c r="S476" i="2"/>
  <c r="T476" i="2"/>
  <c r="U476" i="2"/>
  <c r="V476" i="2"/>
  <c r="W476" i="2"/>
  <c r="X476" i="2"/>
  <c r="E477" i="2"/>
  <c r="F477" i="2"/>
  <c r="G477" i="2"/>
  <c r="H477" i="2"/>
  <c r="I477" i="2"/>
  <c r="J477" i="2"/>
  <c r="K477" i="2"/>
  <c r="L477" i="2"/>
  <c r="M477" i="2"/>
  <c r="N477" i="2"/>
  <c r="O477" i="2"/>
  <c r="P477" i="2" s="1"/>
  <c r="Q477" i="2"/>
  <c r="R477" i="2"/>
  <c r="S477" i="2"/>
  <c r="T477" i="2"/>
  <c r="U477" i="2"/>
  <c r="V477" i="2"/>
  <c r="W477" i="2"/>
  <c r="X477" i="2"/>
  <c r="E478" i="2"/>
  <c r="F478" i="2"/>
  <c r="G478" i="2"/>
  <c r="H478" i="2"/>
  <c r="I478" i="2"/>
  <c r="J478" i="2"/>
  <c r="K478" i="2"/>
  <c r="L478" i="2"/>
  <c r="M478" i="2"/>
  <c r="N478" i="2"/>
  <c r="O478" i="2"/>
  <c r="P478" i="2" s="1"/>
  <c r="Q478" i="2"/>
  <c r="R478" i="2"/>
  <c r="S478" i="2"/>
  <c r="T478" i="2"/>
  <c r="U478" i="2"/>
  <c r="V478" i="2"/>
  <c r="W478" i="2"/>
  <c r="X478" i="2"/>
  <c r="E479" i="2"/>
  <c r="F479" i="2"/>
  <c r="G479" i="2"/>
  <c r="H479" i="2"/>
  <c r="I479" i="2"/>
  <c r="J479" i="2"/>
  <c r="K479" i="2"/>
  <c r="L479" i="2"/>
  <c r="M479" i="2"/>
  <c r="N479" i="2"/>
  <c r="O479" i="2"/>
  <c r="P479" i="2" s="1"/>
  <c r="Q479" i="2"/>
  <c r="R479" i="2"/>
  <c r="S479" i="2"/>
  <c r="T479" i="2"/>
  <c r="U479" i="2"/>
  <c r="V479" i="2"/>
  <c r="W479" i="2"/>
  <c r="X479" i="2"/>
  <c r="E480" i="2"/>
  <c r="F480" i="2"/>
  <c r="G480" i="2"/>
  <c r="H480" i="2"/>
  <c r="I480" i="2"/>
  <c r="J480" i="2"/>
  <c r="K480" i="2"/>
  <c r="L480" i="2"/>
  <c r="M480" i="2"/>
  <c r="N480" i="2"/>
  <c r="O480" i="2"/>
  <c r="Q480" i="2"/>
  <c r="R480" i="2"/>
  <c r="S480" i="2"/>
  <c r="T480" i="2"/>
  <c r="U480" i="2"/>
  <c r="V480" i="2"/>
  <c r="W480" i="2"/>
  <c r="X480" i="2"/>
  <c r="E481" i="2"/>
  <c r="F481" i="2"/>
  <c r="G481" i="2"/>
  <c r="H481" i="2"/>
  <c r="I481" i="2"/>
  <c r="J481" i="2"/>
  <c r="K481" i="2"/>
  <c r="L481" i="2"/>
  <c r="M481" i="2"/>
  <c r="N481" i="2"/>
  <c r="O481" i="2"/>
  <c r="Q481" i="2"/>
  <c r="R481" i="2"/>
  <c r="S481" i="2"/>
  <c r="T481" i="2"/>
  <c r="U481" i="2"/>
  <c r="V481" i="2"/>
  <c r="W481" i="2"/>
  <c r="X481" i="2"/>
  <c r="E482" i="2"/>
  <c r="F482" i="2"/>
  <c r="G482" i="2"/>
  <c r="H482" i="2"/>
  <c r="I482" i="2"/>
  <c r="J482" i="2"/>
  <c r="K482" i="2"/>
  <c r="L482" i="2"/>
  <c r="M482" i="2"/>
  <c r="N482" i="2"/>
  <c r="O482" i="2"/>
  <c r="Q482" i="2"/>
  <c r="R482" i="2"/>
  <c r="S482" i="2"/>
  <c r="T482" i="2"/>
  <c r="U482" i="2"/>
  <c r="V482" i="2"/>
  <c r="W482" i="2"/>
  <c r="X482" i="2"/>
  <c r="E483" i="2"/>
  <c r="F483" i="2"/>
  <c r="G483" i="2"/>
  <c r="H483" i="2"/>
  <c r="I483" i="2"/>
  <c r="J483" i="2"/>
  <c r="K483" i="2"/>
  <c r="L483" i="2"/>
  <c r="M483" i="2"/>
  <c r="N483" i="2"/>
  <c r="O483" i="2"/>
  <c r="P483" i="2" s="1"/>
  <c r="Q483" i="2"/>
  <c r="R483" i="2"/>
  <c r="S483" i="2"/>
  <c r="T483" i="2"/>
  <c r="U483" i="2"/>
  <c r="V483" i="2"/>
  <c r="W483" i="2"/>
  <c r="X483" i="2"/>
  <c r="E484" i="2"/>
  <c r="F484" i="2"/>
  <c r="G484" i="2"/>
  <c r="H484" i="2"/>
  <c r="I484" i="2"/>
  <c r="J484" i="2"/>
  <c r="K484" i="2"/>
  <c r="L484" i="2"/>
  <c r="M484" i="2"/>
  <c r="N484" i="2"/>
  <c r="O484" i="2"/>
  <c r="P484" i="2" s="1"/>
  <c r="Q484" i="2"/>
  <c r="R484" i="2"/>
  <c r="S484" i="2"/>
  <c r="T484" i="2"/>
  <c r="U484" i="2"/>
  <c r="V484" i="2"/>
  <c r="W484" i="2"/>
  <c r="X484" i="2"/>
  <c r="E485" i="2"/>
  <c r="F485" i="2"/>
  <c r="G485" i="2"/>
  <c r="H485" i="2"/>
  <c r="I485" i="2"/>
  <c r="J485" i="2"/>
  <c r="K485" i="2"/>
  <c r="L485" i="2"/>
  <c r="M485" i="2"/>
  <c r="N485" i="2"/>
  <c r="O485" i="2"/>
  <c r="P485" i="2" s="1"/>
  <c r="Q485" i="2"/>
  <c r="R485" i="2"/>
  <c r="S485" i="2"/>
  <c r="T485" i="2"/>
  <c r="U485" i="2"/>
  <c r="V485" i="2"/>
  <c r="W485" i="2"/>
  <c r="X485" i="2"/>
  <c r="E486" i="2"/>
  <c r="F486" i="2"/>
  <c r="G486" i="2"/>
  <c r="H486" i="2"/>
  <c r="I486" i="2"/>
  <c r="J486" i="2"/>
  <c r="K486" i="2"/>
  <c r="L486" i="2"/>
  <c r="M486" i="2"/>
  <c r="N486" i="2"/>
  <c r="O486" i="2"/>
  <c r="Q486" i="2"/>
  <c r="R486" i="2"/>
  <c r="S486" i="2"/>
  <c r="T486" i="2"/>
  <c r="U486" i="2"/>
  <c r="V486" i="2"/>
  <c r="W486" i="2"/>
  <c r="X486" i="2"/>
  <c r="E487" i="2"/>
  <c r="F487" i="2"/>
  <c r="G487" i="2"/>
  <c r="H487" i="2"/>
  <c r="I487" i="2"/>
  <c r="J487" i="2"/>
  <c r="K487" i="2"/>
  <c r="L487" i="2"/>
  <c r="M487" i="2"/>
  <c r="N487" i="2"/>
  <c r="O487" i="2"/>
  <c r="Q487" i="2"/>
  <c r="R487" i="2"/>
  <c r="S487" i="2"/>
  <c r="T487" i="2"/>
  <c r="U487" i="2"/>
  <c r="V487" i="2"/>
  <c r="W487" i="2"/>
  <c r="X487" i="2"/>
  <c r="E488" i="2"/>
  <c r="F488" i="2"/>
  <c r="G488" i="2"/>
  <c r="H488" i="2"/>
  <c r="I488" i="2"/>
  <c r="J488" i="2"/>
  <c r="K488" i="2"/>
  <c r="L488" i="2"/>
  <c r="M488" i="2"/>
  <c r="N488" i="2"/>
  <c r="O488" i="2"/>
  <c r="Q488" i="2"/>
  <c r="R488" i="2"/>
  <c r="S488" i="2"/>
  <c r="T488" i="2"/>
  <c r="U488" i="2"/>
  <c r="V488" i="2"/>
  <c r="W488" i="2"/>
  <c r="X488" i="2"/>
  <c r="E489" i="2"/>
  <c r="F489" i="2"/>
  <c r="G489" i="2"/>
  <c r="H489" i="2"/>
  <c r="I489" i="2"/>
  <c r="J489" i="2"/>
  <c r="K489" i="2"/>
  <c r="L489" i="2"/>
  <c r="M489" i="2"/>
  <c r="N489" i="2"/>
  <c r="O489" i="2"/>
  <c r="P489" i="2" s="1"/>
  <c r="Q489" i="2"/>
  <c r="R489" i="2"/>
  <c r="S489" i="2"/>
  <c r="T489" i="2"/>
  <c r="U489" i="2"/>
  <c r="V489" i="2"/>
  <c r="W489" i="2"/>
  <c r="X489" i="2"/>
  <c r="E490" i="2"/>
  <c r="F490" i="2"/>
  <c r="G490" i="2"/>
  <c r="H490" i="2"/>
  <c r="I490" i="2"/>
  <c r="J490" i="2"/>
  <c r="K490" i="2"/>
  <c r="L490" i="2"/>
  <c r="M490" i="2"/>
  <c r="N490" i="2"/>
  <c r="O490" i="2"/>
  <c r="P490" i="2" s="1"/>
  <c r="Q490" i="2"/>
  <c r="R490" i="2"/>
  <c r="S490" i="2"/>
  <c r="T490" i="2"/>
  <c r="U490" i="2"/>
  <c r="V490" i="2"/>
  <c r="W490" i="2"/>
  <c r="X490" i="2"/>
  <c r="E491" i="2"/>
  <c r="F491" i="2"/>
  <c r="G491" i="2"/>
  <c r="H491" i="2"/>
  <c r="I491" i="2"/>
  <c r="J491" i="2"/>
  <c r="K491" i="2"/>
  <c r="L491" i="2"/>
  <c r="M491" i="2"/>
  <c r="N491" i="2"/>
  <c r="O491" i="2"/>
  <c r="P491" i="2" s="1"/>
  <c r="Q491" i="2"/>
  <c r="R491" i="2"/>
  <c r="S491" i="2"/>
  <c r="T491" i="2"/>
  <c r="U491" i="2"/>
  <c r="V491" i="2"/>
  <c r="W491" i="2"/>
  <c r="X491" i="2"/>
  <c r="E492" i="2"/>
  <c r="F492" i="2"/>
  <c r="G492" i="2"/>
  <c r="H492" i="2"/>
  <c r="I492" i="2"/>
  <c r="J492" i="2"/>
  <c r="K492" i="2"/>
  <c r="L492" i="2"/>
  <c r="M492" i="2"/>
  <c r="N492" i="2"/>
  <c r="O492" i="2"/>
  <c r="Q492" i="2"/>
  <c r="R492" i="2"/>
  <c r="S492" i="2"/>
  <c r="T492" i="2"/>
  <c r="U492" i="2"/>
  <c r="V492" i="2"/>
  <c r="W492" i="2"/>
  <c r="X492" i="2"/>
  <c r="E493" i="2"/>
  <c r="F493" i="2"/>
  <c r="G493" i="2"/>
  <c r="H493" i="2"/>
  <c r="I493" i="2"/>
  <c r="J493" i="2"/>
  <c r="K493" i="2"/>
  <c r="L493" i="2"/>
  <c r="M493" i="2"/>
  <c r="N493" i="2"/>
  <c r="O493" i="2"/>
  <c r="Q493" i="2"/>
  <c r="R493" i="2"/>
  <c r="S493" i="2"/>
  <c r="T493" i="2"/>
  <c r="U493" i="2"/>
  <c r="V493" i="2"/>
  <c r="W493" i="2"/>
  <c r="X493" i="2"/>
  <c r="E494" i="2"/>
  <c r="F494" i="2"/>
  <c r="G494" i="2"/>
  <c r="H494" i="2"/>
  <c r="I494" i="2"/>
  <c r="J494" i="2"/>
  <c r="K494" i="2"/>
  <c r="L494" i="2"/>
  <c r="M494" i="2"/>
  <c r="N494" i="2"/>
  <c r="O494" i="2"/>
  <c r="Q494" i="2"/>
  <c r="R494" i="2"/>
  <c r="S494" i="2"/>
  <c r="T494" i="2"/>
  <c r="U494" i="2"/>
  <c r="V494" i="2"/>
  <c r="W494" i="2"/>
  <c r="X494" i="2"/>
  <c r="E495" i="2"/>
  <c r="F495" i="2"/>
  <c r="G495" i="2"/>
  <c r="H495" i="2"/>
  <c r="I495" i="2"/>
  <c r="J495" i="2"/>
  <c r="K495" i="2"/>
  <c r="L495" i="2"/>
  <c r="M495" i="2"/>
  <c r="N495" i="2"/>
  <c r="O495" i="2"/>
  <c r="P495" i="2" s="1"/>
  <c r="Q495" i="2"/>
  <c r="R495" i="2"/>
  <c r="S495" i="2"/>
  <c r="T495" i="2"/>
  <c r="U495" i="2"/>
  <c r="V495" i="2"/>
  <c r="W495" i="2"/>
  <c r="X495" i="2"/>
  <c r="E496" i="2"/>
  <c r="F496" i="2"/>
  <c r="G496" i="2"/>
  <c r="H496" i="2"/>
  <c r="I496" i="2"/>
  <c r="J496" i="2"/>
  <c r="K496" i="2"/>
  <c r="L496" i="2"/>
  <c r="M496" i="2"/>
  <c r="N496" i="2"/>
  <c r="O496" i="2"/>
  <c r="P496" i="2" s="1"/>
  <c r="Q496" i="2"/>
  <c r="R496" i="2"/>
  <c r="S496" i="2"/>
  <c r="T496" i="2"/>
  <c r="U496" i="2"/>
  <c r="V496" i="2"/>
  <c r="W496" i="2"/>
  <c r="X496" i="2"/>
  <c r="E497" i="2"/>
  <c r="F497" i="2"/>
  <c r="G497" i="2"/>
  <c r="H497" i="2"/>
  <c r="I497" i="2"/>
  <c r="J497" i="2"/>
  <c r="K497" i="2"/>
  <c r="L497" i="2"/>
  <c r="M497" i="2"/>
  <c r="N497" i="2"/>
  <c r="O497" i="2"/>
  <c r="P497" i="2" s="1"/>
  <c r="Q497" i="2"/>
  <c r="R497" i="2"/>
  <c r="S497" i="2"/>
  <c r="T497" i="2"/>
  <c r="U497" i="2"/>
  <c r="V497" i="2"/>
  <c r="W497" i="2"/>
  <c r="X497" i="2"/>
  <c r="E498" i="2"/>
  <c r="F498" i="2"/>
  <c r="G498" i="2"/>
  <c r="H498" i="2"/>
  <c r="I498" i="2"/>
  <c r="J498" i="2"/>
  <c r="K498" i="2"/>
  <c r="L498" i="2"/>
  <c r="M498" i="2"/>
  <c r="N498" i="2"/>
  <c r="O498" i="2"/>
  <c r="Q498" i="2"/>
  <c r="R498" i="2"/>
  <c r="S498" i="2"/>
  <c r="T498" i="2"/>
  <c r="U498" i="2"/>
  <c r="V498" i="2"/>
  <c r="W498" i="2"/>
  <c r="X498" i="2"/>
  <c r="E499" i="2"/>
  <c r="F499" i="2"/>
  <c r="G499" i="2"/>
  <c r="H499" i="2"/>
  <c r="I499" i="2"/>
  <c r="J499" i="2"/>
  <c r="K499" i="2"/>
  <c r="L499" i="2"/>
  <c r="M499" i="2"/>
  <c r="N499" i="2"/>
  <c r="O499" i="2"/>
  <c r="Q499" i="2"/>
  <c r="R499" i="2"/>
  <c r="S499" i="2"/>
  <c r="T499" i="2"/>
  <c r="U499" i="2"/>
  <c r="V499" i="2"/>
  <c r="W499" i="2"/>
  <c r="X499" i="2"/>
  <c r="E500" i="2"/>
  <c r="F500" i="2"/>
  <c r="G500" i="2"/>
  <c r="H500" i="2"/>
  <c r="I500" i="2"/>
  <c r="J500" i="2"/>
  <c r="K500" i="2"/>
  <c r="L500" i="2"/>
  <c r="M500" i="2"/>
  <c r="N500" i="2"/>
  <c r="O500" i="2"/>
  <c r="Q500" i="2"/>
  <c r="R500" i="2"/>
  <c r="S500" i="2"/>
  <c r="T500" i="2"/>
  <c r="U500" i="2"/>
  <c r="V500" i="2"/>
  <c r="W500" i="2"/>
  <c r="X500" i="2"/>
  <c r="E501" i="2"/>
  <c r="F501" i="2"/>
  <c r="G501" i="2"/>
  <c r="H501" i="2"/>
  <c r="I501" i="2"/>
  <c r="J501" i="2"/>
  <c r="K501" i="2"/>
  <c r="L501" i="2"/>
  <c r="M501" i="2"/>
  <c r="N501" i="2"/>
  <c r="O501" i="2"/>
  <c r="P501" i="2" s="1"/>
  <c r="Q501" i="2"/>
  <c r="R501" i="2"/>
  <c r="S501" i="2"/>
  <c r="T501" i="2"/>
  <c r="U501" i="2"/>
  <c r="V501" i="2"/>
  <c r="W501" i="2"/>
  <c r="X501" i="2"/>
  <c r="E502" i="2"/>
  <c r="F502" i="2"/>
  <c r="G502" i="2"/>
  <c r="H502" i="2"/>
  <c r="I502" i="2"/>
  <c r="J502" i="2"/>
  <c r="K502" i="2"/>
  <c r="L502" i="2"/>
  <c r="M502" i="2"/>
  <c r="N502" i="2"/>
  <c r="O502" i="2"/>
  <c r="P502" i="2" s="1"/>
  <c r="Q502" i="2"/>
  <c r="R502" i="2"/>
  <c r="S502" i="2"/>
  <c r="T502" i="2"/>
  <c r="U502" i="2"/>
  <c r="V502" i="2"/>
  <c r="W502" i="2"/>
  <c r="X502" i="2"/>
  <c r="E503" i="2"/>
  <c r="F503" i="2"/>
  <c r="G503" i="2"/>
  <c r="H503" i="2"/>
  <c r="I503" i="2"/>
  <c r="J503" i="2"/>
  <c r="K503" i="2"/>
  <c r="L503" i="2"/>
  <c r="M503" i="2"/>
  <c r="N503" i="2"/>
  <c r="O503" i="2"/>
  <c r="P503" i="2" s="1"/>
  <c r="Q503" i="2"/>
  <c r="R503" i="2"/>
  <c r="S503" i="2"/>
  <c r="T503" i="2"/>
  <c r="U503" i="2"/>
  <c r="V503" i="2"/>
  <c r="W503" i="2"/>
  <c r="X503" i="2"/>
  <c r="E504" i="2"/>
  <c r="F504" i="2"/>
  <c r="G504" i="2"/>
  <c r="H504" i="2"/>
  <c r="I504" i="2"/>
  <c r="J504" i="2"/>
  <c r="K504" i="2"/>
  <c r="L504" i="2"/>
  <c r="M504" i="2"/>
  <c r="N504" i="2"/>
  <c r="O504" i="2"/>
  <c r="Q504" i="2"/>
  <c r="R504" i="2"/>
  <c r="S504" i="2"/>
  <c r="T504" i="2"/>
  <c r="U504" i="2"/>
  <c r="V504" i="2"/>
  <c r="W504" i="2"/>
  <c r="X504" i="2"/>
  <c r="E505" i="2"/>
  <c r="F505" i="2"/>
  <c r="G505" i="2"/>
  <c r="H505" i="2"/>
  <c r="I505" i="2"/>
  <c r="J505" i="2"/>
  <c r="K505" i="2"/>
  <c r="L505" i="2"/>
  <c r="M505" i="2"/>
  <c r="N505" i="2"/>
  <c r="O505" i="2"/>
  <c r="Q505" i="2"/>
  <c r="R505" i="2"/>
  <c r="S505" i="2"/>
  <c r="T505" i="2"/>
  <c r="U505" i="2"/>
  <c r="V505" i="2"/>
  <c r="W505" i="2"/>
  <c r="X505" i="2"/>
  <c r="E506" i="2"/>
  <c r="F506" i="2"/>
  <c r="G506" i="2"/>
  <c r="H506" i="2"/>
  <c r="I506" i="2"/>
  <c r="J506" i="2"/>
  <c r="K506" i="2"/>
  <c r="L506" i="2"/>
  <c r="M506" i="2"/>
  <c r="N506" i="2"/>
  <c r="O506" i="2"/>
  <c r="Q506" i="2"/>
  <c r="R506" i="2"/>
  <c r="S506" i="2"/>
  <c r="T506" i="2"/>
  <c r="U506" i="2"/>
  <c r="V506" i="2"/>
  <c r="W506" i="2"/>
  <c r="X506" i="2"/>
  <c r="E507" i="2"/>
  <c r="F507" i="2"/>
  <c r="G507" i="2"/>
  <c r="H507" i="2"/>
  <c r="I507" i="2"/>
  <c r="J507" i="2"/>
  <c r="K507" i="2"/>
  <c r="L507" i="2"/>
  <c r="M507" i="2"/>
  <c r="N507" i="2"/>
  <c r="O507" i="2"/>
  <c r="P507" i="2" s="1"/>
  <c r="Q507" i="2"/>
  <c r="R507" i="2"/>
  <c r="S507" i="2"/>
  <c r="T507" i="2"/>
  <c r="U507" i="2"/>
  <c r="V507" i="2"/>
  <c r="W507" i="2"/>
  <c r="X507" i="2"/>
  <c r="E508" i="2"/>
  <c r="F508" i="2"/>
  <c r="G508" i="2"/>
  <c r="H508" i="2"/>
  <c r="I508" i="2"/>
  <c r="J508" i="2"/>
  <c r="K508" i="2"/>
  <c r="L508" i="2"/>
  <c r="M508" i="2"/>
  <c r="N508" i="2"/>
  <c r="O508" i="2"/>
  <c r="P508" i="2" s="1"/>
  <c r="Q508" i="2"/>
  <c r="R508" i="2"/>
  <c r="S508" i="2"/>
  <c r="T508" i="2"/>
  <c r="U508" i="2"/>
  <c r="V508" i="2"/>
  <c r="W508" i="2"/>
  <c r="X508" i="2"/>
  <c r="E509" i="2"/>
  <c r="F509" i="2"/>
  <c r="G509" i="2"/>
  <c r="H509" i="2"/>
  <c r="I509" i="2"/>
  <c r="J509" i="2"/>
  <c r="K509" i="2"/>
  <c r="L509" i="2"/>
  <c r="M509" i="2"/>
  <c r="N509" i="2"/>
  <c r="O509" i="2"/>
  <c r="P509" i="2" s="1"/>
  <c r="Q509" i="2"/>
  <c r="R509" i="2"/>
  <c r="S509" i="2"/>
  <c r="T509" i="2"/>
  <c r="U509" i="2"/>
  <c r="V509" i="2"/>
  <c r="W509" i="2"/>
  <c r="X509" i="2"/>
  <c r="E510" i="2"/>
  <c r="F510" i="2"/>
  <c r="G510" i="2"/>
  <c r="H510" i="2"/>
  <c r="I510" i="2"/>
  <c r="J510" i="2"/>
  <c r="K510" i="2"/>
  <c r="L510" i="2"/>
  <c r="M510" i="2"/>
  <c r="N510" i="2"/>
  <c r="O510" i="2"/>
  <c r="Q510" i="2"/>
  <c r="R510" i="2"/>
  <c r="S510" i="2"/>
  <c r="T510" i="2"/>
  <c r="U510" i="2"/>
  <c r="V510" i="2"/>
  <c r="W510" i="2"/>
  <c r="X510" i="2"/>
  <c r="E511" i="2"/>
  <c r="F511" i="2"/>
  <c r="G511" i="2"/>
  <c r="H511" i="2"/>
  <c r="I511" i="2"/>
  <c r="J511" i="2"/>
  <c r="K511" i="2"/>
  <c r="L511" i="2"/>
  <c r="M511" i="2"/>
  <c r="N511" i="2"/>
  <c r="O511" i="2"/>
  <c r="Q511" i="2"/>
  <c r="R511" i="2"/>
  <c r="S511" i="2"/>
  <c r="T511" i="2"/>
  <c r="U511" i="2"/>
  <c r="V511" i="2"/>
  <c r="W511" i="2"/>
  <c r="X511" i="2"/>
  <c r="E512" i="2"/>
  <c r="F512" i="2"/>
  <c r="G512" i="2"/>
  <c r="H512" i="2"/>
  <c r="I512" i="2"/>
  <c r="J512" i="2"/>
  <c r="K512" i="2"/>
  <c r="L512" i="2"/>
  <c r="M512" i="2"/>
  <c r="N512" i="2"/>
  <c r="O512" i="2"/>
  <c r="Q512" i="2"/>
  <c r="R512" i="2"/>
  <c r="S512" i="2"/>
  <c r="T512" i="2"/>
  <c r="U512" i="2"/>
  <c r="V512" i="2"/>
  <c r="W512" i="2"/>
  <c r="X512" i="2"/>
  <c r="E513" i="2"/>
  <c r="F513" i="2"/>
  <c r="G513" i="2"/>
  <c r="H513" i="2"/>
  <c r="I513" i="2"/>
  <c r="J513" i="2"/>
  <c r="K513" i="2"/>
  <c r="L513" i="2"/>
  <c r="M513" i="2"/>
  <c r="N513" i="2"/>
  <c r="O513" i="2"/>
  <c r="P513" i="2" s="1"/>
  <c r="Q513" i="2"/>
  <c r="R513" i="2"/>
  <c r="S513" i="2"/>
  <c r="T513" i="2"/>
  <c r="U513" i="2"/>
  <c r="V513" i="2"/>
  <c r="W513" i="2"/>
  <c r="X513" i="2"/>
  <c r="E514" i="2"/>
  <c r="F514" i="2"/>
  <c r="G514" i="2"/>
  <c r="H514" i="2"/>
  <c r="I514" i="2"/>
  <c r="J514" i="2"/>
  <c r="K514" i="2"/>
  <c r="L514" i="2"/>
  <c r="M514" i="2"/>
  <c r="N514" i="2"/>
  <c r="O514" i="2"/>
  <c r="P514" i="2" s="1"/>
  <c r="Q514" i="2"/>
  <c r="R514" i="2"/>
  <c r="S514" i="2"/>
  <c r="T514" i="2"/>
  <c r="U514" i="2"/>
  <c r="V514" i="2"/>
  <c r="W514" i="2"/>
  <c r="X514" i="2"/>
  <c r="E515" i="2"/>
  <c r="F515" i="2"/>
  <c r="G515" i="2"/>
  <c r="H515" i="2"/>
  <c r="I515" i="2"/>
  <c r="J515" i="2"/>
  <c r="K515" i="2"/>
  <c r="L515" i="2"/>
  <c r="M515" i="2"/>
  <c r="N515" i="2"/>
  <c r="O515" i="2"/>
  <c r="P515" i="2" s="1"/>
  <c r="Q515" i="2"/>
  <c r="R515" i="2"/>
  <c r="S515" i="2"/>
  <c r="T515" i="2"/>
  <c r="U515" i="2"/>
  <c r="V515" i="2"/>
  <c r="W515" i="2"/>
  <c r="X515" i="2"/>
  <c r="E516" i="2"/>
  <c r="F516" i="2"/>
  <c r="G516" i="2"/>
  <c r="H516" i="2"/>
  <c r="I516" i="2"/>
  <c r="J516" i="2"/>
  <c r="K516" i="2"/>
  <c r="L516" i="2"/>
  <c r="M516" i="2"/>
  <c r="N516" i="2"/>
  <c r="O516" i="2"/>
  <c r="Q516" i="2"/>
  <c r="R516" i="2"/>
  <c r="S516" i="2"/>
  <c r="T516" i="2"/>
  <c r="U516" i="2"/>
  <c r="V516" i="2"/>
  <c r="W516" i="2"/>
  <c r="X516" i="2"/>
  <c r="E517" i="2"/>
  <c r="F517" i="2"/>
  <c r="G517" i="2"/>
  <c r="H517" i="2"/>
  <c r="I517" i="2"/>
  <c r="J517" i="2"/>
  <c r="K517" i="2"/>
  <c r="L517" i="2"/>
  <c r="M517" i="2"/>
  <c r="N517" i="2"/>
  <c r="O517" i="2"/>
  <c r="Q517" i="2"/>
  <c r="R517" i="2"/>
  <c r="S517" i="2"/>
  <c r="T517" i="2"/>
  <c r="U517" i="2"/>
  <c r="V517" i="2"/>
  <c r="W517" i="2"/>
  <c r="X517" i="2"/>
  <c r="E518" i="2"/>
  <c r="F518" i="2"/>
  <c r="G518" i="2"/>
  <c r="H518" i="2"/>
  <c r="I518" i="2"/>
  <c r="J518" i="2"/>
  <c r="K518" i="2"/>
  <c r="L518" i="2"/>
  <c r="M518" i="2"/>
  <c r="N518" i="2"/>
  <c r="O518" i="2"/>
  <c r="Q518" i="2"/>
  <c r="R518" i="2"/>
  <c r="S518" i="2"/>
  <c r="T518" i="2"/>
  <c r="U518" i="2"/>
  <c r="V518" i="2"/>
  <c r="W518" i="2"/>
  <c r="X518" i="2"/>
  <c r="E519" i="2"/>
  <c r="F519" i="2"/>
  <c r="G519" i="2"/>
  <c r="H519" i="2"/>
  <c r="I519" i="2"/>
  <c r="J519" i="2"/>
  <c r="K519" i="2"/>
  <c r="L519" i="2"/>
  <c r="M519" i="2"/>
  <c r="N519" i="2"/>
  <c r="O519" i="2"/>
  <c r="P519" i="2" s="1"/>
  <c r="Q519" i="2"/>
  <c r="R519" i="2"/>
  <c r="S519" i="2"/>
  <c r="T519" i="2"/>
  <c r="U519" i="2"/>
  <c r="V519" i="2"/>
  <c r="W519" i="2"/>
  <c r="X519" i="2"/>
  <c r="E520" i="2"/>
  <c r="F520" i="2"/>
  <c r="G520" i="2"/>
  <c r="H520" i="2"/>
  <c r="I520" i="2"/>
  <c r="J520" i="2"/>
  <c r="K520" i="2"/>
  <c r="L520" i="2"/>
  <c r="M520" i="2"/>
  <c r="N520" i="2"/>
  <c r="O520" i="2"/>
  <c r="P520" i="2" s="1"/>
  <c r="Q520" i="2"/>
  <c r="R520" i="2"/>
  <c r="S520" i="2"/>
  <c r="T520" i="2"/>
  <c r="U520" i="2"/>
  <c r="V520" i="2"/>
  <c r="W520" i="2"/>
  <c r="X520" i="2"/>
  <c r="E521" i="2"/>
  <c r="F521" i="2"/>
  <c r="G521" i="2"/>
  <c r="H521" i="2"/>
  <c r="I521" i="2"/>
  <c r="J521" i="2"/>
  <c r="K521" i="2"/>
  <c r="L521" i="2"/>
  <c r="M521" i="2"/>
  <c r="N521" i="2"/>
  <c r="O521" i="2"/>
  <c r="P521" i="2" s="1"/>
  <c r="Q521" i="2"/>
  <c r="R521" i="2"/>
  <c r="S521" i="2"/>
  <c r="T521" i="2"/>
  <c r="U521" i="2"/>
  <c r="V521" i="2"/>
  <c r="W521" i="2"/>
  <c r="X521" i="2"/>
  <c r="E522" i="2"/>
  <c r="F522" i="2"/>
  <c r="G522" i="2"/>
  <c r="H522" i="2"/>
  <c r="I522" i="2"/>
  <c r="J522" i="2"/>
  <c r="K522" i="2"/>
  <c r="L522" i="2"/>
  <c r="M522" i="2"/>
  <c r="N522" i="2"/>
  <c r="O522" i="2"/>
  <c r="Q522" i="2"/>
  <c r="R522" i="2"/>
  <c r="S522" i="2"/>
  <c r="T522" i="2"/>
  <c r="U522" i="2"/>
  <c r="V522" i="2"/>
  <c r="W522" i="2"/>
  <c r="X522" i="2"/>
  <c r="E523" i="2"/>
  <c r="F523" i="2"/>
  <c r="G523" i="2"/>
  <c r="H523" i="2"/>
  <c r="I523" i="2"/>
  <c r="J523" i="2"/>
  <c r="K523" i="2"/>
  <c r="L523" i="2"/>
  <c r="M523" i="2"/>
  <c r="N523" i="2"/>
  <c r="O523" i="2"/>
  <c r="Q523" i="2"/>
  <c r="R523" i="2"/>
  <c r="S523" i="2"/>
  <c r="T523" i="2"/>
  <c r="U523" i="2"/>
  <c r="V523" i="2"/>
  <c r="W523" i="2"/>
  <c r="X523" i="2"/>
  <c r="E524" i="2"/>
  <c r="F524" i="2"/>
  <c r="G524" i="2"/>
  <c r="H524" i="2"/>
  <c r="I524" i="2"/>
  <c r="J524" i="2"/>
  <c r="K524" i="2"/>
  <c r="L524" i="2"/>
  <c r="M524" i="2"/>
  <c r="N524" i="2"/>
  <c r="O524" i="2"/>
  <c r="Q524" i="2"/>
  <c r="R524" i="2"/>
  <c r="S524" i="2"/>
  <c r="T524" i="2"/>
  <c r="U524" i="2"/>
  <c r="V524" i="2"/>
  <c r="W524" i="2"/>
  <c r="X524" i="2"/>
  <c r="E525" i="2"/>
  <c r="F525" i="2"/>
  <c r="G525" i="2"/>
  <c r="H525" i="2"/>
  <c r="I525" i="2"/>
  <c r="J525" i="2"/>
  <c r="K525" i="2"/>
  <c r="L525" i="2"/>
  <c r="M525" i="2"/>
  <c r="N525" i="2"/>
  <c r="O525" i="2"/>
  <c r="P525" i="2" s="1"/>
  <c r="Q525" i="2"/>
  <c r="R525" i="2"/>
  <c r="S525" i="2"/>
  <c r="T525" i="2"/>
  <c r="U525" i="2"/>
  <c r="V525" i="2"/>
  <c r="W525" i="2"/>
  <c r="X525" i="2"/>
  <c r="E526" i="2"/>
  <c r="F526" i="2"/>
  <c r="G526" i="2"/>
  <c r="H526" i="2"/>
  <c r="I526" i="2"/>
  <c r="J526" i="2"/>
  <c r="K526" i="2"/>
  <c r="L526" i="2"/>
  <c r="M526" i="2"/>
  <c r="N526" i="2"/>
  <c r="O526" i="2"/>
  <c r="P526" i="2" s="1"/>
  <c r="Q526" i="2"/>
  <c r="R526" i="2"/>
  <c r="S526" i="2"/>
  <c r="T526" i="2"/>
  <c r="U526" i="2"/>
  <c r="V526" i="2"/>
  <c r="W526" i="2"/>
  <c r="X526" i="2"/>
  <c r="E527" i="2"/>
  <c r="F527" i="2"/>
  <c r="G527" i="2"/>
  <c r="H527" i="2"/>
  <c r="I527" i="2"/>
  <c r="J527" i="2"/>
  <c r="K527" i="2"/>
  <c r="L527" i="2"/>
  <c r="M527" i="2"/>
  <c r="N527" i="2"/>
  <c r="O527" i="2"/>
  <c r="P527" i="2" s="1"/>
  <c r="Q527" i="2"/>
  <c r="R527" i="2"/>
  <c r="S527" i="2"/>
  <c r="T527" i="2"/>
  <c r="U527" i="2"/>
  <c r="V527" i="2"/>
  <c r="W527" i="2"/>
  <c r="X527" i="2"/>
  <c r="E528" i="2"/>
  <c r="F528" i="2"/>
  <c r="G528" i="2"/>
  <c r="H528" i="2"/>
  <c r="I528" i="2"/>
  <c r="J528" i="2"/>
  <c r="K528" i="2"/>
  <c r="L528" i="2"/>
  <c r="M528" i="2"/>
  <c r="N528" i="2"/>
  <c r="O528" i="2"/>
  <c r="Q528" i="2"/>
  <c r="R528" i="2"/>
  <c r="S528" i="2"/>
  <c r="T528" i="2"/>
  <c r="U528" i="2"/>
  <c r="V528" i="2"/>
  <c r="W528" i="2"/>
  <c r="X528" i="2"/>
  <c r="E529" i="2"/>
  <c r="F529" i="2"/>
  <c r="G529" i="2"/>
  <c r="H529" i="2"/>
  <c r="I529" i="2"/>
  <c r="J529" i="2"/>
  <c r="K529" i="2"/>
  <c r="L529" i="2"/>
  <c r="M529" i="2"/>
  <c r="N529" i="2"/>
  <c r="O529" i="2"/>
  <c r="Q529" i="2"/>
  <c r="R529" i="2"/>
  <c r="S529" i="2"/>
  <c r="T529" i="2"/>
  <c r="U529" i="2"/>
  <c r="V529" i="2"/>
  <c r="W529" i="2"/>
  <c r="X529" i="2"/>
  <c r="E530" i="2"/>
  <c r="F530" i="2"/>
  <c r="G530" i="2"/>
  <c r="H530" i="2"/>
  <c r="I530" i="2"/>
  <c r="J530" i="2"/>
  <c r="K530" i="2"/>
  <c r="L530" i="2"/>
  <c r="M530" i="2"/>
  <c r="N530" i="2"/>
  <c r="O530" i="2"/>
  <c r="Q530" i="2"/>
  <c r="R530" i="2"/>
  <c r="S530" i="2"/>
  <c r="T530" i="2"/>
  <c r="U530" i="2"/>
  <c r="V530" i="2"/>
  <c r="W530" i="2"/>
  <c r="X530" i="2"/>
  <c r="E531" i="2"/>
  <c r="F531" i="2"/>
  <c r="G531" i="2"/>
  <c r="H531" i="2"/>
  <c r="I531" i="2"/>
  <c r="J531" i="2"/>
  <c r="K531" i="2"/>
  <c r="L531" i="2"/>
  <c r="M531" i="2"/>
  <c r="N531" i="2"/>
  <c r="O531" i="2"/>
  <c r="P531" i="2" s="1"/>
  <c r="Q531" i="2"/>
  <c r="R531" i="2"/>
  <c r="S531" i="2"/>
  <c r="T531" i="2"/>
  <c r="U531" i="2"/>
  <c r="V531" i="2"/>
  <c r="W531" i="2"/>
  <c r="X531" i="2"/>
  <c r="E532" i="2"/>
  <c r="F532" i="2"/>
  <c r="G532" i="2"/>
  <c r="H532" i="2"/>
  <c r="I532" i="2"/>
  <c r="J532" i="2"/>
  <c r="K532" i="2"/>
  <c r="L532" i="2"/>
  <c r="M532" i="2"/>
  <c r="N532" i="2"/>
  <c r="O532" i="2"/>
  <c r="P532" i="2" s="1"/>
  <c r="Q532" i="2"/>
  <c r="R532" i="2"/>
  <c r="S532" i="2"/>
  <c r="T532" i="2"/>
  <c r="U532" i="2"/>
  <c r="V532" i="2"/>
  <c r="W532" i="2"/>
  <c r="X532" i="2"/>
  <c r="E533" i="2"/>
  <c r="F533" i="2"/>
  <c r="G533" i="2"/>
  <c r="H533" i="2"/>
  <c r="I533" i="2"/>
  <c r="J533" i="2"/>
  <c r="K533" i="2"/>
  <c r="L533" i="2"/>
  <c r="M533" i="2"/>
  <c r="N533" i="2"/>
  <c r="O533" i="2"/>
  <c r="P533" i="2" s="1"/>
  <c r="Q533" i="2"/>
  <c r="R533" i="2"/>
  <c r="S533" i="2"/>
  <c r="T533" i="2"/>
  <c r="U533" i="2"/>
  <c r="V533" i="2"/>
  <c r="W533" i="2"/>
  <c r="X533" i="2"/>
  <c r="E534" i="2"/>
  <c r="F534" i="2"/>
  <c r="G534" i="2"/>
  <c r="H534" i="2"/>
  <c r="I534" i="2"/>
  <c r="J534" i="2"/>
  <c r="K534" i="2"/>
  <c r="L534" i="2"/>
  <c r="M534" i="2"/>
  <c r="N534" i="2"/>
  <c r="O534" i="2"/>
  <c r="Q534" i="2"/>
  <c r="R534" i="2"/>
  <c r="S534" i="2"/>
  <c r="T534" i="2"/>
  <c r="U534" i="2"/>
  <c r="V534" i="2"/>
  <c r="W534" i="2"/>
  <c r="X534" i="2"/>
  <c r="E535" i="2"/>
  <c r="F535" i="2"/>
  <c r="G535" i="2"/>
  <c r="H535" i="2"/>
  <c r="I535" i="2"/>
  <c r="J535" i="2"/>
  <c r="K535" i="2"/>
  <c r="L535" i="2"/>
  <c r="M535" i="2"/>
  <c r="N535" i="2"/>
  <c r="O535" i="2"/>
  <c r="Q535" i="2"/>
  <c r="R535" i="2"/>
  <c r="S535" i="2"/>
  <c r="T535" i="2"/>
  <c r="U535" i="2"/>
  <c r="V535" i="2"/>
  <c r="W535" i="2"/>
  <c r="X535" i="2"/>
  <c r="E536" i="2"/>
  <c r="F536" i="2"/>
  <c r="G536" i="2"/>
  <c r="H536" i="2"/>
  <c r="I536" i="2"/>
  <c r="J536" i="2"/>
  <c r="K536" i="2"/>
  <c r="L536" i="2"/>
  <c r="M536" i="2"/>
  <c r="N536" i="2"/>
  <c r="O536" i="2"/>
  <c r="Q536" i="2"/>
  <c r="R536" i="2"/>
  <c r="S536" i="2"/>
  <c r="T536" i="2"/>
  <c r="U536" i="2"/>
  <c r="V536" i="2"/>
  <c r="W536" i="2"/>
  <c r="X536" i="2"/>
  <c r="E537" i="2"/>
  <c r="F537" i="2"/>
  <c r="G537" i="2"/>
  <c r="H537" i="2"/>
  <c r="I537" i="2"/>
  <c r="J537" i="2"/>
  <c r="K537" i="2"/>
  <c r="L537" i="2"/>
  <c r="M537" i="2"/>
  <c r="N537" i="2"/>
  <c r="O537" i="2"/>
  <c r="P537" i="2" s="1"/>
  <c r="Q537" i="2"/>
  <c r="R537" i="2"/>
  <c r="S537" i="2"/>
  <c r="T537" i="2"/>
  <c r="U537" i="2"/>
  <c r="V537" i="2"/>
  <c r="W537" i="2"/>
  <c r="X537" i="2"/>
  <c r="E538" i="2"/>
  <c r="F538" i="2"/>
  <c r="G538" i="2"/>
  <c r="H538" i="2"/>
  <c r="I538" i="2"/>
  <c r="J538" i="2"/>
  <c r="K538" i="2"/>
  <c r="L538" i="2"/>
  <c r="M538" i="2"/>
  <c r="N538" i="2"/>
  <c r="O538" i="2"/>
  <c r="P538" i="2" s="1"/>
  <c r="Q538" i="2"/>
  <c r="R538" i="2"/>
  <c r="S538" i="2"/>
  <c r="T538" i="2"/>
  <c r="U538" i="2"/>
  <c r="V538" i="2"/>
  <c r="W538" i="2"/>
  <c r="X538" i="2"/>
  <c r="E539" i="2"/>
  <c r="F539" i="2"/>
  <c r="G539" i="2"/>
  <c r="H539" i="2"/>
  <c r="I539" i="2"/>
  <c r="J539" i="2"/>
  <c r="K539" i="2"/>
  <c r="L539" i="2"/>
  <c r="M539" i="2"/>
  <c r="N539" i="2"/>
  <c r="O539" i="2"/>
  <c r="P539" i="2" s="1"/>
  <c r="Q539" i="2"/>
  <c r="R539" i="2"/>
  <c r="S539" i="2"/>
  <c r="T539" i="2"/>
  <c r="U539" i="2"/>
  <c r="V539" i="2"/>
  <c r="W539" i="2"/>
  <c r="X539" i="2"/>
  <c r="E540" i="2"/>
  <c r="F540" i="2"/>
  <c r="G540" i="2"/>
  <c r="H540" i="2"/>
  <c r="I540" i="2"/>
  <c r="J540" i="2"/>
  <c r="K540" i="2"/>
  <c r="L540" i="2"/>
  <c r="M540" i="2"/>
  <c r="N540" i="2"/>
  <c r="O540" i="2"/>
  <c r="Q540" i="2"/>
  <c r="R540" i="2"/>
  <c r="S540" i="2"/>
  <c r="T540" i="2"/>
  <c r="U540" i="2"/>
  <c r="V540" i="2"/>
  <c r="W540" i="2"/>
  <c r="X540" i="2"/>
  <c r="X418" i="2"/>
  <c r="W418" i="2"/>
  <c r="V418" i="2"/>
  <c r="U418" i="2"/>
  <c r="T418" i="2"/>
  <c r="S418" i="2"/>
  <c r="R418" i="2"/>
  <c r="Q418" i="2"/>
  <c r="O418" i="2"/>
  <c r="P418" i="2" s="1"/>
  <c r="N418" i="2"/>
  <c r="M418" i="2"/>
  <c r="L418" i="2"/>
  <c r="K418" i="2"/>
  <c r="J418" i="2"/>
  <c r="I418" i="2"/>
  <c r="H418" i="2"/>
  <c r="G418" i="2"/>
  <c r="F418" i="2"/>
  <c r="E418" i="2"/>
  <c r="E382" i="2"/>
  <c r="F382" i="2"/>
  <c r="G382" i="2"/>
  <c r="H382" i="2"/>
  <c r="I382" i="2"/>
  <c r="J382" i="2"/>
  <c r="K382" i="2"/>
  <c r="L382" i="2"/>
  <c r="M382" i="2"/>
  <c r="N382" i="2"/>
  <c r="O382" i="2"/>
  <c r="Q382" i="2"/>
  <c r="R382" i="2"/>
  <c r="S382" i="2"/>
  <c r="T382" i="2"/>
  <c r="U382" i="2"/>
  <c r="V382" i="2"/>
  <c r="W382" i="2"/>
  <c r="X382" i="2"/>
  <c r="E383" i="2"/>
  <c r="F383" i="2"/>
  <c r="G383" i="2"/>
  <c r="H383" i="2"/>
  <c r="I383" i="2"/>
  <c r="J383" i="2"/>
  <c r="K383" i="2"/>
  <c r="L383" i="2"/>
  <c r="M383" i="2"/>
  <c r="N383" i="2"/>
  <c r="O383" i="2"/>
  <c r="P383" i="2" s="1"/>
  <c r="Q383" i="2"/>
  <c r="R383" i="2"/>
  <c r="S383" i="2"/>
  <c r="T383" i="2"/>
  <c r="U383" i="2"/>
  <c r="V383" i="2"/>
  <c r="W383" i="2"/>
  <c r="X383" i="2"/>
  <c r="E384" i="2"/>
  <c r="F384" i="2"/>
  <c r="G384" i="2"/>
  <c r="H384" i="2"/>
  <c r="I384" i="2"/>
  <c r="J384" i="2"/>
  <c r="K384" i="2"/>
  <c r="L384" i="2"/>
  <c r="M384" i="2"/>
  <c r="N384" i="2"/>
  <c r="O384" i="2"/>
  <c r="P384" i="2" s="1"/>
  <c r="Q384" i="2"/>
  <c r="R384" i="2"/>
  <c r="S384" i="2"/>
  <c r="T384" i="2"/>
  <c r="U384" i="2"/>
  <c r="V384" i="2"/>
  <c r="W384" i="2"/>
  <c r="X384" i="2"/>
  <c r="E385" i="2"/>
  <c r="F385" i="2"/>
  <c r="G385" i="2"/>
  <c r="H385" i="2"/>
  <c r="I385" i="2"/>
  <c r="J385" i="2"/>
  <c r="K385" i="2"/>
  <c r="L385" i="2"/>
  <c r="M385" i="2"/>
  <c r="N385" i="2"/>
  <c r="O385" i="2"/>
  <c r="P385" i="2" s="1"/>
  <c r="Q385" i="2"/>
  <c r="R385" i="2"/>
  <c r="S385" i="2"/>
  <c r="T385" i="2"/>
  <c r="U385" i="2"/>
  <c r="V385" i="2"/>
  <c r="W385" i="2"/>
  <c r="X385" i="2"/>
  <c r="E386" i="2"/>
  <c r="F386" i="2"/>
  <c r="G386" i="2"/>
  <c r="H386" i="2"/>
  <c r="I386" i="2"/>
  <c r="J386" i="2"/>
  <c r="K386" i="2"/>
  <c r="L386" i="2"/>
  <c r="M386" i="2"/>
  <c r="N386" i="2"/>
  <c r="O386" i="2"/>
  <c r="Q386" i="2"/>
  <c r="R386" i="2"/>
  <c r="S386" i="2"/>
  <c r="T386" i="2"/>
  <c r="U386" i="2"/>
  <c r="V386" i="2"/>
  <c r="W386" i="2"/>
  <c r="X386" i="2"/>
  <c r="E387" i="2"/>
  <c r="F387" i="2"/>
  <c r="G387" i="2"/>
  <c r="H387" i="2"/>
  <c r="I387" i="2"/>
  <c r="J387" i="2"/>
  <c r="K387" i="2"/>
  <c r="L387" i="2"/>
  <c r="M387" i="2"/>
  <c r="N387" i="2"/>
  <c r="O387" i="2"/>
  <c r="Q387" i="2"/>
  <c r="R387" i="2"/>
  <c r="S387" i="2"/>
  <c r="T387" i="2"/>
  <c r="U387" i="2"/>
  <c r="V387" i="2"/>
  <c r="W387" i="2"/>
  <c r="X387" i="2"/>
  <c r="E388" i="2"/>
  <c r="F388" i="2"/>
  <c r="G388" i="2"/>
  <c r="H388" i="2"/>
  <c r="I388" i="2"/>
  <c r="J388" i="2"/>
  <c r="K388" i="2"/>
  <c r="L388" i="2"/>
  <c r="M388" i="2"/>
  <c r="N388" i="2"/>
  <c r="O388" i="2"/>
  <c r="Q388" i="2"/>
  <c r="R388" i="2"/>
  <c r="S388" i="2"/>
  <c r="T388" i="2"/>
  <c r="U388" i="2"/>
  <c r="V388" i="2"/>
  <c r="W388" i="2"/>
  <c r="X388" i="2"/>
  <c r="E389" i="2"/>
  <c r="F389" i="2"/>
  <c r="G389" i="2"/>
  <c r="H389" i="2"/>
  <c r="I389" i="2"/>
  <c r="J389" i="2"/>
  <c r="K389" i="2"/>
  <c r="L389" i="2"/>
  <c r="M389" i="2"/>
  <c r="N389" i="2"/>
  <c r="O389" i="2"/>
  <c r="P389" i="2" s="1"/>
  <c r="Q389" i="2"/>
  <c r="R389" i="2"/>
  <c r="S389" i="2"/>
  <c r="T389" i="2"/>
  <c r="U389" i="2"/>
  <c r="V389" i="2"/>
  <c r="W389" i="2"/>
  <c r="X389" i="2"/>
  <c r="E390" i="2"/>
  <c r="F390" i="2"/>
  <c r="G390" i="2"/>
  <c r="H390" i="2"/>
  <c r="I390" i="2"/>
  <c r="J390" i="2"/>
  <c r="K390" i="2"/>
  <c r="L390" i="2"/>
  <c r="M390" i="2"/>
  <c r="N390" i="2"/>
  <c r="O390" i="2"/>
  <c r="P390" i="2" s="1"/>
  <c r="Q390" i="2"/>
  <c r="R390" i="2"/>
  <c r="S390" i="2"/>
  <c r="T390" i="2"/>
  <c r="U390" i="2"/>
  <c r="V390" i="2"/>
  <c r="W390" i="2"/>
  <c r="X390" i="2"/>
  <c r="E391" i="2"/>
  <c r="F391" i="2"/>
  <c r="G391" i="2"/>
  <c r="H391" i="2"/>
  <c r="I391" i="2"/>
  <c r="J391" i="2"/>
  <c r="K391" i="2"/>
  <c r="L391" i="2"/>
  <c r="M391" i="2"/>
  <c r="N391" i="2"/>
  <c r="O391" i="2"/>
  <c r="P391" i="2" s="1"/>
  <c r="Q391" i="2"/>
  <c r="R391" i="2"/>
  <c r="S391" i="2"/>
  <c r="T391" i="2"/>
  <c r="U391" i="2"/>
  <c r="V391" i="2"/>
  <c r="W391" i="2"/>
  <c r="X391" i="2"/>
  <c r="E392" i="2"/>
  <c r="F392" i="2"/>
  <c r="G392" i="2"/>
  <c r="H392" i="2"/>
  <c r="I392" i="2"/>
  <c r="J392" i="2"/>
  <c r="K392" i="2"/>
  <c r="L392" i="2"/>
  <c r="M392" i="2"/>
  <c r="N392" i="2"/>
  <c r="O392" i="2"/>
  <c r="Q392" i="2"/>
  <c r="R392" i="2"/>
  <c r="S392" i="2"/>
  <c r="T392" i="2"/>
  <c r="U392" i="2"/>
  <c r="V392" i="2"/>
  <c r="W392" i="2"/>
  <c r="X392" i="2"/>
  <c r="E393" i="2"/>
  <c r="F393" i="2"/>
  <c r="G393" i="2"/>
  <c r="H393" i="2"/>
  <c r="I393" i="2"/>
  <c r="J393" i="2"/>
  <c r="K393" i="2"/>
  <c r="L393" i="2"/>
  <c r="M393" i="2"/>
  <c r="N393" i="2"/>
  <c r="O393" i="2"/>
  <c r="Q393" i="2"/>
  <c r="R393" i="2"/>
  <c r="S393" i="2"/>
  <c r="T393" i="2"/>
  <c r="U393" i="2"/>
  <c r="V393" i="2"/>
  <c r="W393" i="2"/>
  <c r="X393" i="2"/>
  <c r="E394" i="2"/>
  <c r="F394" i="2"/>
  <c r="G394" i="2"/>
  <c r="H394" i="2"/>
  <c r="I394" i="2"/>
  <c r="J394" i="2"/>
  <c r="K394" i="2"/>
  <c r="L394" i="2"/>
  <c r="M394" i="2"/>
  <c r="N394" i="2"/>
  <c r="O394" i="2"/>
  <c r="Q394" i="2"/>
  <c r="R394" i="2"/>
  <c r="S394" i="2"/>
  <c r="T394" i="2"/>
  <c r="U394" i="2"/>
  <c r="V394" i="2"/>
  <c r="W394" i="2"/>
  <c r="X394" i="2"/>
  <c r="E395" i="2"/>
  <c r="F395" i="2"/>
  <c r="G395" i="2"/>
  <c r="H395" i="2"/>
  <c r="I395" i="2"/>
  <c r="J395" i="2"/>
  <c r="K395" i="2"/>
  <c r="L395" i="2"/>
  <c r="M395" i="2"/>
  <c r="N395" i="2"/>
  <c r="O395" i="2"/>
  <c r="P395" i="2" s="1"/>
  <c r="Q395" i="2"/>
  <c r="R395" i="2"/>
  <c r="S395" i="2"/>
  <c r="T395" i="2"/>
  <c r="U395" i="2"/>
  <c r="V395" i="2"/>
  <c r="W395" i="2"/>
  <c r="X395" i="2"/>
  <c r="E396" i="2"/>
  <c r="F396" i="2"/>
  <c r="G396" i="2"/>
  <c r="H396" i="2"/>
  <c r="I396" i="2"/>
  <c r="J396" i="2"/>
  <c r="K396" i="2"/>
  <c r="L396" i="2"/>
  <c r="M396" i="2"/>
  <c r="N396" i="2"/>
  <c r="O396" i="2"/>
  <c r="P396" i="2" s="1"/>
  <c r="Q396" i="2"/>
  <c r="R396" i="2"/>
  <c r="S396" i="2"/>
  <c r="T396" i="2"/>
  <c r="U396" i="2"/>
  <c r="V396" i="2"/>
  <c r="W396" i="2"/>
  <c r="X396" i="2"/>
  <c r="E397" i="2"/>
  <c r="F397" i="2"/>
  <c r="G397" i="2"/>
  <c r="H397" i="2"/>
  <c r="I397" i="2"/>
  <c r="J397" i="2"/>
  <c r="K397" i="2"/>
  <c r="L397" i="2"/>
  <c r="M397" i="2"/>
  <c r="N397" i="2"/>
  <c r="O397" i="2"/>
  <c r="P397" i="2" s="1"/>
  <c r="Q397" i="2"/>
  <c r="R397" i="2"/>
  <c r="S397" i="2"/>
  <c r="T397" i="2"/>
  <c r="U397" i="2"/>
  <c r="V397" i="2"/>
  <c r="W397" i="2"/>
  <c r="X397" i="2"/>
  <c r="E398" i="2"/>
  <c r="F398" i="2"/>
  <c r="G398" i="2"/>
  <c r="H398" i="2"/>
  <c r="I398" i="2"/>
  <c r="J398" i="2"/>
  <c r="K398" i="2"/>
  <c r="L398" i="2"/>
  <c r="M398" i="2"/>
  <c r="N398" i="2"/>
  <c r="O398" i="2"/>
  <c r="Q398" i="2"/>
  <c r="R398" i="2"/>
  <c r="S398" i="2"/>
  <c r="T398" i="2"/>
  <c r="U398" i="2"/>
  <c r="V398" i="2"/>
  <c r="W398" i="2"/>
  <c r="X398" i="2"/>
  <c r="E399" i="2"/>
  <c r="F399" i="2"/>
  <c r="G399" i="2"/>
  <c r="H399" i="2"/>
  <c r="I399" i="2"/>
  <c r="J399" i="2"/>
  <c r="K399" i="2"/>
  <c r="L399" i="2"/>
  <c r="M399" i="2"/>
  <c r="N399" i="2"/>
  <c r="O399" i="2"/>
  <c r="Q399" i="2"/>
  <c r="R399" i="2"/>
  <c r="S399" i="2"/>
  <c r="T399" i="2"/>
  <c r="U399" i="2"/>
  <c r="V399" i="2"/>
  <c r="W399" i="2"/>
  <c r="X399" i="2"/>
  <c r="E400" i="2"/>
  <c r="F400" i="2"/>
  <c r="G400" i="2"/>
  <c r="H400" i="2"/>
  <c r="I400" i="2"/>
  <c r="J400" i="2"/>
  <c r="K400" i="2"/>
  <c r="L400" i="2"/>
  <c r="M400" i="2"/>
  <c r="N400" i="2"/>
  <c r="O400" i="2"/>
  <c r="Q400" i="2"/>
  <c r="R400" i="2"/>
  <c r="S400" i="2"/>
  <c r="T400" i="2"/>
  <c r="U400" i="2"/>
  <c r="V400" i="2"/>
  <c r="W400" i="2"/>
  <c r="X400" i="2"/>
  <c r="E401" i="2"/>
  <c r="F401" i="2"/>
  <c r="G401" i="2"/>
  <c r="H401" i="2"/>
  <c r="I401" i="2"/>
  <c r="J401" i="2"/>
  <c r="K401" i="2"/>
  <c r="L401" i="2"/>
  <c r="M401" i="2"/>
  <c r="N401" i="2"/>
  <c r="O401" i="2"/>
  <c r="P401" i="2" s="1"/>
  <c r="Q401" i="2"/>
  <c r="R401" i="2"/>
  <c r="S401" i="2"/>
  <c r="T401" i="2"/>
  <c r="U401" i="2"/>
  <c r="V401" i="2"/>
  <c r="W401" i="2"/>
  <c r="X401" i="2"/>
  <c r="E402" i="2"/>
  <c r="F402" i="2"/>
  <c r="G402" i="2"/>
  <c r="H402" i="2"/>
  <c r="I402" i="2"/>
  <c r="J402" i="2"/>
  <c r="K402" i="2"/>
  <c r="L402" i="2"/>
  <c r="M402" i="2"/>
  <c r="N402" i="2"/>
  <c r="O402" i="2"/>
  <c r="P402" i="2" s="1"/>
  <c r="Q402" i="2"/>
  <c r="R402" i="2"/>
  <c r="S402" i="2"/>
  <c r="T402" i="2"/>
  <c r="U402" i="2"/>
  <c r="V402" i="2"/>
  <c r="W402" i="2"/>
  <c r="X402" i="2"/>
  <c r="E403" i="2"/>
  <c r="F403" i="2"/>
  <c r="G403" i="2"/>
  <c r="H403" i="2"/>
  <c r="I403" i="2"/>
  <c r="J403" i="2"/>
  <c r="K403" i="2"/>
  <c r="L403" i="2"/>
  <c r="M403" i="2"/>
  <c r="N403" i="2"/>
  <c r="O403" i="2"/>
  <c r="P403" i="2" s="1"/>
  <c r="Q403" i="2"/>
  <c r="R403" i="2"/>
  <c r="S403" i="2"/>
  <c r="T403" i="2"/>
  <c r="U403" i="2"/>
  <c r="V403" i="2"/>
  <c r="W403" i="2"/>
  <c r="X403" i="2"/>
  <c r="E404" i="2"/>
  <c r="F404" i="2"/>
  <c r="G404" i="2"/>
  <c r="H404" i="2"/>
  <c r="I404" i="2"/>
  <c r="J404" i="2"/>
  <c r="K404" i="2"/>
  <c r="L404" i="2"/>
  <c r="M404" i="2"/>
  <c r="N404" i="2"/>
  <c r="O404" i="2"/>
  <c r="Q404" i="2"/>
  <c r="R404" i="2"/>
  <c r="S404" i="2"/>
  <c r="T404" i="2"/>
  <c r="U404" i="2"/>
  <c r="V404" i="2"/>
  <c r="W404" i="2"/>
  <c r="X404" i="2"/>
  <c r="E405" i="2"/>
  <c r="F405" i="2"/>
  <c r="G405" i="2"/>
  <c r="H405" i="2"/>
  <c r="I405" i="2"/>
  <c r="J405" i="2"/>
  <c r="K405" i="2"/>
  <c r="L405" i="2"/>
  <c r="M405" i="2"/>
  <c r="N405" i="2"/>
  <c r="O405" i="2"/>
  <c r="Q405" i="2"/>
  <c r="R405" i="2"/>
  <c r="S405" i="2"/>
  <c r="T405" i="2"/>
  <c r="U405" i="2"/>
  <c r="V405" i="2"/>
  <c r="W405" i="2"/>
  <c r="X405" i="2"/>
  <c r="E406" i="2"/>
  <c r="F406" i="2"/>
  <c r="G406" i="2"/>
  <c r="H406" i="2"/>
  <c r="I406" i="2"/>
  <c r="J406" i="2"/>
  <c r="K406" i="2"/>
  <c r="L406" i="2"/>
  <c r="M406" i="2"/>
  <c r="N406" i="2"/>
  <c r="O406" i="2"/>
  <c r="Q406" i="2"/>
  <c r="R406" i="2"/>
  <c r="S406" i="2"/>
  <c r="T406" i="2"/>
  <c r="U406" i="2"/>
  <c r="V406" i="2"/>
  <c r="W406" i="2"/>
  <c r="X406" i="2"/>
  <c r="E407" i="2"/>
  <c r="F407" i="2"/>
  <c r="G407" i="2"/>
  <c r="H407" i="2"/>
  <c r="I407" i="2"/>
  <c r="J407" i="2"/>
  <c r="K407" i="2"/>
  <c r="L407" i="2"/>
  <c r="M407" i="2"/>
  <c r="N407" i="2"/>
  <c r="O407" i="2"/>
  <c r="P407" i="2" s="1"/>
  <c r="Q407" i="2"/>
  <c r="R407" i="2"/>
  <c r="S407" i="2"/>
  <c r="T407" i="2"/>
  <c r="U407" i="2"/>
  <c r="V407" i="2"/>
  <c r="W407" i="2"/>
  <c r="X407" i="2"/>
  <c r="E408" i="2"/>
  <c r="F408" i="2"/>
  <c r="G408" i="2"/>
  <c r="H408" i="2"/>
  <c r="I408" i="2"/>
  <c r="J408" i="2"/>
  <c r="K408" i="2"/>
  <c r="L408" i="2"/>
  <c r="M408" i="2"/>
  <c r="N408" i="2"/>
  <c r="O408" i="2"/>
  <c r="P408" i="2" s="1"/>
  <c r="Q408" i="2"/>
  <c r="R408" i="2"/>
  <c r="S408" i="2"/>
  <c r="T408" i="2"/>
  <c r="U408" i="2"/>
  <c r="V408" i="2"/>
  <c r="W408" i="2"/>
  <c r="X408" i="2"/>
  <c r="E409" i="2"/>
  <c r="F409" i="2"/>
  <c r="G409" i="2"/>
  <c r="H409" i="2"/>
  <c r="I409" i="2"/>
  <c r="J409" i="2"/>
  <c r="K409" i="2"/>
  <c r="L409" i="2"/>
  <c r="M409" i="2"/>
  <c r="N409" i="2"/>
  <c r="O409" i="2"/>
  <c r="P409" i="2" s="1"/>
  <c r="Q409" i="2"/>
  <c r="R409" i="2"/>
  <c r="S409" i="2"/>
  <c r="T409" i="2"/>
  <c r="U409" i="2"/>
  <c r="V409" i="2"/>
  <c r="W409" i="2"/>
  <c r="X409" i="2"/>
  <c r="E410" i="2"/>
  <c r="F410" i="2"/>
  <c r="G410" i="2"/>
  <c r="H410" i="2"/>
  <c r="I410" i="2"/>
  <c r="J410" i="2"/>
  <c r="K410" i="2"/>
  <c r="L410" i="2"/>
  <c r="M410" i="2"/>
  <c r="N410" i="2"/>
  <c r="O410" i="2"/>
  <c r="Q410" i="2"/>
  <c r="R410" i="2"/>
  <c r="S410" i="2"/>
  <c r="T410" i="2"/>
  <c r="U410" i="2"/>
  <c r="V410" i="2"/>
  <c r="W410" i="2"/>
  <c r="X410" i="2"/>
  <c r="E411" i="2"/>
  <c r="F411" i="2"/>
  <c r="G411" i="2"/>
  <c r="H411" i="2"/>
  <c r="I411" i="2"/>
  <c r="J411" i="2"/>
  <c r="K411" i="2"/>
  <c r="L411" i="2"/>
  <c r="M411" i="2"/>
  <c r="N411" i="2"/>
  <c r="O411" i="2"/>
  <c r="Q411" i="2"/>
  <c r="R411" i="2"/>
  <c r="S411" i="2"/>
  <c r="T411" i="2"/>
  <c r="U411" i="2"/>
  <c r="V411" i="2"/>
  <c r="W411" i="2"/>
  <c r="X411" i="2"/>
  <c r="E412" i="2"/>
  <c r="F412" i="2"/>
  <c r="G412" i="2"/>
  <c r="H412" i="2"/>
  <c r="I412" i="2"/>
  <c r="J412" i="2"/>
  <c r="K412" i="2"/>
  <c r="L412" i="2"/>
  <c r="M412" i="2"/>
  <c r="N412" i="2"/>
  <c r="O412" i="2"/>
  <c r="Q412" i="2"/>
  <c r="R412" i="2"/>
  <c r="S412" i="2"/>
  <c r="T412" i="2"/>
  <c r="U412" i="2"/>
  <c r="V412" i="2"/>
  <c r="W412" i="2"/>
  <c r="X412" i="2"/>
  <c r="E413" i="2"/>
  <c r="F413" i="2"/>
  <c r="G413" i="2"/>
  <c r="H413" i="2"/>
  <c r="I413" i="2"/>
  <c r="J413" i="2"/>
  <c r="K413" i="2"/>
  <c r="L413" i="2"/>
  <c r="M413" i="2"/>
  <c r="N413" i="2"/>
  <c r="O413" i="2"/>
  <c r="P413" i="2" s="1"/>
  <c r="Q413" i="2"/>
  <c r="R413" i="2"/>
  <c r="S413" i="2"/>
  <c r="T413" i="2"/>
  <c r="U413" i="2"/>
  <c r="V413" i="2"/>
  <c r="W413" i="2"/>
  <c r="X413" i="2"/>
  <c r="E414" i="2"/>
  <c r="F414" i="2"/>
  <c r="G414" i="2"/>
  <c r="H414" i="2"/>
  <c r="I414" i="2"/>
  <c r="J414" i="2"/>
  <c r="K414" i="2"/>
  <c r="L414" i="2"/>
  <c r="M414" i="2"/>
  <c r="N414" i="2"/>
  <c r="O414" i="2"/>
  <c r="P414" i="2" s="1"/>
  <c r="Q414" i="2"/>
  <c r="R414" i="2"/>
  <c r="S414" i="2"/>
  <c r="T414" i="2"/>
  <c r="U414" i="2"/>
  <c r="V414" i="2"/>
  <c r="W414" i="2"/>
  <c r="X414" i="2"/>
  <c r="E415" i="2"/>
  <c r="F415" i="2"/>
  <c r="G415" i="2"/>
  <c r="H415" i="2"/>
  <c r="I415" i="2"/>
  <c r="J415" i="2"/>
  <c r="K415" i="2"/>
  <c r="L415" i="2"/>
  <c r="M415" i="2"/>
  <c r="N415" i="2"/>
  <c r="O415" i="2"/>
  <c r="P415" i="2" s="1"/>
  <c r="Q415" i="2"/>
  <c r="R415" i="2"/>
  <c r="S415" i="2"/>
  <c r="T415" i="2"/>
  <c r="U415" i="2"/>
  <c r="V415" i="2"/>
  <c r="W415" i="2"/>
  <c r="X415" i="2"/>
  <c r="E416" i="2"/>
  <c r="F416" i="2"/>
  <c r="G416" i="2"/>
  <c r="H416" i="2"/>
  <c r="I416" i="2"/>
  <c r="J416" i="2"/>
  <c r="K416" i="2"/>
  <c r="L416" i="2"/>
  <c r="M416" i="2"/>
  <c r="N416" i="2"/>
  <c r="O416" i="2"/>
  <c r="Q416" i="2"/>
  <c r="R416" i="2"/>
  <c r="S416" i="2"/>
  <c r="T416" i="2"/>
  <c r="U416" i="2"/>
  <c r="V416" i="2"/>
  <c r="W416" i="2"/>
  <c r="X416" i="2"/>
  <c r="X381" i="2"/>
  <c r="W381" i="2"/>
  <c r="V381" i="2"/>
  <c r="U381" i="2"/>
  <c r="T381" i="2"/>
  <c r="S381" i="2"/>
  <c r="R381" i="2"/>
  <c r="Q381" i="2"/>
  <c r="O381" i="2"/>
  <c r="P381" i="2" s="1"/>
  <c r="N381" i="2"/>
  <c r="M381" i="2"/>
  <c r="L381" i="2"/>
  <c r="K381" i="2"/>
  <c r="J381" i="2"/>
  <c r="I381" i="2"/>
  <c r="H381" i="2"/>
  <c r="G381" i="2"/>
  <c r="F381" i="2"/>
  <c r="E381" i="2"/>
  <c r="E297" i="2"/>
  <c r="F297" i="2"/>
  <c r="G297" i="2"/>
  <c r="H297" i="2"/>
  <c r="I297" i="2"/>
  <c r="J297" i="2"/>
  <c r="K297" i="2"/>
  <c r="L297" i="2"/>
  <c r="M297" i="2"/>
  <c r="N297" i="2"/>
  <c r="O297" i="2"/>
  <c r="Q297" i="2"/>
  <c r="R297" i="2"/>
  <c r="S297" i="2"/>
  <c r="T297" i="2"/>
  <c r="U297" i="2"/>
  <c r="V297" i="2"/>
  <c r="W297" i="2"/>
  <c r="X297" i="2"/>
  <c r="E298" i="2"/>
  <c r="F298" i="2"/>
  <c r="G298" i="2"/>
  <c r="H298" i="2"/>
  <c r="I298" i="2"/>
  <c r="J298" i="2"/>
  <c r="K298" i="2"/>
  <c r="L298" i="2"/>
  <c r="M298" i="2"/>
  <c r="N298" i="2"/>
  <c r="O298" i="2"/>
  <c r="P298" i="2" s="1"/>
  <c r="Q298" i="2"/>
  <c r="R298" i="2"/>
  <c r="S298" i="2"/>
  <c r="T298" i="2"/>
  <c r="U298" i="2"/>
  <c r="V298" i="2"/>
  <c r="W298" i="2"/>
  <c r="X298" i="2"/>
  <c r="E299" i="2"/>
  <c r="F299" i="2"/>
  <c r="G299" i="2"/>
  <c r="H299" i="2"/>
  <c r="I299" i="2"/>
  <c r="J299" i="2"/>
  <c r="K299" i="2"/>
  <c r="L299" i="2"/>
  <c r="M299" i="2"/>
  <c r="N299" i="2"/>
  <c r="O299" i="2"/>
  <c r="P299" i="2" s="1"/>
  <c r="Q299" i="2"/>
  <c r="R299" i="2"/>
  <c r="S299" i="2"/>
  <c r="T299" i="2"/>
  <c r="U299" i="2"/>
  <c r="V299" i="2"/>
  <c r="W299" i="2"/>
  <c r="X299" i="2"/>
  <c r="E300" i="2"/>
  <c r="F300" i="2"/>
  <c r="G300" i="2"/>
  <c r="H300" i="2"/>
  <c r="I300" i="2"/>
  <c r="J300" i="2"/>
  <c r="K300" i="2"/>
  <c r="L300" i="2"/>
  <c r="M300" i="2"/>
  <c r="N300" i="2"/>
  <c r="O300" i="2"/>
  <c r="P300" i="2" s="1"/>
  <c r="Q300" i="2"/>
  <c r="R300" i="2"/>
  <c r="S300" i="2"/>
  <c r="T300" i="2"/>
  <c r="U300" i="2"/>
  <c r="V300" i="2"/>
  <c r="W300" i="2"/>
  <c r="X300" i="2"/>
  <c r="E301" i="2"/>
  <c r="F301" i="2"/>
  <c r="G301" i="2"/>
  <c r="H301" i="2"/>
  <c r="I301" i="2"/>
  <c r="J301" i="2"/>
  <c r="K301" i="2"/>
  <c r="L301" i="2"/>
  <c r="M301" i="2"/>
  <c r="N301" i="2"/>
  <c r="O301" i="2"/>
  <c r="Q301" i="2"/>
  <c r="R301" i="2"/>
  <c r="S301" i="2"/>
  <c r="T301" i="2"/>
  <c r="U301" i="2"/>
  <c r="V301" i="2"/>
  <c r="W301" i="2"/>
  <c r="X301" i="2"/>
  <c r="E302" i="2"/>
  <c r="F302" i="2"/>
  <c r="G302" i="2"/>
  <c r="H302" i="2"/>
  <c r="I302" i="2"/>
  <c r="J302" i="2"/>
  <c r="K302" i="2"/>
  <c r="L302" i="2"/>
  <c r="M302" i="2"/>
  <c r="N302" i="2"/>
  <c r="O302" i="2"/>
  <c r="Q302" i="2"/>
  <c r="R302" i="2"/>
  <c r="S302" i="2"/>
  <c r="T302" i="2"/>
  <c r="U302" i="2"/>
  <c r="V302" i="2"/>
  <c r="W302" i="2"/>
  <c r="X302" i="2"/>
  <c r="E303" i="2"/>
  <c r="F303" i="2"/>
  <c r="G303" i="2"/>
  <c r="H303" i="2"/>
  <c r="I303" i="2"/>
  <c r="J303" i="2"/>
  <c r="K303" i="2"/>
  <c r="L303" i="2"/>
  <c r="M303" i="2"/>
  <c r="N303" i="2"/>
  <c r="O303" i="2"/>
  <c r="Q303" i="2"/>
  <c r="R303" i="2"/>
  <c r="S303" i="2"/>
  <c r="T303" i="2"/>
  <c r="U303" i="2"/>
  <c r="V303" i="2"/>
  <c r="W303" i="2"/>
  <c r="X303" i="2"/>
  <c r="E304" i="2"/>
  <c r="F304" i="2"/>
  <c r="G304" i="2"/>
  <c r="H304" i="2"/>
  <c r="I304" i="2"/>
  <c r="J304" i="2"/>
  <c r="K304" i="2"/>
  <c r="L304" i="2"/>
  <c r="M304" i="2"/>
  <c r="N304" i="2"/>
  <c r="O304" i="2"/>
  <c r="P304" i="2" s="1"/>
  <c r="Q304" i="2"/>
  <c r="R304" i="2"/>
  <c r="S304" i="2"/>
  <c r="T304" i="2"/>
  <c r="U304" i="2"/>
  <c r="V304" i="2"/>
  <c r="W304" i="2"/>
  <c r="X304" i="2"/>
  <c r="E305" i="2"/>
  <c r="F305" i="2"/>
  <c r="G305" i="2"/>
  <c r="H305" i="2"/>
  <c r="I305" i="2"/>
  <c r="J305" i="2"/>
  <c r="K305" i="2"/>
  <c r="L305" i="2"/>
  <c r="M305" i="2"/>
  <c r="N305" i="2"/>
  <c r="O305" i="2"/>
  <c r="P305" i="2" s="1"/>
  <c r="Q305" i="2"/>
  <c r="R305" i="2"/>
  <c r="S305" i="2"/>
  <c r="T305" i="2"/>
  <c r="U305" i="2"/>
  <c r="V305" i="2"/>
  <c r="W305" i="2"/>
  <c r="X305" i="2"/>
  <c r="E306" i="2"/>
  <c r="F306" i="2"/>
  <c r="G306" i="2"/>
  <c r="H306" i="2"/>
  <c r="I306" i="2"/>
  <c r="J306" i="2"/>
  <c r="K306" i="2"/>
  <c r="L306" i="2"/>
  <c r="M306" i="2"/>
  <c r="N306" i="2"/>
  <c r="O306" i="2"/>
  <c r="P306" i="2" s="1"/>
  <c r="Q306" i="2"/>
  <c r="R306" i="2"/>
  <c r="S306" i="2"/>
  <c r="T306" i="2"/>
  <c r="U306" i="2"/>
  <c r="V306" i="2"/>
  <c r="W306" i="2"/>
  <c r="X306" i="2"/>
  <c r="E307" i="2"/>
  <c r="F307" i="2"/>
  <c r="G307" i="2"/>
  <c r="H307" i="2"/>
  <c r="I307" i="2"/>
  <c r="J307" i="2"/>
  <c r="K307" i="2"/>
  <c r="L307" i="2"/>
  <c r="M307" i="2"/>
  <c r="N307" i="2"/>
  <c r="O307" i="2"/>
  <c r="Q307" i="2"/>
  <c r="R307" i="2"/>
  <c r="S307" i="2"/>
  <c r="T307" i="2"/>
  <c r="U307" i="2"/>
  <c r="V307" i="2"/>
  <c r="W307" i="2"/>
  <c r="X307" i="2"/>
  <c r="E308" i="2"/>
  <c r="F308" i="2"/>
  <c r="G308" i="2"/>
  <c r="H308" i="2"/>
  <c r="I308" i="2"/>
  <c r="J308" i="2"/>
  <c r="K308" i="2"/>
  <c r="L308" i="2"/>
  <c r="M308" i="2"/>
  <c r="N308" i="2"/>
  <c r="O308" i="2"/>
  <c r="Q308" i="2"/>
  <c r="R308" i="2"/>
  <c r="S308" i="2"/>
  <c r="T308" i="2"/>
  <c r="U308" i="2"/>
  <c r="V308" i="2"/>
  <c r="W308" i="2"/>
  <c r="X308" i="2"/>
  <c r="E309" i="2"/>
  <c r="F309" i="2"/>
  <c r="G309" i="2"/>
  <c r="H309" i="2"/>
  <c r="I309" i="2"/>
  <c r="J309" i="2"/>
  <c r="K309" i="2"/>
  <c r="L309" i="2"/>
  <c r="M309" i="2"/>
  <c r="N309" i="2"/>
  <c r="O309" i="2"/>
  <c r="Q309" i="2"/>
  <c r="R309" i="2"/>
  <c r="S309" i="2"/>
  <c r="T309" i="2"/>
  <c r="U309" i="2"/>
  <c r="V309" i="2"/>
  <c r="W309" i="2"/>
  <c r="X309" i="2"/>
  <c r="E310" i="2"/>
  <c r="F310" i="2"/>
  <c r="G310" i="2"/>
  <c r="H310" i="2"/>
  <c r="I310" i="2"/>
  <c r="J310" i="2"/>
  <c r="K310" i="2"/>
  <c r="L310" i="2"/>
  <c r="M310" i="2"/>
  <c r="N310" i="2"/>
  <c r="O310" i="2"/>
  <c r="P310" i="2" s="1"/>
  <c r="Q310" i="2"/>
  <c r="R310" i="2"/>
  <c r="S310" i="2"/>
  <c r="T310" i="2"/>
  <c r="U310" i="2"/>
  <c r="V310" i="2"/>
  <c r="W310" i="2"/>
  <c r="X310" i="2"/>
  <c r="E311" i="2"/>
  <c r="F311" i="2"/>
  <c r="G311" i="2"/>
  <c r="H311" i="2"/>
  <c r="I311" i="2"/>
  <c r="J311" i="2"/>
  <c r="K311" i="2"/>
  <c r="L311" i="2"/>
  <c r="M311" i="2"/>
  <c r="N311" i="2"/>
  <c r="O311" i="2"/>
  <c r="P311" i="2" s="1"/>
  <c r="Q311" i="2"/>
  <c r="R311" i="2"/>
  <c r="S311" i="2"/>
  <c r="T311" i="2"/>
  <c r="U311" i="2"/>
  <c r="V311" i="2"/>
  <c r="W311" i="2"/>
  <c r="X311" i="2"/>
  <c r="E312" i="2"/>
  <c r="F312" i="2"/>
  <c r="G312" i="2"/>
  <c r="H312" i="2"/>
  <c r="I312" i="2"/>
  <c r="J312" i="2"/>
  <c r="K312" i="2"/>
  <c r="L312" i="2"/>
  <c r="M312" i="2"/>
  <c r="N312" i="2"/>
  <c r="O312" i="2"/>
  <c r="P312" i="2" s="1"/>
  <c r="Q312" i="2"/>
  <c r="R312" i="2"/>
  <c r="S312" i="2"/>
  <c r="T312" i="2"/>
  <c r="U312" i="2"/>
  <c r="V312" i="2"/>
  <c r="W312" i="2"/>
  <c r="X312" i="2"/>
  <c r="E313" i="2"/>
  <c r="F313" i="2"/>
  <c r="G313" i="2"/>
  <c r="H313" i="2"/>
  <c r="I313" i="2"/>
  <c r="J313" i="2"/>
  <c r="K313" i="2"/>
  <c r="L313" i="2"/>
  <c r="M313" i="2"/>
  <c r="N313" i="2"/>
  <c r="O313" i="2"/>
  <c r="Q313" i="2"/>
  <c r="R313" i="2"/>
  <c r="S313" i="2"/>
  <c r="T313" i="2"/>
  <c r="U313" i="2"/>
  <c r="V313" i="2"/>
  <c r="W313" i="2"/>
  <c r="X313" i="2"/>
  <c r="E314" i="2"/>
  <c r="F314" i="2"/>
  <c r="G314" i="2"/>
  <c r="H314" i="2"/>
  <c r="I314" i="2"/>
  <c r="J314" i="2"/>
  <c r="K314" i="2"/>
  <c r="L314" i="2"/>
  <c r="M314" i="2"/>
  <c r="N314" i="2"/>
  <c r="O314" i="2"/>
  <c r="Q314" i="2"/>
  <c r="R314" i="2"/>
  <c r="S314" i="2"/>
  <c r="T314" i="2"/>
  <c r="U314" i="2"/>
  <c r="V314" i="2"/>
  <c r="W314" i="2"/>
  <c r="X314" i="2"/>
  <c r="E315" i="2"/>
  <c r="F315" i="2"/>
  <c r="G315" i="2"/>
  <c r="H315" i="2"/>
  <c r="I315" i="2"/>
  <c r="J315" i="2"/>
  <c r="K315" i="2"/>
  <c r="L315" i="2"/>
  <c r="M315" i="2"/>
  <c r="N315" i="2"/>
  <c r="O315" i="2"/>
  <c r="Q315" i="2"/>
  <c r="R315" i="2"/>
  <c r="S315" i="2"/>
  <c r="T315" i="2"/>
  <c r="U315" i="2"/>
  <c r="V315" i="2"/>
  <c r="W315" i="2"/>
  <c r="X315" i="2"/>
  <c r="E316" i="2"/>
  <c r="F316" i="2"/>
  <c r="G316" i="2"/>
  <c r="H316" i="2"/>
  <c r="I316" i="2"/>
  <c r="J316" i="2"/>
  <c r="K316" i="2"/>
  <c r="L316" i="2"/>
  <c r="M316" i="2"/>
  <c r="N316" i="2"/>
  <c r="O316" i="2"/>
  <c r="P316" i="2" s="1"/>
  <c r="Q316" i="2"/>
  <c r="R316" i="2"/>
  <c r="S316" i="2"/>
  <c r="T316" i="2"/>
  <c r="U316" i="2"/>
  <c r="V316" i="2"/>
  <c r="W316" i="2"/>
  <c r="X316" i="2"/>
  <c r="E317" i="2"/>
  <c r="F317" i="2"/>
  <c r="G317" i="2"/>
  <c r="H317" i="2"/>
  <c r="I317" i="2"/>
  <c r="J317" i="2"/>
  <c r="K317" i="2"/>
  <c r="L317" i="2"/>
  <c r="M317" i="2"/>
  <c r="N317" i="2"/>
  <c r="O317" i="2"/>
  <c r="P317" i="2" s="1"/>
  <c r="Q317" i="2"/>
  <c r="R317" i="2"/>
  <c r="S317" i="2"/>
  <c r="T317" i="2"/>
  <c r="U317" i="2"/>
  <c r="V317" i="2"/>
  <c r="W317" i="2"/>
  <c r="X317" i="2"/>
  <c r="E318" i="2"/>
  <c r="F318" i="2"/>
  <c r="G318" i="2"/>
  <c r="H318" i="2"/>
  <c r="I318" i="2"/>
  <c r="J318" i="2"/>
  <c r="K318" i="2"/>
  <c r="L318" i="2"/>
  <c r="M318" i="2"/>
  <c r="N318" i="2"/>
  <c r="O318" i="2"/>
  <c r="P318" i="2" s="1"/>
  <c r="Q318" i="2"/>
  <c r="R318" i="2"/>
  <c r="S318" i="2"/>
  <c r="T318" i="2"/>
  <c r="U318" i="2"/>
  <c r="V318" i="2"/>
  <c r="W318" i="2"/>
  <c r="X318" i="2"/>
  <c r="E319" i="2"/>
  <c r="F319" i="2"/>
  <c r="G319" i="2"/>
  <c r="H319" i="2"/>
  <c r="I319" i="2"/>
  <c r="J319" i="2"/>
  <c r="K319" i="2"/>
  <c r="L319" i="2"/>
  <c r="M319" i="2"/>
  <c r="N319" i="2"/>
  <c r="O319" i="2"/>
  <c r="Q319" i="2"/>
  <c r="R319" i="2"/>
  <c r="S319" i="2"/>
  <c r="T319" i="2"/>
  <c r="U319" i="2"/>
  <c r="V319" i="2"/>
  <c r="W319" i="2"/>
  <c r="X319" i="2"/>
  <c r="E320" i="2"/>
  <c r="F320" i="2"/>
  <c r="G320" i="2"/>
  <c r="H320" i="2"/>
  <c r="I320" i="2"/>
  <c r="J320" i="2"/>
  <c r="K320" i="2"/>
  <c r="L320" i="2"/>
  <c r="M320" i="2"/>
  <c r="N320" i="2"/>
  <c r="O320" i="2"/>
  <c r="Q320" i="2"/>
  <c r="R320" i="2"/>
  <c r="S320" i="2"/>
  <c r="T320" i="2"/>
  <c r="U320" i="2"/>
  <c r="V320" i="2"/>
  <c r="W320" i="2"/>
  <c r="X320" i="2"/>
  <c r="E321" i="2"/>
  <c r="F321" i="2"/>
  <c r="G321" i="2"/>
  <c r="H321" i="2"/>
  <c r="I321" i="2"/>
  <c r="J321" i="2"/>
  <c r="K321" i="2"/>
  <c r="L321" i="2"/>
  <c r="M321" i="2"/>
  <c r="N321" i="2"/>
  <c r="O321" i="2"/>
  <c r="Q321" i="2"/>
  <c r="R321" i="2"/>
  <c r="S321" i="2"/>
  <c r="T321" i="2"/>
  <c r="U321" i="2"/>
  <c r="V321" i="2"/>
  <c r="W321" i="2"/>
  <c r="X321" i="2"/>
  <c r="E322" i="2"/>
  <c r="F322" i="2"/>
  <c r="G322" i="2"/>
  <c r="H322" i="2"/>
  <c r="I322" i="2"/>
  <c r="J322" i="2"/>
  <c r="K322" i="2"/>
  <c r="L322" i="2"/>
  <c r="M322" i="2"/>
  <c r="N322" i="2"/>
  <c r="O322" i="2"/>
  <c r="P322" i="2" s="1"/>
  <c r="Q322" i="2"/>
  <c r="R322" i="2"/>
  <c r="S322" i="2"/>
  <c r="T322" i="2"/>
  <c r="U322" i="2"/>
  <c r="V322" i="2"/>
  <c r="W322" i="2"/>
  <c r="X322" i="2"/>
  <c r="E323" i="2"/>
  <c r="F323" i="2"/>
  <c r="G323" i="2"/>
  <c r="H323" i="2"/>
  <c r="I323" i="2"/>
  <c r="J323" i="2"/>
  <c r="K323" i="2"/>
  <c r="L323" i="2"/>
  <c r="M323" i="2"/>
  <c r="N323" i="2"/>
  <c r="O323" i="2"/>
  <c r="P323" i="2" s="1"/>
  <c r="Q323" i="2"/>
  <c r="R323" i="2"/>
  <c r="S323" i="2"/>
  <c r="T323" i="2"/>
  <c r="U323" i="2"/>
  <c r="V323" i="2"/>
  <c r="W323" i="2"/>
  <c r="X323" i="2"/>
  <c r="E324" i="2"/>
  <c r="F324" i="2"/>
  <c r="G324" i="2"/>
  <c r="H324" i="2"/>
  <c r="I324" i="2"/>
  <c r="J324" i="2"/>
  <c r="K324" i="2"/>
  <c r="L324" i="2"/>
  <c r="M324" i="2"/>
  <c r="N324" i="2"/>
  <c r="O324" i="2"/>
  <c r="P324" i="2" s="1"/>
  <c r="Q324" i="2"/>
  <c r="R324" i="2"/>
  <c r="S324" i="2"/>
  <c r="T324" i="2"/>
  <c r="U324" i="2"/>
  <c r="V324" i="2"/>
  <c r="W324" i="2"/>
  <c r="X324" i="2"/>
  <c r="E325" i="2"/>
  <c r="F325" i="2"/>
  <c r="G325" i="2"/>
  <c r="H325" i="2"/>
  <c r="I325" i="2"/>
  <c r="J325" i="2"/>
  <c r="K325" i="2"/>
  <c r="L325" i="2"/>
  <c r="M325" i="2"/>
  <c r="N325" i="2"/>
  <c r="O325" i="2"/>
  <c r="Q325" i="2"/>
  <c r="R325" i="2"/>
  <c r="S325" i="2"/>
  <c r="T325" i="2"/>
  <c r="U325" i="2"/>
  <c r="V325" i="2"/>
  <c r="W325" i="2"/>
  <c r="X325" i="2"/>
  <c r="E326" i="2"/>
  <c r="F326" i="2"/>
  <c r="G326" i="2"/>
  <c r="H326" i="2"/>
  <c r="I326" i="2"/>
  <c r="J326" i="2"/>
  <c r="K326" i="2"/>
  <c r="L326" i="2"/>
  <c r="M326" i="2"/>
  <c r="N326" i="2"/>
  <c r="O326" i="2"/>
  <c r="Q326" i="2"/>
  <c r="R326" i="2"/>
  <c r="S326" i="2"/>
  <c r="T326" i="2"/>
  <c r="U326" i="2"/>
  <c r="V326" i="2"/>
  <c r="W326" i="2"/>
  <c r="X326" i="2"/>
  <c r="E327" i="2"/>
  <c r="F327" i="2"/>
  <c r="G327" i="2"/>
  <c r="H327" i="2"/>
  <c r="I327" i="2"/>
  <c r="J327" i="2"/>
  <c r="K327" i="2"/>
  <c r="L327" i="2"/>
  <c r="M327" i="2"/>
  <c r="N327" i="2"/>
  <c r="O327" i="2"/>
  <c r="Q327" i="2"/>
  <c r="R327" i="2"/>
  <c r="S327" i="2"/>
  <c r="T327" i="2"/>
  <c r="U327" i="2"/>
  <c r="V327" i="2"/>
  <c r="W327" i="2"/>
  <c r="X327" i="2"/>
  <c r="E328" i="2"/>
  <c r="F328" i="2"/>
  <c r="G328" i="2"/>
  <c r="H328" i="2"/>
  <c r="I328" i="2"/>
  <c r="J328" i="2"/>
  <c r="K328" i="2"/>
  <c r="L328" i="2"/>
  <c r="M328" i="2"/>
  <c r="N328" i="2"/>
  <c r="O328" i="2"/>
  <c r="P328" i="2" s="1"/>
  <c r="Q328" i="2"/>
  <c r="R328" i="2"/>
  <c r="S328" i="2"/>
  <c r="T328" i="2"/>
  <c r="U328" i="2"/>
  <c r="V328" i="2"/>
  <c r="W328" i="2"/>
  <c r="X328" i="2"/>
  <c r="E329" i="2"/>
  <c r="F329" i="2"/>
  <c r="G329" i="2"/>
  <c r="H329" i="2"/>
  <c r="I329" i="2"/>
  <c r="J329" i="2"/>
  <c r="K329" i="2"/>
  <c r="L329" i="2"/>
  <c r="M329" i="2"/>
  <c r="N329" i="2"/>
  <c r="O329" i="2"/>
  <c r="P329" i="2" s="1"/>
  <c r="Q329" i="2"/>
  <c r="R329" i="2"/>
  <c r="S329" i="2"/>
  <c r="T329" i="2"/>
  <c r="U329" i="2"/>
  <c r="V329" i="2"/>
  <c r="W329" i="2"/>
  <c r="X329" i="2"/>
  <c r="E330" i="2"/>
  <c r="F330" i="2"/>
  <c r="G330" i="2"/>
  <c r="H330" i="2"/>
  <c r="I330" i="2"/>
  <c r="J330" i="2"/>
  <c r="K330" i="2"/>
  <c r="L330" i="2"/>
  <c r="M330" i="2"/>
  <c r="N330" i="2"/>
  <c r="O330" i="2"/>
  <c r="P330" i="2" s="1"/>
  <c r="Q330" i="2"/>
  <c r="R330" i="2"/>
  <c r="S330" i="2"/>
  <c r="T330" i="2"/>
  <c r="U330" i="2"/>
  <c r="V330" i="2"/>
  <c r="W330" i="2"/>
  <c r="X330" i="2"/>
  <c r="E331" i="2"/>
  <c r="F331" i="2"/>
  <c r="G331" i="2"/>
  <c r="H331" i="2"/>
  <c r="I331" i="2"/>
  <c r="J331" i="2"/>
  <c r="K331" i="2"/>
  <c r="L331" i="2"/>
  <c r="M331" i="2"/>
  <c r="N331" i="2"/>
  <c r="O331" i="2"/>
  <c r="Q331" i="2"/>
  <c r="R331" i="2"/>
  <c r="S331" i="2"/>
  <c r="T331" i="2"/>
  <c r="U331" i="2"/>
  <c r="V331" i="2"/>
  <c r="W331" i="2"/>
  <c r="X331" i="2"/>
  <c r="E332" i="2"/>
  <c r="F332" i="2"/>
  <c r="G332" i="2"/>
  <c r="H332" i="2"/>
  <c r="I332" i="2"/>
  <c r="J332" i="2"/>
  <c r="K332" i="2"/>
  <c r="L332" i="2"/>
  <c r="M332" i="2"/>
  <c r="N332" i="2"/>
  <c r="O332" i="2"/>
  <c r="Q332" i="2"/>
  <c r="R332" i="2"/>
  <c r="S332" i="2"/>
  <c r="T332" i="2"/>
  <c r="U332" i="2"/>
  <c r="V332" i="2"/>
  <c r="W332" i="2"/>
  <c r="X332" i="2"/>
  <c r="E333" i="2"/>
  <c r="F333" i="2"/>
  <c r="G333" i="2"/>
  <c r="H333" i="2"/>
  <c r="I333" i="2"/>
  <c r="J333" i="2"/>
  <c r="K333" i="2"/>
  <c r="L333" i="2"/>
  <c r="M333" i="2"/>
  <c r="N333" i="2"/>
  <c r="O333" i="2"/>
  <c r="Q333" i="2"/>
  <c r="R333" i="2"/>
  <c r="S333" i="2"/>
  <c r="T333" i="2"/>
  <c r="U333" i="2"/>
  <c r="V333" i="2"/>
  <c r="W333" i="2"/>
  <c r="X333" i="2"/>
  <c r="E334" i="2"/>
  <c r="F334" i="2"/>
  <c r="G334" i="2"/>
  <c r="H334" i="2"/>
  <c r="I334" i="2"/>
  <c r="J334" i="2"/>
  <c r="K334" i="2"/>
  <c r="L334" i="2"/>
  <c r="M334" i="2"/>
  <c r="N334" i="2"/>
  <c r="O334" i="2"/>
  <c r="P334" i="2" s="1"/>
  <c r="Q334" i="2"/>
  <c r="R334" i="2"/>
  <c r="S334" i="2"/>
  <c r="T334" i="2"/>
  <c r="U334" i="2"/>
  <c r="V334" i="2"/>
  <c r="W334" i="2"/>
  <c r="X334" i="2"/>
  <c r="E335" i="2"/>
  <c r="F335" i="2"/>
  <c r="G335" i="2"/>
  <c r="H335" i="2"/>
  <c r="I335" i="2"/>
  <c r="J335" i="2"/>
  <c r="K335" i="2"/>
  <c r="L335" i="2"/>
  <c r="M335" i="2"/>
  <c r="N335" i="2"/>
  <c r="O335" i="2"/>
  <c r="P335" i="2" s="1"/>
  <c r="Q335" i="2"/>
  <c r="R335" i="2"/>
  <c r="S335" i="2"/>
  <c r="T335" i="2"/>
  <c r="U335" i="2"/>
  <c r="V335" i="2"/>
  <c r="W335" i="2"/>
  <c r="X335" i="2"/>
  <c r="E336" i="2"/>
  <c r="F336" i="2"/>
  <c r="G336" i="2"/>
  <c r="H336" i="2"/>
  <c r="I336" i="2"/>
  <c r="J336" i="2"/>
  <c r="K336" i="2"/>
  <c r="L336" i="2"/>
  <c r="M336" i="2"/>
  <c r="N336" i="2"/>
  <c r="O336" i="2"/>
  <c r="P336" i="2" s="1"/>
  <c r="Q336" i="2"/>
  <c r="R336" i="2"/>
  <c r="S336" i="2"/>
  <c r="T336" i="2"/>
  <c r="U336" i="2"/>
  <c r="V336" i="2"/>
  <c r="W336" i="2"/>
  <c r="X336" i="2"/>
  <c r="E337" i="2"/>
  <c r="F337" i="2"/>
  <c r="G337" i="2"/>
  <c r="H337" i="2"/>
  <c r="I337" i="2"/>
  <c r="J337" i="2"/>
  <c r="K337" i="2"/>
  <c r="L337" i="2"/>
  <c r="M337" i="2"/>
  <c r="N337" i="2"/>
  <c r="O337" i="2"/>
  <c r="Q337" i="2"/>
  <c r="R337" i="2"/>
  <c r="S337" i="2"/>
  <c r="T337" i="2"/>
  <c r="U337" i="2"/>
  <c r="V337" i="2"/>
  <c r="W337" i="2"/>
  <c r="X337" i="2"/>
  <c r="E338" i="2"/>
  <c r="F338" i="2"/>
  <c r="G338" i="2"/>
  <c r="H338" i="2"/>
  <c r="I338" i="2"/>
  <c r="J338" i="2"/>
  <c r="K338" i="2"/>
  <c r="L338" i="2"/>
  <c r="M338" i="2"/>
  <c r="N338" i="2"/>
  <c r="O338" i="2"/>
  <c r="Q338" i="2"/>
  <c r="R338" i="2"/>
  <c r="S338" i="2"/>
  <c r="T338" i="2"/>
  <c r="U338" i="2"/>
  <c r="V338" i="2"/>
  <c r="W338" i="2"/>
  <c r="X338" i="2"/>
  <c r="E339" i="2"/>
  <c r="F339" i="2"/>
  <c r="G339" i="2"/>
  <c r="H339" i="2"/>
  <c r="I339" i="2"/>
  <c r="J339" i="2"/>
  <c r="K339" i="2"/>
  <c r="L339" i="2"/>
  <c r="M339" i="2"/>
  <c r="N339" i="2"/>
  <c r="O339" i="2"/>
  <c r="Q339" i="2"/>
  <c r="R339" i="2"/>
  <c r="S339" i="2"/>
  <c r="T339" i="2"/>
  <c r="U339" i="2"/>
  <c r="V339" i="2"/>
  <c r="W339" i="2"/>
  <c r="X339" i="2"/>
  <c r="E340" i="2"/>
  <c r="F340" i="2"/>
  <c r="G340" i="2"/>
  <c r="H340" i="2"/>
  <c r="I340" i="2"/>
  <c r="J340" i="2"/>
  <c r="K340" i="2"/>
  <c r="L340" i="2"/>
  <c r="M340" i="2"/>
  <c r="N340" i="2"/>
  <c r="O340" i="2"/>
  <c r="P340" i="2" s="1"/>
  <c r="Q340" i="2"/>
  <c r="R340" i="2"/>
  <c r="S340" i="2"/>
  <c r="T340" i="2"/>
  <c r="U340" i="2"/>
  <c r="V340" i="2"/>
  <c r="W340" i="2"/>
  <c r="X340" i="2"/>
  <c r="E341" i="2"/>
  <c r="F341" i="2"/>
  <c r="G341" i="2"/>
  <c r="H341" i="2"/>
  <c r="I341" i="2"/>
  <c r="J341" i="2"/>
  <c r="K341" i="2"/>
  <c r="L341" i="2"/>
  <c r="M341" i="2"/>
  <c r="N341" i="2"/>
  <c r="O341" i="2"/>
  <c r="P341" i="2" s="1"/>
  <c r="Q341" i="2"/>
  <c r="R341" i="2"/>
  <c r="S341" i="2"/>
  <c r="T341" i="2"/>
  <c r="U341" i="2"/>
  <c r="V341" i="2"/>
  <c r="W341" i="2"/>
  <c r="X341" i="2"/>
  <c r="E342" i="2"/>
  <c r="F342" i="2"/>
  <c r="G342" i="2"/>
  <c r="H342" i="2"/>
  <c r="I342" i="2"/>
  <c r="J342" i="2"/>
  <c r="K342" i="2"/>
  <c r="L342" i="2"/>
  <c r="M342" i="2"/>
  <c r="N342" i="2"/>
  <c r="O342" i="2"/>
  <c r="P342" i="2" s="1"/>
  <c r="Q342" i="2"/>
  <c r="R342" i="2"/>
  <c r="S342" i="2"/>
  <c r="T342" i="2"/>
  <c r="U342" i="2"/>
  <c r="V342" i="2"/>
  <c r="W342" i="2"/>
  <c r="X342" i="2"/>
  <c r="E343" i="2"/>
  <c r="F343" i="2"/>
  <c r="G343" i="2"/>
  <c r="H343" i="2"/>
  <c r="I343" i="2"/>
  <c r="J343" i="2"/>
  <c r="K343" i="2"/>
  <c r="L343" i="2"/>
  <c r="M343" i="2"/>
  <c r="N343" i="2"/>
  <c r="O343" i="2"/>
  <c r="Q343" i="2"/>
  <c r="R343" i="2"/>
  <c r="S343" i="2"/>
  <c r="T343" i="2"/>
  <c r="U343" i="2"/>
  <c r="V343" i="2"/>
  <c r="W343" i="2"/>
  <c r="X343" i="2"/>
  <c r="E344" i="2"/>
  <c r="F344" i="2"/>
  <c r="G344" i="2"/>
  <c r="H344" i="2"/>
  <c r="I344" i="2"/>
  <c r="J344" i="2"/>
  <c r="K344" i="2"/>
  <c r="L344" i="2"/>
  <c r="M344" i="2"/>
  <c r="N344" i="2"/>
  <c r="O344" i="2"/>
  <c r="Q344" i="2"/>
  <c r="R344" i="2"/>
  <c r="S344" i="2"/>
  <c r="T344" i="2"/>
  <c r="U344" i="2"/>
  <c r="V344" i="2"/>
  <c r="W344" i="2"/>
  <c r="X344" i="2"/>
  <c r="E345" i="2"/>
  <c r="F345" i="2"/>
  <c r="G345" i="2"/>
  <c r="H345" i="2"/>
  <c r="I345" i="2"/>
  <c r="J345" i="2"/>
  <c r="K345" i="2"/>
  <c r="L345" i="2"/>
  <c r="M345" i="2"/>
  <c r="N345" i="2"/>
  <c r="O345" i="2"/>
  <c r="Q345" i="2"/>
  <c r="R345" i="2"/>
  <c r="S345" i="2"/>
  <c r="T345" i="2"/>
  <c r="U345" i="2"/>
  <c r="V345" i="2"/>
  <c r="W345" i="2"/>
  <c r="X345" i="2"/>
  <c r="E346" i="2"/>
  <c r="F346" i="2"/>
  <c r="G346" i="2"/>
  <c r="H346" i="2"/>
  <c r="I346" i="2"/>
  <c r="J346" i="2"/>
  <c r="K346" i="2"/>
  <c r="L346" i="2"/>
  <c r="M346" i="2"/>
  <c r="N346" i="2"/>
  <c r="O346" i="2"/>
  <c r="P346" i="2" s="1"/>
  <c r="Q346" i="2"/>
  <c r="R346" i="2"/>
  <c r="S346" i="2"/>
  <c r="T346" i="2"/>
  <c r="U346" i="2"/>
  <c r="V346" i="2"/>
  <c r="W346" i="2"/>
  <c r="X346" i="2"/>
  <c r="E347" i="2"/>
  <c r="F347" i="2"/>
  <c r="G347" i="2"/>
  <c r="H347" i="2"/>
  <c r="I347" i="2"/>
  <c r="J347" i="2"/>
  <c r="K347" i="2"/>
  <c r="L347" i="2"/>
  <c r="M347" i="2"/>
  <c r="N347" i="2"/>
  <c r="O347" i="2"/>
  <c r="P347" i="2" s="1"/>
  <c r="Q347" i="2"/>
  <c r="R347" i="2"/>
  <c r="S347" i="2"/>
  <c r="T347" i="2"/>
  <c r="U347" i="2"/>
  <c r="V347" i="2"/>
  <c r="W347" i="2"/>
  <c r="X347" i="2"/>
  <c r="E348" i="2"/>
  <c r="F348" i="2"/>
  <c r="G348" i="2"/>
  <c r="H348" i="2"/>
  <c r="I348" i="2"/>
  <c r="J348" i="2"/>
  <c r="K348" i="2"/>
  <c r="L348" i="2"/>
  <c r="M348" i="2"/>
  <c r="N348" i="2"/>
  <c r="O348" i="2"/>
  <c r="P348" i="2" s="1"/>
  <c r="Q348" i="2"/>
  <c r="R348" i="2"/>
  <c r="S348" i="2"/>
  <c r="T348" i="2"/>
  <c r="U348" i="2"/>
  <c r="V348" i="2"/>
  <c r="W348" i="2"/>
  <c r="X348" i="2"/>
  <c r="E349" i="2"/>
  <c r="F349" i="2"/>
  <c r="G349" i="2"/>
  <c r="H349" i="2"/>
  <c r="I349" i="2"/>
  <c r="J349" i="2"/>
  <c r="K349" i="2"/>
  <c r="L349" i="2"/>
  <c r="M349" i="2"/>
  <c r="N349" i="2"/>
  <c r="O349" i="2"/>
  <c r="Q349" i="2"/>
  <c r="R349" i="2"/>
  <c r="S349" i="2"/>
  <c r="T349" i="2"/>
  <c r="U349" i="2"/>
  <c r="V349" i="2"/>
  <c r="W349" i="2"/>
  <c r="X349" i="2"/>
  <c r="E350" i="2"/>
  <c r="F350" i="2"/>
  <c r="G350" i="2"/>
  <c r="H350" i="2"/>
  <c r="I350" i="2"/>
  <c r="J350" i="2"/>
  <c r="K350" i="2"/>
  <c r="L350" i="2"/>
  <c r="M350" i="2"/>
  <c r="N350" i="2"/>
  <c r="O350" i="2"/>
  <c r="Q350" i="2"/>
  <c r="R350" i="2"/>
  <c r="S350" i="2"/>
  <c r="T350" i="2"/>
  <c r="U350" i="2"/>
  <c r="V350" i="2"/>
  <c r="W350" i="2"/>
  <c r="X350" i="2"/>
  <c r="E351" i="2"/>
  <c r="F351" i="2"/>
  <c r="G351" i="2"/>
  <c r="H351" i="2"/>
  <c r="I351" i="2"/>
  <c r="J351" i="2"/>
  <c r="K351" i="2"/>
  <c r="L351" i="2"/>
  <c r="M351" i="2"/>
  <c r="N351" i="2"/>
  <c r="O351" i="2"/>
  <c r="Q351" i="2"/>
  <c r="R351" i="2"/>
  <c r="S351" i="2"/>
  <c r="T351" i="2"/>
  <c r="U351" i="2"/>
  <c r="V351" i="2"/>
  <c r="W351" i="2"/>
  <c r="X351" i="2"/>
  <c r="E352" i="2"/>
  <c r="F352" i="2"/>
  <c r="G352" i="2"/>
  <c r="H352" i="2"/>
  <c r="I352" i="2"/>
  <c r="J352" i="2"/>
  <c r="K352" i="2"/>
  <c r="L352" i="2"/>
  <c r="M352" i="2"/>
  <c r="N352" i="2"/>
  <c r="O352" i="2"/>
  <c r="P352" i="2" s="1"/>
  <c r="Q352" i="2"/>
  <c r="R352" i="2"/>
  <c r="S352" i="2"/>
  <c r="T352" i="2"/>
  <c r="U352" i="2"/>
  <c r="V352" i="2"/>
  <c r="W352" i="2"/>
  <c r="X352" i="2"/>
  <c r="E353" i="2"/>
  <c r="F353" i="2"/>
  <c r="G353" i="2"/>
  <c r="H353" i="2"/>
  <c r="I353" i="2"/>
  <c r="J353" i="2"/>
  <c r="K353" i="2"/>
  <c r="L353" i="2"/>
  <c r="M353" i="2"/>
  <c r="N353" i="2"/>
  <c r="O353" i="2"/>
  <c r="P353" i="2" s="1"/>
  <c r="Q353" i="2"/>
  <c r="R353" i="2"/>
  <c r="S353" i="2"/>
  <c r="T353" i="2"/>
  <c r="U353" i="2"/>
  <c r="V353" i="2"/>
  <c r="W353" i="2"/>
  <c r="X353" i="2"/>
  <c r="E354" i="2"/>
  <c r="F354" i="2"/>
  <c r="G354" i="2"/>
  <c r="H354" i="2"/>
  <c r="I354" i="2"/>
  <c r="J354" i="2"/>
  <c r="K354" i="2"/>
  <c r="L354" i="2"/>
  <c r="M354" i="2"/>
  <c r="N354" i="2"/>
  <c r="O354" i="2"/>
  <c r="P354" i="2" s="1"/>
  <c r="Q354" i="2"/>
  <c r="R354" i="2"/>
  <c r="S354" i="2"/>
  <c r="T354" i="2"/>
  <c r="U354" i="2"/>
  <c r="V354" i="2"/>
  <c r="W354" i="2"/>
  <c r="X354" i="2"/>
  <c r="E355" i="2"/>
  <c r="F355" i="2"/>
  <c r="G355" i="2"/>
  <c r="H355" i="2"/>
  <c r="I355" i="2"/>
  <c r="J355" i="2"/>
  <c r="K355" i="2"/>
  <c r="L355" i="2"/>
  <c r="M355" i="2"/>
  <c r="N355" i="2"/>
  <c r="O355" i="2"/>
  <c r="Q355" i="2"/>
  <c r="R355" i="2"/>
  <c r="S355" i="2"/>
  <c r="T355" i="2"/>
  <c r="U355" i="2"/>
  <c r="V355" i="2"/>
  <c r="W355" i="2"/>
  <c r="X355" i="2"/>
  <c r="E356" i="2"/>
  <c r="F356" i="2"/>
  <c r="G356" i="2"/>
  <c r="H356" i="2"/>
  <c r="I356" i="2"/>
  <c r="J356" i="2"/>
  <c r="K356" i="2"/>
  <c r="L356" i="2"/>
  <c r="M356" i="2"/>
  <c r="N356" i="2"/>
  <c r="O356" i="2"/>
  <c r="Q356" i="2"/>
  <c r="R356" i="2"/>
  <c r="S356" i="2"/>
  <c r="T356" i="2"/>
  <c r="U356" i="2"/>
  <c r="V356" i="2"/>
  <c r="W356" i="2"/>
  <c r="X356" i="2"/>
  <c r="E357" i="2"/>
  <c r="F357" i="2"/>
  <c r="G357" i="2"/>
  <c r="H357" i="2"/>
  <c r="I357" i="2"/>
  <c r="J357" i="2"/>
  <c r="K357" i="2"/>
  <c r="L357" i="2"/>
  <c r="M357" i="2"/>
  <c r="N357" i="2"/>
  <c r="O357" i="2"/>
  <c r="Q357" i="2"/>
  <c r="R357" i="2"/>
  <c r="S357" i="2"/>
  <c r="T357" i="2"/>
  <c r="U357" i="2"/>
  <c r="V357" i="2"/>
  <c r="W357" i="2"/>
  <c r="X357" i="2"/>
  <c r="E358" i="2"/>
  <c r="F358" i="2"/>
  <c r="G358" i="2"/>
  <c r="H358" i="2"/>
  <c r="I358" i="2"/>
  <c r="J358" i="2"/>
  <c r="K358" i="2"/>
  <c r="L358" i="2"/>
  <c r="M358" i="2"/>
  <c r="N358" i="2"/>
  <c r="O358" i="2"/>
  <c r="P358" i="2" s="1"/>
  <c r="Q358" i="2"/>
  <c r="R358" i="2"/>
  <c r="S358" i="2"/>
  <c r="T358" i="2"/>
  <c r="U358" i="2"/>
  <c r="V358" i="2"/>
  <c r="W358" i="2"/>
  <c r="X358" i="2"/>
  <c r="E359" i="2"/>
  <c r="F359" i="2"/>
  <c r="G359" i="2"/>
  <c r="H359" i="2"/>
  <c r="I359" i="2"/>
  <c r="J359" i="2"/>
  <c r="K359" i="2"/>
  <c r="L359" i="2"/>
  <c r="M359" i="2"/>
  <c r="N359" i="2"/>
  <c r="O359" i="2"/>
  <c r="P359" i="2" s="1"/>
  <c r="Q359" i="2"/>
  <c r="R359" i="2"/>
  <c r="S359" i="2"/>
  <c r="T359" i="2"/>
  <c r="U359" i="2"/>
  <c r="V359" i="2"/>
  <c r="W359" i="2"/>
  <c r="X359" i="2"/>
  <c r="E360" i="2"/>
  <c r="F360" i="2"/>
  <c r="G360" i="2"/>
  <c r="H360" i="2"/>
  <c r="I360" i="2"/>
  <c r="J360" i="2"/>
  <c r="K360" i="2"/>
  <c r="L360" i="2"/>
  <c r="M360" i="2"/>
  <c r="N360" i="2"/>
  <c r="O360" i="2"/>
  <c r="P360" i="2" s="1"/>
  <c r="Q360" i="2"/>
  <c r="R360" i="2"/>
  <c r="S360" i="2"/>
  <c r="T360" i="2"/>
  <c r="U360" i="2"/>
  <c r="V360" i="2"/>
  <c r="W360" i="2"/>
  <c r="X360" i="2"/>
  <c r="E361" i="2"/>
  <c r="F361" i="2"/>
  <c r="G361" i="2"/>
  <c r="H361" i="2"/>
  <c r="I361" i="2"/>
  <c r="J361" i="2"/>
  <c r="K361" i="2"/>
  <c r="L361" i="2"/>
  <c r="M361" i="2"/>
  <c r="N361" i="2"/>
  <c r="O361" i="2"/>
  <c r="Q361" i="2"/>
  <c r="R361" i="2"/>
  <c r="S361" i="2"/>
  <c r="T361" i="2"/>
  <c r="U361" i="2"/>
  <c r="V361" i="2"/>
  <c r="W361" i="2"/>
  <c r="X361" i="2"/>
  <c r="E362" i="2"/>
  <c r="F362" i="2"/>
  <c r="G362" i="2"/>
  <c r="H362" i="2"/>
  <c r="I362" i="2"/>
  <c r="J362" i="2"/>
  <c r="K362" i="2"/>
  <c r="L362" i="2"/>
  <c r="M362" i="2"/>
  <c r="N362" i="2"/>
  <c r="O362" i="2"/>
  <c r="Q362" i="2"/>
  <c r="R362" i="2"/>
  <c r="S362" i="2"/>
  <c r="T362" i="2"/>
  <c r="U362" i="2"/>
  <c r="V362" i="2"/>
  <c r="W362" i="2"/>
  <c r="X362" i="2"/>
  <c r="E363" i="2"/>
  <c r="F363" i="2"/>
  <c r="G363" i="2"/>
  <c r="H363" i="2"/>
  <c r="I363" i="2"/>
  <c r="J363" i="2"/>
  <c r="K363" i="2"/>
  <c r="L363" i="2"/>
  <c r="M363" i="2"/>
  <c r="N363" i="2"/>
  <c r="O363" i="2"/>
  <c r="Q363" i="2"/>
  <c r="R363" i="2"/>
  <c r="S363" i="2"/>
  <c r="T363" i="2"/>
  <c r="U363" i="2"/>
  <c r="V363" i="2"/>
  <c r="W363" i="2"/>
  <c r="X363" i="2"/>
  <c r="E364" i="2"/>
  <c r="F364" i="2"/>
  <c r="G364" i="2"/>
  <c r="H364" i="2"/>
  <c r="I364" i="2"/>
  <c r="J364" i="2"/>
  <c r="K364" i="2"/>
  <c r="L364" i="2"/>
  <c r="M364" i="2"/>
  <c r="N364" i="2"/>
  <c r="O364" i="2"/>
  <c r="P364" i="2" s="1"/>
  <c r="Q364" i="2"/>
  <c r="R364" i="2"/>
  <c r="S364" i="2"/>
  <c r="T364" i="2"/>
  <c r="U364" i="2"/>
  <c r="V364" i="2"/>
  <c r="W364" i="2"/>
  <c r="X364" i="2"/>
  <c r="E365" i="2"/>
  <c r="F365" i="2"/>
  <c r="G365" i="2"/>
  <c r="H365" i="2"/>
  <c r="I365" i="2"/>
  <c r="J365" i="2"/>
  <c r="K365" i="2"/>
  <c r="L365" i="2"/>
  <c r="M365" i="2"/>
  <c r="N365" i="2"/>
  <c r="O365" i="2"/>
  <c r="P365" i="2" s="1"/>
  <c r="Q365" i="2"/>
  <c r="R365" i="2"/>
  <c r="S365" i="2"/>
  <c r="T365" i="2"/>
  <c r="U365" i="2"/>
  <c r="V365" i="2"/>
  <c r="W365" i="2"/>
  <c r="X365" i="2"/>
  <c r="E366" i="2"/>
  <c r="F366" i="2"/>
  <c r="G366" i="2"/>
  <c r="H366" i="2"/>
  <c r="I366" i="2"/>
  <c r="J366" i="2"/>
  <c r="K366" i="2"/>
  <c r="L366" i="2"/>
  <c r="M366" i="2"/>
  <c r="N366" i="2"/>
  <c r="O366" i="2"/>
  <c r="P366" i="2" s="1"/>
  <c r="Q366" i="2"/>
  <c r="R366" i="2"/>
  <c r="S366" i="2"/>
  <c r="T366" i="2"/>
  <c r="U366" i="2"/>
  <c r="V366" i="2"/>
  <c r="W366" i="2"/>
  <c r="X366" i="2"/>
  <c r="E367" i="2"/>
  <c r="F367" i="2"/>
  <c r="G367" i="2"/>
  <c r="H367" i="2"/>
  <c r="I367" i="2"/>
  <c r="J367" i="2"/>
  <c r="K367" i="2"/>
  <c r="L367" i="2"/>
  <c r="M367" i="2"/>
  <c r="N367" i="2"/>
  <c r="O367" i="2"/>
  <c r="Q367" i="2"/>
  <c r="R367" i="2"/>
  <c r="S367" i="2"/>
  <c r="T367" i="2"/>
  <c r="U367" i="2"/>
  <c r="V367" i="2"/>
  <c r="W367" i="2"/>
  <c r="X367" i="2"/>
  <c r="E368" i="2"/>
  <c r="F368" i="2"/>
  <c r="G368" i="2"/>
  <c r="H368" i="2"/>
  <c r="I368" i="2"/>
  <c r="J368" i="2"/>
  <c r="K368" i="2"/>
  <c r="L368" i="2"/>
  <c r="M368" i="2"/>
  <c r="N368" i="2"/>
  <c r="O368" i="2"/>
  <c r="Q368" i="2"/>
  <c r="R368" i="2"/>
  <c r="S368" i="2"/>
  <c r="T368" i="2"/>
  <c r="U368" i="2"/>
  <c r="V368" i="2"/>
  <c r="W368" i="2"/>
  <c r="X368" i="2"/>
  <c r="E369" i="2"/>
  <c r="F369" i="2"/>
  <c r="G369" i="2"/>
  <c r="H369" i="2"/>
  <c r="I369" i="2"/>
  <c r="J369" i="2"/>
  <c r="K369" i="2"/>
  <c r="L369" i="2"/>
  <c r="M369" i="2"/>
  <c r="N369" i="2"/>
  <c r="O369" i="2"/>
  <c r="Q369" i="2"/>
  <c r="R369" i="2"/>
  <c r="S369" i="2"/>
  <c r="T369" i="2"/>
  <c r="U369" i="2"/>
  <c r="V369" i="2"/>
  <c r="W369" i="2"/>
  <c r="X369" i="2"/>
  <c r="E370" i="2"/>
  <c r="F370" i="2"/>
  <c r="G370" i="2"/>
  <c r="H370" i="2"/>
  <c r="I370" i="2"/>
  <c r="J370" i="2"/>
  <c r="K370" i="2"/>
  <c r="L370" i="2"/>
  <c r="M370" i="2"/>
  <c r="N370" i="2"/>
  <c r="O370" i="2"/>
  <c r="P370" i="2" s="1"/>
  <c r="Q370" i="2"/>
  <c r="R370" i="2"/>
  <c r="S370" i="2"/>
  <c r="T370" i="2"/>
  <c r="U370" i="2"/>
  <c r="V370" i="2"/>
  <c r="W370" i="2"/>
  <c r="X370" i="2"/>
  <c r="E371" i="2"/>
  <c r="F371" i="2"/>
  <c r="G371" i="2"/>
  <c r="H371" i="2"/>
  <c r="I371" i="2"/>
  <c r="J371" i="2"/>
  <c r="K371" i="2"/>
  <c r="L371" i="2"/>
  <c r="M371" i="2"/>
  <c r="N371" i="2"/>
  <c r="O371" i="2"/>
  <c r="P371" i="2" s="1"/>
  <c r="Q371" i="2"/>
  <c r="R371" i="2"/>
  <c r="S371" i="2"/>
  <c r="T371" i="2"/>
  <c r="U371" i="2"/>
  <c r="V371" i="2"/>
  <c r="W371" i="2"/>
  <c r="X371" i="2"/>
  <c r="E372" i="2"/>
  <c r="F372" i="2"/>
  <c r="G372" i="2"/>
  <c r="H372" i="2"/>
  <c r="I372" i="2"/>
  <c r="J372" i="2"/>
  <c r="K372" i="2"/>
  <c r="L372" i="2"/>
  <c r="M372" i="2"/>
  <c r="N372" i="2"/>
  <c r="O372" i="2"/>
  <c r="P372" i="2" s="1"/>
  <c r="Q372" i="2"/>
  <c r="R372" i="2"/>
  <c r="S372" i="2"/>
  <c r="T372" i="2"/>
  <c r="U372" i="2"/>
  <c r="V372" i="2"/>
  <c r="W372" i="2"/>
  <c r="X372" i="2"/>
  <c r="E373" i="2"/>
  <c r="F373" i="2"/>
  <c r="G373" i="2"/>
  <c r="H373" i="2"/>
  <c r="I373" i="2"/>
  <c r="J373" i="2"/>
  <c r="K373" i="2"/>
  <c r="L373" i="2"/>
  <c r="M373" i="2"/>
  <c r="N373" i="2"/>
  <c r="O373" i="2"/>
  <c r="Q373" i="2"/>
  <c r="R373" i="2"/>
  <c r="S373" i="2"/>
  <c r="T373" i="2"/>
  <c r="U373" i="2"/>
  <c r="V373" i="2"/>
  <c r="W373" i="2"/>
  <c r="X373" i="2"/>
  <c r="E374" i="2"/>
  <c r="F374" i="2"/>
  <c r="G374" i="2"/>
  <c r="H374" i="2"/>
  <c r="I374" i="2"/>
  <c r="J374" i="2"/>
  <c r="K374" i="2"/>
  <c r="L374" i="2"/>
  <c r="M374" i="2"/>
  <c r="N374" i="2"/>
  <c r="O374" i="2"/>
  <c r="Q374" i="2"/>
  <c r="R374" i="2"/>
  <c r="S374" i="2"/>
  <c r="T374" i="2"/>
  <c r="U374" i="2"/>
  <c r="V374" i="2"/>
  <c r="W374" i="2"/>
  <c r="X374" i="2"/>
  <c r="E375" i="2"/>
  <c r="F375" i="2"/>
  <c r="G375" i="2"/>
  <c r="H375" i="2"/>
  <c r="I375" i="2"/>
  <c r="J375" i="2"/>
  <c r="K375" i="2"/>
  <c r="L375" i="2"/>
  <c r="M375" i="2"/>
  <c r="N375" i="2"/>
  <c r="O375" i="2"/>
  <c r="Q375" i="2"/>
  <c r="R375" i="2"/>
  <c r="S375" i="2"/>
  <c r="T375" i="2"/>
  <c r="U375" i="2"/>
  <c r="V375" i="2"/>
  <c r="W375" i="2"/>
  <c r="X375" i="2"/>
  <c r="E376" i="2"/>
  <c r="F376" i="2"/>
  <c r="G376" i="2"/>
  <c r="H376" i="2"/>
  <c r="I376" i="2"/>
  <c r="J376" i="2"/>
  <c r="K376" i="2"/>
  <c r="L376" i="2"/>
  <c r="M376" i="2"/>
  <c r="N376" i="2"/>
  <c r="O376" i="2"/>
  <c r="P376" i="2" s="1"/>
  <c r="Q376" i="2"/>
  <c r="R376" i="2"/>
  <c r="S376" i="2"/>
  <c r="T376" i="2"/>
  <c r="U376" i="2"/>
  <c r="V376" i="2"/>
  <c r="W376" i="2"/>
  <c r="X376" i="2"/>
  <c r="E377" i="2"/>
  <c r="F377" i="2"/>
  <c r="G377" i="2"/>
  <c r="H377" i="2"/>
  <c r="I377" i="2"/>
  <c r="J377" i="2"/>
  <c r="K377" i="2"/>
  <c r="L377" i="2"/>
  <c r="M377" i="2"/>
  <c r="N377" i="2"/>
  <c r="O377" i="2"/>
  <c r="P377" i="2" s="1"/>
  <c r="Q377" i="2"/>
  <c r="R377" i="2"/>
  <c r="S377" i="2"/>
  <c r="T377" i="2"/>
  <c r="U377" i="2"/>
  <c r="V377" i="2"/>
  <c r="W377" i="2"/>
  <c r="X377" i="2"/>
  <c r="E378" i="2"/>
  <c r="F378" i="2"/>
  <c r="G378" i="2"/>
  <c r="H378" i="2"/>
  <c r="I378" i="2"/>
  <c r="J378" i="2"/>
  <c r="K378" i="2"/>
  <c r="L378" i="2"/>
  <c r="M378" i="2"/>
  <c r="N378" i="2"/>
  <c r="O378" i="2"/>
  <c r="P378" i="2" s="1"/>
  <c r="Q378" i="2"/>
  <c r="R378" i="2"/>
  <c r="S378" i="2"/>
  <c r="T378" i="2"/>
  <c r="U378" i="2"/>
  <c r="V378" i="2"/>
  <c r="W378" i="2"/>
  <c r="X378" i="2"/>
  <c r="E379" i="2"/>
  <c r="F379" i="2"/>
  <c r="G379" i="2"/>
  <c r="H379" i="2"/>
  <c r="I379" i="2"/>
  <c r="J379" i="2"/>
  <c r="K379" i="2"/>
  <c r="L379" i="2"/>
  <c r="M379" i="2"/>
  <c r="N379" i="2"/>
  <c r="O379" i="2"/>
  <c r="Q379" i="2"/>
  <c r="R379" i="2"/>
  <c r="S379" i="2"/>
  <c r="T379" i="2"/>
  <c r="U379" i="2"/>
  <c r="V379" i="2"/>
  <c r="W379" i="2"/>
  <c r="X379" i="2"/>
  <c r="X296" i="2"/>
  <c r="W296" i="2"/>
  <c r="V296" i="2"/>
  <c r="U296" i="2"/>
  <c r="T296" i="2"/>
  <c r="S296" i="2"/>
  <c r="R296" i="2"/>
  <c r="Q296" i="2"/>
  <c r="O296" i="2"/>
  <c r="P296" i="2" s="1"/>
  <c r="N296" i="2"/>
  <c r="M296" i="2"/>
  <c r="L296" i="2"/>
  <c r="K296" i="2"/>
  <c r="J296" i="2"/>
  <c r="I296" i="2"/>
  <c r="H296" i="2"/>
  <c r="G296" i="2"/>
  <c r="F296" i="2"/>
  <c r="E296" i="2"/>
  <c r="E184" i="2"/>
  <c r="F184" i="2"/>
  <c r="G184" i="2"/>
  <c r="H184" i="2"/>
  <c r="I184" i="2"/>
  <c r="J184" i="2"/>
  <c r="K184" i="2"/>
  <c r="L184" i="2"/>
  <c r="M184" i="2"/>
  <c r="N184" i="2"/>
  <c r="O184" i="2"/>
  <c r="Q184" i="2"/>
  <c r="R184" i="2"/>
  <c r="S184" i="2"/>
  <c r="T184" i="2"/>
  <c r="U184" i="2"/>
  <c r="V184" i="2"/>
  <c r="W184" i="2"/>
  <c r="X184" i="2"/>
  <c r="E185" i="2"/>
  <c r="F185" i="2"/>
  <c r="G185" i="2"/>
  <c r="H185" i="2"/>
  <c r="I185" i="2"/>
  <c r="J185" i="2"/>
  <c r="K185" i="2"/>
  <c r="L185" i="2"/>
  <c r="M185" i="2"/>
  <c r="N185" i="2"/>
  <c r="O185" i="2"/>
  <c r="P185" i="2" s="1"/>
  <c r="Q185" i="2"/>
  <c r="R185" i="2"/>
  <c r="S185" i="2"/>
  <c r="T185" i="2"/>
  <c r="U185" i="2"/>
  <c r="V185" i="2"/>
  <c r="W185" i="2"/>
  <c r="X185" i="2"/>
  <c r="E186" i="2"/>
  <c r="F186" i="2"/>
  <c r="G186" i="2"/>
  <c r="H186" i="2"/>
  <c r="I186" i="2"/>
  <c r="J186" i="2"/>
  <c r="K186" i="2"/>
  <c r="L186" i="2"/>
  <c r="M186" i="2"/>
  <c r="N186" i="2"/>
  <c r="O186" i="2"/>
  <c r="P186" i="2" s="1"/>
  <c r="Q186" i="2"/>
  <c r="R186" i="2"/>
  <c r="S186" i="2"/>
  <c r="T186" i="2"/>
  <c r="U186" i="2"/>
  <c r="V186" i="2"/>
  <c r="W186" i="2"/>
  <c r="X186" i="2"/>
  <c r="E187" i="2"/>
  <c r="F187" i="2"/>
  <c r="G187" i="2"/>
  <c r="H187" i="2"/>
  <c r="I187" i="2"/>
  <c r="J187" i="2"/>
  <c r="K187" i="2"/>
  <c r="L187" i="2"/>
  <c r="M187" i="2"/>
  <c r="N187" i="2"/>
  <c r="O187" i="2"/>
  <c r="P187" i="2" s="1"/>
  <c r="Q187" i="2"/>
  <c r="R187" i="2"/>
  <c r="S187" i="2"/>
  <c r="T187" i="2"/>
  <c r="U187" i="2"/>
  <c r="V187" i="2"/>
  <c r="W187" i="2"/>
  <c r="X187" i="2"/>
  <c r="E188" i="2"/>
  <c r="F188" i="2"/>
  <c r="G188" i="2"/>
  <c r="H188" i="2"/>
  <c r="I188" i="2"/>
  <c r="J188" i="2"/>
  <c r="K188" i="2"/>
  <c r="L188" i="2"/>
  <c r="M188" i="2"/>
  <c r="N188" i="2"/>
  <c r="O188" i="2"/>
  <c r="Q188" i="2"/>
  <c r="R188" i="2"/>
  <c r="S188" i="2"/>
  <c r="T188" i="2"/>
  <c r="U188" i="2"/>
  <c r="V188" i="2"/>
  <c r="W188" i="2"/>
  <c r="X188" i="2"/>
  <c r="E189" i="2"/>
  <c r="F189" i="2"/>
  <c r="G189" i="2"/>
  <c r="H189" i="2"/>
  <c r="I189" i="2"/>
  <c r="J189" i="2"/>
  <c r="K189" i="2"/>
  <c r="L189" i="2"/>
  <c r="M189" i="2"/>
  <c r="N189" i="2"/>
  <c r="O189" i="2"/>
  <c r="Q189" i="2"/>
  <c r="R189" i="2"/>
  <c r="S189" i="2"/>
  <c r="T189" i="2"/>
  <c r="U189" i="2"/>
  <c r="V189" i="2"/>
  <c r="W189" i="2"/>
  <c r="X189" i="2"/>
  <c r="E190" i="2"/>
  <c r="F190" i="2"/>
  <c r="G190" i="2"/>
  <c r="H190" i="2"/>
  <c r="I190" i="2"/>
  <c r="J190" i="2"/>
  <c r="K190" i="2"/>
  <c r="L190" i="2"/>
  <c r="M190" i="2"/>
  <c r="N190" i="2"/>
  <c r="O190" i="2"/>
  <c r="Q190" i="2"/>
  <c r="R190" i="2"/>
  <c r="S190" i="2"/>
  <c r="T190" i="2"/>
  <c r="U190" i="2"/>
  <c r="V190" i="2"/>
  <c r="W190" i="2"/>
  <c r="X190" i="2"/>
  <c r="E191" i="2"/>
  <c r="F191" i="2"/>
  <c r="G191" i="2"/>
  <c r="H191" i="2"/>
  <c r="I191" i="2"/>
  <c r="J191" i="2"/>
  <c r="K191" i="2"/>
  <c r="L191" i="2"/>
  <c r="M191" i="2"/>
  <c r="N191" i="2"/>
  <c r="O191" i="2"/>
  <c r="P191" i="2" s="1"/>
  <c r="Q191" i="2"/>
  <c r="R191" i="2"/>
  <c r="S191" i="2"/>
  <c r="T191" i="2"/>
  <c r="U191" i="2"/>
  <c r="V191" i="2"/>
  <c r="W191" i="2"/>
  <c r="X191" i="2"/>
  <c r="E192" i="2"/>
  <c r="F192" i="2"/>
  <c r="G192" i="2"/>
  <c r="H192" i="2"/>
  <c r="I192" i="2"/>
  <c r="J192" i="2"/>
  <c r="K192" i="2"/>
  <c r="L192" i="2"/>
  <c r="M192" i="2"/>
  <c r="N192" i="2"/>
  <c r="O192" i="2"/>
  <c r="P192" i="2" s="1"/>
  <c r="Q192" i="2"/>
  <c r="R192" i="2"/>
  <c r="S192" i="2"/>
  <c r="T192" i="2"/>
  <c r="U192" i="2"/>
  <c r="V192" i="2"/>
  <c r="W192" i="2"/>
  <c r="X192" i="2"/>
  <c r="E193" i="2"/>
  <c r="F193" i="2"/>
  <c r="G193" i="2"/>
  <c r="H193" i="2"/>
  <c r="I193" i="2"/>
  <c r="J193" i="2"/>
  <c r="K193" i="2"/>
  <c r="L193" i="2"/>
  <c r="M193" i="2"/>
  <c r="N193" i="2"/>
  <c r="O193" i="2"/>
  <c r="P193" i="2" s="1"/>
  <c r="Q193" i="2"/>
  <c r="R193" i="2"/>
  <c r="S193" i="2"/>
  <c r="T193" i="2"/>
  <c r="U193" i="2"/>
  <c r="V193" i="2"/>
  <c r="W193" i="2"/>
  <c r="X193" i="2"/>
  <c r="E194" i="2"/>
  <c r="F194" i="2"/>
  <c r="G194" i="2"/>
  <c r="H194" i="2"/>
  <c r="I194" i="2"/>
  <c r="J194" i="2"/>
  <c r="K194" i="2"/>
  <c r="L194" i="2"/>
  <c r="M194" i="2"/>
  <c r="N194" i="2"/>
  <c r="O194" i="2"/>
  <c r="Q194" i="2"/>
  <c r="R194" i="2"/>
  <c r="S194" i="2"/>
  <c r="T194" i="2"/>
  <c r="U194" i="2"/>
  <c r="V194" i="2"/>
  <c r="W194" i="2"/>
  <c r="X194" i="2"/>
  <c r="E195" i="2"/>
  <c r="F195" i="2"/>
  <c r="G195" i="2"/>
  <c r="H195" i="2"/>
  <c r="I195" i="2"/>
  <c r="J195" i="2"/>
  <c r="K195" i="2"/>
  <c r="L195" i="2"/>
  <c r="M195" i="2"/>
  <c r="N195" i="2"/>
  <c r="O195" i="2"/>
  <c r="Q195" i="2"/>
  <c r="R195" i="2"/>
  <c r="S195" i="2"/>
  <c r="T195" i="2"/>
  <c r="U195" i="2"/>
  <c r="V195" i="2"/>
  <c r="W195" i="2"/>
  <c r="X195" i="2"/>
  <c r="E196" i="2"/>
  <c r="F196" i="2"/>
  <c r="G196" i="2"/>
  <c r="H196" i="2"/>
  <c r="I196" i="2"/>
  <c r="J196" i="2"/>
  <c r="K196" i="2"/>
  <c r="L196" i="2"/>
  <c r="M196" i="2"/>
  <c r="N196" i="2"/>
  <c r="O196" i="2"/>
  <c r="Q196" i="2"/>
  <c r="R196" i="2"/>
  <c r="S196" i="2"/>
  <c r="T196" i="2"/>
  <c r="U196" i="2"/>
  <c r="V196" i="2"/>
  <c r="W196" i="2"/>
  <c r="X196" i="2"/>
  <c r="E197" i="2"/>
  <c r="F197" i="2"/>
  <c r="G197" i="2"/>
  <c r="H197" i="2"/>
  <c r="I197" i="2"/>
  <c r="J197" i="2"/>
  <c r="K197" i="2"/>
  <c r="L197" i="2"/>
  <c r="M197" i="2"/>
  <c r="N197" i="2"/>
  <c r="O197" i="2"/>
  <c r="P197" i="2" s="1"/>
  <c r="Q197" i="2"/>
  <c r="R197" i="2"/>
  <c r="S197" i="2"/>
  <c r="T197" i="2"/>
  <c r="U197" i="2"/>
  <c r="V197" i="2"/>
  <c r="W197" i="2"/>
  <c r="X197" i="2"/>
  <c r="E198" i="2"/>
  <c r="F198" i="2"/>
  <c r="G198" i="2"/>
  <c r="H198" i="2"/>
  <c r="I198" i="2"/>
  <c r="J198" i="2"/>
  <c r="K198" i="2"/>
  <c r="L198" i="2"/>
  <c r="M198" i="2"/>
  <c r="N198" i="2"/>
  <c r="O198" i="2"/>
  <c r="P198" i="2" s="1"/>
  <c r="Q198" i="2"/>
  <c r="R198" i="2"/>
  <c r="S198" i="2"/>
  <c r="T198" i="2"/>
  <c r="U198" i="2"/>
  <c r="V198" i="2"/>
  <c r="W198" i="2"/>
  <c r="X198" i="2"/>
  <c r="E199" i="2"/>
  <c r="F199" i="2"/>
  <c r="G199" i="2"/>
  <c r="H199" i="2"/>
  <c r="I199" i="2"/>
  <c r="J199" i="2"/>
  <c r="K199" i="2"/>
  <c r="L199" i="2"/>
  <c r="M199" i="2"/>
  <c r="N199" i="2"/>
  <c r="O199" i="2"/>
  <c r="P199" i="2" s="1"/>
  <c r="Q199" i="2"/>
  <c r="R199" i="2"/>
  <c r="S199" i="2"/>
  <c r="T199" i="2"/>
  <c r="U199" i="2"/>
  <c r="V199" i="2"/>
  <c r="W199" i="2"/>
  <c r="X199" i="2"/>
  <c r="E200" i="2"/>
  <c r="F200" i="2"/>
  <c r="G200" i="2"/>
  <c r="H200" i="2"/>
  <c r="I200" i="2"/>
  <c r="J200" i="2"/>
  <c r="K200" i="2"/>
  <c r="L200" i="2"/>
  <c r="M200" i="2"/>
  <c r="N200" i="2"/>
  <c r="O200" i="2"/>
  <c r="Q200" i="2"/>
  <c r="R200" i="2"/>
  <c r="S200" i="2"/>
  <c r="T200" i="2"/>
  <c r="U200" i="2"/>
  <c r="V200" i="2"/>
  <c r="W200" i="2"/>
  <c r="X200" i="2"/>
  <c r="E201" i="2"/>
  <c r="F201" i="2"/>
  <c r="G201" i="2"/>
  <c r="H201" i="2"/>
  <c r="I201" i="2"/>
  <c r="J201" i="2"/>
  <c r="K201" i="2"/>
  <c r="L201" i="2"/>
  <c r="M201" i="2"/>
  <c r="N201" i="2"/>
  <c r="O201" i="2"/>
  <c r="Q201" i="2"/>
  <c r="R201" i="2"/>
  <c r="S201" i="2"/>
  <c r="T201" i="2"/>
  <c r="U201" i="2"/>
  <c r="V201" i="2"/>
  <c r="W201" i="2"/>
  <c r="X201" i="2"/>
  <c r="E202" i="2"/>
  <c r="F202" i="2"/>
  <c r="G202" i="2"/>
  <c r="H202" i="2"/>
  <c r="I202" i="2"/>
  <c r="J202" i="2"/>
  <c r="K202" i="2"/>
  <c r="L202" i="2"/>
  <c r="M202" i="2"/>
  <c r="N202" i="2"/>
  <c r="O202" i="2"/>
  <c r="Q202" i="2"/>
  <c r="R202" i="2"/>
  <c r="S202" i="2"/>
  <c r="T202" i="2"/>
  <c r="U202" i="2"/>
  <c r="V202" i="2"/>
  <c r="W202" i="2"/>
  <c r="X202" i="2"/>
  <c r="E203" i="2"/>
  <c r="F203" i="2"/>
  <c r="G203" i="2"/>
  <c r="H203" i="2"/>
  <c r="I203" i="2"/>
  <c r="J203" i="2"/>
  <c r="K203" i="2"/>
  <c r="L203" i="2"/>
  <c r="M203" i="2"/>
  <c r="N203" i="2"/>
  <c r="O203" i="2"/>
  <c r="P203" i="2" s="1"/>
  <c r="Q203" i="2"/>
  <c r="R203" i="2"/>
  <c r="S203" i="2"/>
  <c r="T203" i="2"/>
  <c r="U203" i="2"/>
  <c r="V203" i="2"/>
  <c r="W203" i="2"/>
  <c r="X203" i="2"/>
  <c r="E204" i="2"/>
  <c r="F204" i="2"/>
  <c r="G204" i="2"/>
  <c r="H204" i="2"/>
  <c r="I204" i="2"/>
  <c r="J204" i="2"/>
  <c r="K204" i="2"/>
  <c r="L204" i="2"/>
  <c r="M204" i="2"/>
  <c r="N204" i="2"/>
  <c r="O204" i="2"/>
  <c r="P204" i="2" s="1"/>
  <c r="Q204" i="2"/>
  <c r="R204" i="2"/>
  <c r="S204" i="2"/>
  <c r="T204" i="2"/>
  <c r="U204" i="2"/>
  <c r="V204" i="2"/>
  <c r="W204" i="2"/>
  <c r="X204" i="2"/>
  <c r="E205" i="2"/>
  <c r="F205" i="2"/>
  <c r="G205" i="2"/>
  <c r="H205" i="2"/>
  <c r="I205" i="2"/>
  <c r="J205" i="2"/>
  <c r="K205" i="2"/>
  <c r="L205" i="2"/>
  <c r="M205" i="2"/>
  <c r="N205" i="2"/>
  <c r="O205" i="2"/>
  <c r="P205" i="2" s="1"/>
  <c r="Q205" i="2"/>
  <c r="R205" i="2"/>
  <c r="S205" i="2"/>
  <c r="T205" i="2"/>
  <c r="U205" i="2"/>
  <c r="V205" i="2"/>
  <c r="W205" i="2"/>
  <c r="X205" i="2"/>
  <c r="E206" i="2"/>
  <c r="F206" i="2"/>
  <c r="G206" i="2"/>
  <c r="H206" i="2"/>
  <c r="I206" i="2"/>
  <c r="J206" i="2"/>
  <c r="K206" i="2"/>
  <c r="L206" i="2"/>
  <c r="M206" i="2"/>
  <c r="N206" i="2"/>
  <c r="O206" i="2"/>
  <c r="Q206" i="2"/>
  <c r="R206" i="2"/>
  <c r="S206" i="2"/>
  <c r="T206" i="2"/>
  <c r="U206" i="2"/>
  <c r="V206" i="2"/>
  <c r="W206" i="2"/>
  <c r="X206" i="2"/>
  <c r="E207" i="2"/>
  <c r="F207" i="2"/>
  <c r="G207" i="2"/>
  <c r="H207" i="2"/>
  <c r="I207" i="2"/>
  <c r="J207" i="2"/>
  <c r="K207" i="2"/>
  <c r="L207" i="2"/>
  <c r="M207" i="2"/>
  <c r="N207" i="2"/>
  <c r="O207" i="2"/>
  <c r="Q207" i="2"/>
  <c r="R207" i="2"/>
  <c r="S207" i="2"/>
  <c r="T207" i="2"/>
  <c r="U207" i="2"/>
  <c r="V207" i="2"/>
  <c r="W207" i="2"/>
  <c r="X207" i="2"/>
  <c r="E208" i="2"/>
  <c r="F208" i="2"/>
  <c r="G208" i="2"/>
  <c r="H208" i="2"/>
  <c r="I208" i="2"/>
  <c r="J208" i="2"/>
  <c r="K208" i="2"/>
  <c r="L208" i="2"/>
  <c r="M208" i="2"/>
  <c r="N208" i="2"/>
  <c r="O208" i="2"/>
  <c r="Q208" i="2"/>
  <c r="R208" i="2"/>
  <c r="S208" i="2"/>
  <c r="T208" i="2"/>
  <c r="U208" i="2"/>
  <c r="V208" i="2"/>
  <c r="W208" i="2"/>
  <c r="X208" i="2"/>
  <c r="E209" i="2"/>
  <c r="F209" i="2"/>
  <c r="G209" i="2"/>
  <c r="H209" i="2"/>
  <c r="I209" i="2"/>
  <c r="J209" i="2"/>
  <c r="K209" i="2"/>
  <c r="L209" i="2"/>
  <c r="M209" i="2"/>
  <c r="N209" i="2"/>
  <c r="O209" i="2"/>
  <c r="P209" i="2" s="1"/>
  <c r="Q209" i="2"/>
  <c r="R209" i="2"/>
  <c r="S209" i="2"/>
  <c r="T209" i="2"/>
  <c r="U209" i="2"/>
  <c r="V209" i="2"/>
  <c r="W209" i="2"/>
  <c r="X209" i="2"/>
  <c r="E210" i="2"/>
  <c r="F210" i="2"/>
  <c r="G210" i="2"/>
  <c r="H210" i="2"/>
  <c r="I210" i="2"/>
  <c r="J210" i="2"/>
  <c r="K210" i="2"/>
  <c r="L210" i="2"/>
  <c r="M210" i="2"/>
  <c r="N210" i="2"/>
  <c r="O210" i="2"/>
  <c r="P210" i="2" s="1"/>
  <c r="Q210" i="2"/>
  <c r="R210" i="2"/>
  <c r="S210" i="2"/>
  <c r="T210" i="2"/>
  <c r="U210" i="2"/>
  <c r="V210" i="2"/>
  <c r="W210" i="2"/>
  <c r="X210" i="2"/>
  <c r="E211" i="2"/>
  <c r="F211" i="2"/>
  <c r="G211" i="2"/>
  <c r="H211" i="2"/>
  <c r="I211" i="2"/>
  <c r="J211" i="2"/>
  <c r="K211" i="2"/>
  <c r="L211" i="2"/>
  <c r="M211" i="2"/>
  <c r="N211" i="2"/>
  <c r="O211" i="2"/>
  <c r="P211" i="2" s="1"/>
  <c r="Q211" i="2"/>
  <c r="R211" i="2"/>
  <c r="S211" i="2"/>
  <c r="T211" i="2"/>
  <c r="U211" i="2"/>
  <c r="V211" i="2"/>
  <c r="W211" i="2"/>
  <c r="X211" i="2"/>
  <c r="E212" i="2"/>
  <c r="F212" i="2"/>
  <c r="G212" i="2"/>
  <c r="H212" i="2"/>
  <c r="I212" i="2"/>
  <c r="J212" i="2"/>
  <c r="K212" i="2"/>
  <c r="L212" i="2"/>
  <c r="M212" i="2"/>
  <c r="N212" i="2"/>
  <c r="O212" i="2"/>
  <c r="Q212" i="2"/>
  <c r="R212" i="2"/>
  <c r="S212" i="2"/>
  <c r="T212" i="2"/>
  <c r="U212" i="2"/>
  <c r="V212" i="2"/>
  <c r="W212" i="2"/>
  <c r="X212" i="2"/>
  <c r="E213" i="2"/>
  <c r="F213" i="2"/>
  <c r="G213" i="2"/>
  <c r="H213" i="2"/>
  <c r="I213" i="2"/>
  <c r="J213" i="2"/>
  <c r="K213" i="2"/>
  <c r="L213" i="2"/>
  <c r="M213" i="2"/>
  <c r="N213" i="2"/>
  <c r="O213" i="2"/>
  <c r="Q213" i="2"/>
  <c r="R213" i="2"/>
  <c r="S213" i="2"/>
  <c r="T213" i="2"/>
  <c r="U213" i="2"/>
  <c r="V213" i="2"/>
  <c r="W213" i="2"/>
  <c r="X213" i="2"/>
  <c r="E214" i="2"/>
  <c r="F214" i="2"/>
  <c r="G214" i="2"/>
  <c r="H214" i="2"/>
  <c r="I214" i="2"/>
  <c r="J214" i="2"/>
  <c r="K214" i="2"/>
  <c r="L214" i="2"/>
  <c r="M214" i="2"/>
  <c r="N214" i="2"/>
  <c r="O214" i="2"/>
  <c r="Q214" i="2"/>
  <c r="R214" i="2"/>
  <c r="S214" i="2"/>
  <c r="T214" i="2"/>
  <c r="U214" i="2"/>
  <c r="V214" i="2"/>
  <c r="W214" i="2"/>
  <c r="X214" i="2"/>
  <c r="E215" i="2"/>
  <c r="F215" i="2"/>
  <c r="G215" i="2"/>
  <c r="H215" i="2"/>
  <c r="I215" i="2"/>
  <c r="J215" i="2"/>
  <c r="K215" i="2"/>
  <c r="L215" i="2"/>
  <c r="M215" i="2"/>
  <c r="N215" i="2"/>
  <c r="O215" i="2"/>
  <c r="P215" i="2" s="1"/>
  <c r="Q215" i="2"/>
  <c r="R215" i="2"/>
  <c r="S215" i="2"/>
  <c r="T215" i="2"/>
  <c r="U215" i="2"/>
  <c r="V215" i="2"/>
  <c r="W215" i="2"/>
  <c r="X215" i="2"/>
  <c r="E216" i="2"/>
  <c r="F216" i="2"/>
  <c r="G216" i="2"/>
  <c r="H216" i="2"/>
  <c r="I216" i="2"/>
  <c r="J216" i="2"/>
  <c r="K216" i="2"/>
  <c r="L216" i="2"/>
  <c r="M216" i="2"/>
  <c r="N216" i="2"/>
  <c r="O216" i="2"/>
  <c r="P216" i="2" s="1"/>
  <c r="Q216" i="2"/>
  <c r="R216" i="2"/>
  <c r="S216" i="2"/>
  <c r="T216" i="2"/>
  <c r="U216" i="2"/>
  <c r="V216" i="2"/>
  <c r="W216" i="2"/>
  <c r="X216" i="2"/>
  <c r="E217" i="2"/>
  <c r="F217" i="2"/>
  <c r="G217" i="2"/>
  <c r="H217" i="2"/>
  <c r="I217" i="2"/>
  <c r="J217" i="2"/>
  <c r="K217" i="2"/>
  <c r="L217" i="2"/>
  <c r="M217" i="2"/>
  <c r="N217" i="2"/>
  <c r="O217" i="2"/>
  <c r="P217" i="2" s="1"/>
  <c r="Q217" i="2"/>
  <c r="R217" i="2"/>
  <c r="S217" i="2"/>
  <c r="T217" i="2"/>
  <c r="U217" i="2"/>
  <c r="V217" i="2"/>
  <c r="W217" i="2"/>
  <c r="X217" i="2"/>
  <c r="E218" i="2"/>
  <c r="F218" i="2"/>
  <c r="G218" i="2"/>
  <c r="H218" i="2"/>
  <c r="I218" i="2"/>
  <c r="J218" i="2"/>
  <c r="K218" i="2"/>
  <c r="L218" i="2"/>
  <c r="M218" i="2"/>
  <c r="N218" i="2"/>
  <c r="O218" i="2"/>
  <c r="Q218" i="2"/>
  <c r="R218" i="2"/>
  <c r="S218" i="2"/>
  <c r="T218" i="2"/>
  <c r="U218" i="2"/>
  <c r="V218" i="2"/>
  <c r="W218" i="2"/>
  <c r="X218" i="2"/>
  <c r="E219" i="2"/>
  <c r="F219" i="2"/>
  <c r="G219" i="2"/>
  <c r="H219" i="2"/>
  <c r="I219" i="2"/>
  <c r="J219" i="2"/>
  <c r="K219" i="2"/>
  <c r="L219" i="2"/>
  <c r="M219" i="2"/>
  <c r="N219" i="2"/>
  <c r="O219" i="2"/>
  <c r="Q219" i="2"/>
  <c r="R219" i="2"/>
  <c r="S219" i="2"/>
  <c r="T219" i="2"/>
  <c r="U219" i="2"/>
  <c r="V219" i="2"/>
  <c r="W219" i="2"/>
  <c r="X219" i="2"/>
  <c r="E220" i="2"/>
  <c r="F220" i="2"/>
  <c r="G220" i="2"/>
  <c r="H220" i="2"/>
  <c r="I220" i="2"/>
  <c r="J220" i="2"/>
  <c r="K220" i="2"/>
  <c r="L220" i="2"/>
  <c r="M220" i="2"/>
  <c r="N220" i="2"/>
  <c r="O220" i="2"/>
  <c r="Q220" i="2"/>
  <c r="R220" i="2"/>
  <c r="S220" i="2"/>
  <c r="T220" i="2"/>
  <c r="U220" i="2"/>
  <c r="V220" i="2"/>
  <c r="W220" i="2"/>
  <c r="X220" i="2"/>
  <c r="E221" i="2"/>
  <c r="F221" i="2"/>
  <c r="G221" i="2"/>
  <c r="H221" i="2"/>
  <c r="I221" i="2"/>
  <c r="J221" i="2"/>
  <c r="K221" i="2"/>
  <c r="L221" i="2"/>
  <c r="M221" i="2"/>
  <c r="N221" i="2"/>
  <c r="O221" i="2"/>
  <c r="P221" i="2" s="1"/>
  <c r="Q221" i="2"/>
  <c r="R221" i="2"/>
  <c r="S221" i="2"/>
  <c r="T221" i="2"/>
  <c r="U221" i="2"/>
  <c r="V221" i="2"/>
  <c r="W221" i="2"/>
  <c r="X221" i="2"/>
  <c r="E222" i="2"/>
  <c r="F222" i="2"/>
  <c r="G222" i="2"/>
  <c r="H222" i="2"/>
  <c r="I222" i="2"/>
  <c r="J222" i="2"/>
  <c r="K222" i="2"/>
  <c r="L222" i="2"/>
  <c r="M222" i="2"/>
  <c r="N222" i="2"/>
  <c r="O222" i="2"/>
  <c r="P222" i="2" s="1"/>
  <c r="Q222" i="2"/>
  <c r="R222" i="2"/>
  <c r="S222" i="2"/>
  <c r="T222" i="2"/>
  <c r="U222" i="2"/>
  <c r="V222" i="2"/>
  <c r="W222" i="2"/>
  <c r="X222" i="2"/>
  <c r="E223" i="2"/>
  <c r="F223" i="2"/>
  <c r="G223" i="2"/>
  <c r="H223" i="2"/>
  <c r="I223" i="2"/>
  <c r="J223" i="2"/>
  <c r="K223" i="2"/>
  <c r="L223" i="2"/>
  <c r="M223" i="2"/>
  <c r="N223" i="2"/>
  <c r="O223" i="2"/>
  <c r="P223" i="2" s="1"/>
  <c r="Q223" i="2"/>
  <c r="R223" i="2"/>
  <c r="S223" i="2"/>
  <c r="T223" i="2"/>
  <c r="U223" i="2"/>
  <c r="V223" i="2"/>
  <c r="W223" i="2"/>
  <c r="X223" i="2"/>
  <c r="E224" i="2"/>
  <c r="F224" i="2"/>
  <c r="G224" i="2"/>
  <c r="H224" i="2"/>
  <c r="I224" i="2"/>
  <c r="J224" i="2"/>
  <c r="K224" i="2"/>
  <c r="L224" i="2"/>
  <c r="M224" i="2"/>
  <c r="N224" i="2"/>
  <c r="O224" i="2"/>
  <c r="Q224" i="2"/>
  <c r="R224" i="2"/>
  <c r="S224" i="2"/>
  <c r="T224" i="2"/>
  <c r="U224" i="2"/>
  <c r="V224" i="2"/>
  <c r="W224" i="2"/>
  <c r="X224" i="2"/>
  <c r="E225" i="2"/>
  <c r="F225" i="2"/>
  <c r="G225" i="2"/>
  <c r="H225" i="2"/>
  <c r="I225" i="2"/>
  <c r="J225" i="2"/>
  <c r="K225" i="2"/>
  <c r="L225" i="2"/>
  <c r="M225" i="2"/>
  <c r="N225" i="2"/>
  <c r="O225" i="2"/>
  <c r="Q225" i="2"/>
  <c r="R225" i="2"/>
  <c r="S225" i="2"/>
  <c r="T225" i="2"/>
  <c r="U225" i="2"/>
  <c r="V225" i="2"/>
  <c r="W225" i="2"/>
  <c r="X225" i="2"/>
  <c r="E226" i="2"/>
  <c r="F226" i="2"/>
  <c r="G226" i="2"/>
  <c r="H226" i="2"/>
  <c r="I226" i="2"/>
  <c r="J226" i="2"/>
  <c r="K226" i="2"/>
  <c r="L226" i="2"/>
  <c r="M226" i="2"/>
  <c r="N226" i="2"/>
  <c r="O226" i="2"/>
  <c r="Q226" i="2"/>
  <c r="R226" i="2"/>
  <c r="S226" i="2"/>
  <c r="T226" i="2"/>
  <c r="U226" i="2"/>
  <c r="V226" i="2"/>
  <c r="W226" i="2"/>
  <c r="X226" i="2"/>
  <c r="E227" i="2"/>
  <c r="F227" i="2"/>
  <c r="G227" i="2"/>
  <c r="H227" i="2"/>
  <c r="I227" i="2"/>
  <c r="J227" i="2"/>
  <c r="K227" i="2"/>
  <c r="L227" i="2"/>
  <c r="M227" i="2"/>
  <c r="N227" i="2"/>
  <c r="O227" i="2"/>
  <c r="P227" i="2" s="1"/>
  <c r="Q227" i="2"/>
  <c r="R227" i="2"/>
  <c r="S227" i="2"/>
  <c r="T227" i="2"/>
  <c r="U227" i="2"/>
  <c r="V227" i="2"/>
  <c r="W227" i="2"/>
  <c r="X227" i="2"/>
  <c r="E228" i="2"/>
  <c r="F228" i="2"/>
  <c r="G228" i="2"/>
  <c r="H228" i="2"/>
  <c r="I228" i="2"/>
  <c r="J228" i="2"/>
  <c r="K228" i="2"/>
  <c r="L228" i="2"/>
  <c r="M228" i="2"/>
  <c r="N228" i="2"/>
  <c r="O228" i="2"/>
  <c r="P228" i="2" s="1"/>
  <c r="Q228" i="2"/>
  <c r="R228" i="2"/>
  <c r="S228" i="2"/>
  <c r="T228" i="2"/>
  <c r="U228" i="2"/>
  <c r="V228" i="2"/>
  <c r="W228" i="2"/>
  <c r="X228" i="2"/>
  <c r="E229" i="2"/>
  <c r="F229" i="2"/>
  <c r="G229" i="2"/>
  <c r="H229" i="2"/>
  <c r="I229" i="2"/>
  <c r="J229" i="2"/>
  <c r="K229" i="2"/>
  <c r="L229" i="2"/>
  <c r="M229" i="2"/>
  <c r="N229" i="2"/>
  <c r="O229" i="2"/>
  <c r="P229" i="2" s="1"/>
  <c r="Q229" i="2"/>
  <c r="R229" i="2"/>
  <c r="S229" i="2"/>
  <c r="T229" i="2"/>
  <c r="U229" i="2"/>
  <c r="V229" i="2"/>
  <c r="W229" i="2"/>
  <c r="X229" i="2"/>
  <c r="E230" i="2"/>
  <c r="F230" i="2"/>
  <c r="G230" i="2"/>
  <c r="H230" i="2"/>
  <c r="I230" i="2"/>
  <c r="J230" i="2"/>
  <c r="K230" i="2"/>
  <c r="L230" i="2"/>
  <c r="M230" i="2"/>
  <c r="N230" i="2"/>
  <c r="O230" i="2"/>
  <c r="Q230" i="2"/>
  <c r="R230" i="2"/>
  <c r="S230" i="2"/>
  <c r="T230" i="2"/>
  <c r="U230" i="2"/>
  <c r="V230" i="2"/>
  <c r="W230" i="2"/>
  <c r="X230" i="2"/>
  <c r="E231" i="2"/>
  <c r="F231" i="2"/>
  <c r="G231" i="2"/>
  <c r="H231" i="2"/>
  <c r="I231" i="2"/>
  <c r="J231" i="2"/>
  <c r="K231" i="2"/>
  <c r="L231" i="2"/>
  <c r="M231" i="2"/>
  <c r="N231" i="2"/>
  <c r="O231" i="2"/>
  <c r="Q231" i="2"/>
  <c r="R231" i="2"/>
  <c r="S231" i="2"/>
  <c r="T231" i="2"/>
  <c r="U231" i="2"/>
  <c r="V231" i="2"/>
  <c r="W231" i="2"/>
  <c r="X231" i="2"/>
  <c r="E232" i="2"/>
  <c r="F232" i="2"/>
  <c r="G232" i="2"/>
  <c r="H232" i="2"/>
  <c r="I232" i="2"/>
  <c r="J232" i="2"/>
  <c r="K232" i="2"/>
  <c r="L232" i="2"/>
  <c r="M232" i="2"/>
  <c r="N232" i="2"/>
  <c r="O232" i="2"/>
  <c r="Q232" i="2"/>
  <c r="R232" i="2"/>
  <c r="S232" i="2"/>
  <c r="T232" i="2"/>
  <c r="U232" i="2"/>
  <c r="V232" i="2"/>
  <c r="W232" i="2"/>
  <c r="X232" i="2"/>
  <c r="E233" i="2"/>
  <c r="F233" i="2"/>
  <c r="G233" i="2"/>
  <c r="H233" i="2"/>
  <c r="I233" i="2"/>
  <c r="J233" i="2"/>
  <c r="K233" i="2"/>
  <c r="L233" i="2"/>
  <c r="M233" i="2"/>
  <c r="N233" i="2"/>
  <c r="O233" i="2"/>
  <c r="P233" i="2" s="1"/>
  <c r="Q233" i="2"/>
  <c r="R233" i="2"/>
  <c r="S233" i="2"/>
  <c r="T233" i="2"/>
  <c r="U233" i="2"/>
  <c r="V233" i="2"/>
  <c r="W233" i="2"/>
  <c r="X233" i="2"/>
  <c r="E234" i="2"/>
  <c r="F234" i="2"/>
  <c r="G234" i="2"/>
  <c r="H234" i="2"/>
  <c r="I234" i="2"/>
  <c r="J234" i="2"/>
  <c r="K234" i="2"/>
  <c r="L234" i="2"/>
  <c r="M234" i="2"/>
  <c r="N234" i="2"/>
  <c r="O234" i="2"/>
  <c r="P234" i="2" s="1"/>
  <c r="Q234" i="2"/>
  <c r="R234" i="2"/>
  <c r="S234" i="2"/>
  <c r="T234" i="2"/>
  <c r="U234" i="2"/>
  <c r="V234" i="2"/>
  <c r="W234" i="2"/>
  <c r="X234" i="2"/>
  <c r="E235" i="2"/>
  <c r="F235" i="2"/>
  <c r="G235" i="2"/>
  <c r="H235" i="2"/>
  <c r="I235" i="2"/>
  <c r="J235" i="2"/>
  <c r="K235" i="2"/>
  <c r="L235" i="2"/>
  <c r="M235" i="2"/>
  <c r="N235" i="2"/>
  <c r="O235" i="2"/>
  <c r="P235" i="2" s="1"/>
  <c r="Q235" i="2"/>
  <c r="R235" i="2"/>
  <c r="S235" i="2"/>
  <c r="T235" i="2"/>
  <c r="U235" i="2"/>
  <c r="V235" i="2"/>
  <c r="W235" i="2"/>
  <c r="X235" i="2"/>
  <c r="E236" i="2"/>
  <c r="F236" i="2"/>
  <c r="G236" i="2"/>
  <c r="H236" i="2"/>
  <c r="I236" i="2"/>
  <c r="J236" i="2"/>
  <c r="K236" i="2"/>
  <c r="L236" i="2"/>
  <c r="M236" i="2"/>
  <c r="N236" i="2"/>
  <c r="O236" i="2"/>
  <c r="Q236" i="2"/>
  <c r="R236" i="2"/>
  <c r="S236" i="2"/>
  <c r="T236" i="2"/>
  <c r="U236" i="2"/>
  <c r="V236" i="2"/>
  <c r="W236" i="2"/>
  <c r="X236" i="2"/>
  <c r="E237" i="2"/>
  <c r="F237" i="2"/>
  <c r="G237" i="2"/>
  <c r="H237" i="2"/>
  <c r="I237" i="2"/>
  <c r="J237" i="2"/>
  <c r="K237" i="2"/>
  <c r="L237" i="2"/>
  <c r="M237" i="2"/>
  <c r="N237" i="2"/>
  <c r="O237" i="2"/>
  <c r="Q237" i="2"/>
  <c r="R237" i="2"/>
  <c r="S237" i="2"/>
  <c r="T237" i="2"/>
  <c r="U237" i="2"/>
  <c r="V237" i="2"/>
  <c r="W237" i="2"/>
  <c r="X237" i="2"/>
  <c r="E238" i="2"/>
  <c r="F238" i="2"/>
  <c r="G238" i="2"/>
  <c r="H238" i="2"/>
  <c r="I238" i="2"/>
  <c r="J238" i="2"/>
  <c r="K238" i="2"/>
  <c r="L238" i="2"/>
  <c r="M238" i="2"/>
  <c r="N238" i="2"/>
  <c r="O238" i="2"/>
  <c r="Q238" i="2"/>
  <c r="R238" i="2"/>
  <c r="S238" i="2"/>
  <c r="T238" i="2"/>
  <c r="U238" i="2"/>
  <c r="V238" i="2"/>
  <c r="W238" i="2"/>
  <c r="X238" i="2"/>
  <c r="E239" i="2"/>
  <c r="F239" i="2"/>
  <c r="G239" i="2"/>
  <c r="H239" i="2"/>
  <c r="I239" i="2"/>
  <c r="J239" i="2"/>
  <c r="K239" i="2"/>
  <c r="L239" i="2"/>
  <c r="M239" i="2"/>
  <c r="N239" i="2"/>
  <c r="O239" i="2"/>
  <c r="P239" i="2" s="1"/>
  <c r="Q239" i="2"/>
  <c r="R239" i="2"/>
  <c r="S239" i="2"/>
  <c r="T239" i="2"/>
  <c r="U239" i="2"/>
  <c r="V239" i="2"/>
  <c r="W239" i="2"/>
  <c r="X239" i="2"/>
  <c r="E240" i="2"/>
  <c r="F240" i="2"/>
  <c r="G240" i="2"/>
  <c r="H240" i="2"/>
  <c r="I240" i="2"/>
  <c r="J240" i="2"/>
  <c r="K240" i="2"/>
  <c r="L240" i="2"/>
  <c r="M240" i="2"/>
  <c r="N240" i="2"/>
  <c r="O240" i="2"/>
  <c r="P240" i="2" s="1"/>
  <c r="Q240" i="2"/>
  <c r="R240" i="2"/>
  <c r="S240" i="2"/>
  <c r="T240" i="2"/>
  <c r="U240" i="2"/>
  <c r="V240" i="2"/>
  <c r="W240" i="2"/>
  <c r="X240" i="2"/>
  <c r="E241" i="2"/>
  <c r="F241" i="2"/>
  <c r="G241" i="2"/>
  <c r="H241" i="2"/>
  <c r="I241" i="2"/>
  <c r="J241" i="2"/>
  <c r="K241" i="2"/>
  <c r="L241" i="2"/>
  <c r="M241" i="2"/>
  <c r="N241" i="2"/>
  <c r="O241" i="2"/>
  <c r="P241" i="2" s="1"/>
  <c r="Q241" i="2"/>
  <c r="R241" i="2"/>
  <c r="S241" i="2"/>
  <c r="T241" i="2"/>
  <c r="U241" i="2"/>
  <c r="V241" i="2"/>
  <c r="W241" i="2"/>
  <c r="X241" i="2"/>
  <c r="E242" i="2"/>
  <c r="F242" i="2"/>
  <c r="G242" i="2"/>
  <c r="H242" i="2"/>
  <c r="I242" i="2"/>
  <c r="J242" i="2"/>
  <c r="K242" i="2"/>
  <c r="L242" i="2"/>
  <c r="M242" i="2"/>
  <c r="N242" i="2"/>
  <c r="O242" i="2"/>
  <c r="Q242" i="2"/>
  <c r="R242" i="2"/>
  <c r="S242" i="2"/>
  <c r="T242" i="2"/>
  <c r="U242" i="2"/>
  <c r="V242" i="2"/>
  <c r="W242" i="2"/>
  <c r="X242" i="2"/>
  <c r="E243" i="2"/>
  <c r="F243" i="2"/>
  <c r="G243" i="2"/>
  <c r="H243" i="2"/>
  <c r="I243" i="2"/>
  <c r="J243" i="2"/>
  <c r="K243" i="2"/>
  <c r="L243" i="2"/>
  <c r="M243" i="2"/>
  <c r="N243" i="2"/>
  <c r="O243" i="2"/>
  <c r="Q243" i="2"/>
  <c r="R243" i="2"/>
  <c r="S243" i="2"/>
  <c r="T243" i="2"/>
  <c r="U243" i="2"/>
  <c r="V243" i="2"/>
  <c r="W243" i="2"/>
  <c r="X243" i="2"/>
  <c r="E244" i="2"/>
  <c r="F244" i="2"/>
  <c r="G244" i="2"/>
  <c r="H244" i="2"/>
  <c r="I244" i="2"/>
  <c r="J244" i="2"/>
  <c r="K244" i="2"/>
  <c r="L244" i="2"/>
  <c r="M244" i="2"/>
  <c r="N244" i="2"/>
  <c r="O244" i="2"/>
  <c r="Q244" i="2"/>
  <c r="R244" i="2"/>
  <c r="S244" i="2"/>
  <c r="T244" i="2"/>
  <c r="U244" i="2"/>
  <c r="V244" i="2"/>
  <c r="W244" i="2"/>
  <c r="X244" i="2"/>
  <c r="E245" i="2"/>
  <c r="F245" i="2"/>
  <c r="G245" i="2"/>
  <c r="H245" i="2"/>
  <c r="I245" i="2"/>
  <c r="J245" i="2"/>
  <c r="K245" i="2"/>
  <c r="L245" i="2"/>
  <c r="M245" i="2"/>
  <c r="N245" i="2"/>
  <c r="O245" i="2"/>
  <c r="P245" i="2" s="1"/>
  <c r="Q245" i="2"/>
  <c r="R245" i="2"/>
  <c r="S245" i="2"/>
  <c r="T245" i="2"/>
  <c r="U245" i="2"/>
  <c r="V245" i="2"/>
  <c r="W245" i="2"/>
  <c r="X245" i="2"/>
  <c r="E246" i="2"/>
  <c r="F246" i="2"/>
  <c r="G246" i="2"/>
  <c r="H246" i="2"/>
  <c r="I246" i="2"/>
  <c r="J246" i="2"/>
  <c r="K246" i="2"/>
  <c r="L246" i="2"/>
  <c r="M246" i="2"/>
  <c r="N246" i="2"/>
  <c r="O246" i="2"/>
  <c r="P246" i="2" s="1"/>
  <c r="Q246" i="2"/>
  <c r="R246" i="2"/>
  <c r="S246" i="2"/>
  <c r="T246" i="2"/>
  <c r="U246" i="2"/>
  <c r="V246" i="2"/>
  <c r="W246" i="2"/>
  <c r="X246" i="2"/>
  <c r="E247" i="2"/>
  <c r="F247" i="2"/>
  <c r="G247" i="2"/>
  <c r="H247" i="2"/>
  <c r="I247" i="2"/>
  <c r="J247" i="2"/>
  <c r="K247" i="2"/>
  <c r="L247" i="2"/>
  <c r="M247" i="2"/>
  <c r="N247" i="2"/>
  <c r="O247" i="2"/>
  <c r="P247" i="2" s="1"/>
  <c r="Q247" i="2"/>
  <c r="R247" i="2"/>
  <c r="S247" i="2"/>
  <c r="T247" i="2"/>
  <c r="U247" i="2"/>
  <c r="V247" i="2"/>
  <c r="W247" i="2"/>
  <c r="X247" i="2"/>
  <c r="E248" i="2"/>
  <c r="F248" i="2"/>
  <c r="G248" i="2"/>
  <c r="H248" i="2"/>
  <c r="I248" i="2"/>
  <c r="J248" i="2"/>
  <c r="K248" i="2"/>
  <c r="L248" i="2"/>
  <c r="M248" i="2"/>
  <c r="N248" i="2"/>
  <c r="O248" i="2"/>
  <c r="Q248" i="2"/>
  <c r="R248" i="2"/>
  <c r="S248" i="2"/>
  <c r="T248" i="2"/>
  <c r="U248" i="2"/>
  <c r="V248" i="2"/>
  <c r="W248" i="2"/>
  <c r="X248" i="2"/>
  <c r="E249" i="2"/>
  <c r="F249" i="2"/>
  <c r="G249" i="2"/>
  <c r="H249" i="2"/>
  <c r="I249" i="2"/>
  <c r="J249" i="2"/>
  <c r="K249" i="2"/>
  <c r="L249" i="2"/>
  <c r="M249" i="2"/>
  <c r="N249" i="2"/>
  <c r="O249" i="2"/>
  <c r="Q249" i="2"/>
  <c r="R249" i="2"/>
  <c r="S249" i="2"/>
  <c r="T249" i="2"/>
  <c r="U249" i="2"/>
  <c r="V249" i="2"/>
  <c r="W249" i="2"/>
  <c r="X249" i="2"/>
  <c r="E250" i="2"/>
  <c r="F250" i="2"/>
  <c r="G250" i="2"/>
  <c r="H250" i="2"/>
  <c r="I250" i="2"/>
  <c r="J250" i="2"/>
  <c r="K250" i="2"/>
  <c r="L250" i="2"/>
  <c r="M250" i="2"/>
  <c r="N250" i="2"/>
  <c r="O250" i="2"/>
  <c r="Q250" i="2"/>
  <c r="R250" i="2"/>
  <c r="S250" i="2"/>
  <c r="T250" i="2"/>
  <c r="U250" i="2"/>
  <c r="V250" i="2"/>
  <c r="W250" i="2"/>
  <c r="X250" i="2"/>
  <c r="E251" i="2"/>
  <c r="F251" i="2"/>
  <c r="G251" i="2"/>
  <c r="H251" i="2"/>
  <c r="I251" i="2"/>
  <c r="J251" i="2"/>
  <c r="K251" i="2"/>
  <c r="L251" i="2"/>
  <c r="M251" i="2"/>
  <c r="N251" i="2"/>
  <c r="O251" i="2"/>
  <c r="P251" i="2" s="1"/>
  <c r="Q251" i="2"/>
  <c r="R251" i="2"/>
  <c r="S251" i="2"/>
  <c r="T251" i="2"/>
  <c r="U251" i="2"/>
  <c r="V251" i="2"/>
  <c r="W251" i="2"/>
  <c r="X251" i="2"/>
  <c r="E252" i="2"/>
  <c r="F252" i="2"/>
  <c r="G252" i="2"/>
  <c r="H252" i="2"/>
  <c r="I252" i="2"/>
  <c r="J252" i="2"/>
  <c r="K252" i="2"/>
  <c r="L252" i="2"/>
  <c r="M252" i="2"/>
  <c r="N252" i="2"/>
  <c r="O252" i="2"/>
  <c r="P252" i="2" s="1"/>
  <c r="Q252" i="2"/>
  <c r="R252" i="2"/>
  <c r="S252" i="2"/>
  <c r="T252" i="2"/>
  <c r="U252" i="2"/>
  <c r="V252" i="2"/>
  <c r="W252" i="2"/>
  <c r="X252" i="2"/>
  <c r="E253" i="2"/>
  <c r="F253" i="2"/>
  <c r="G253" i="2"/>
  <c r="H253" i="2"/>
  <c r="I253" i="2"/>
  <c r="J253" i="2"/>
  <c r="K253" i="2"/>
  <c r="L253" i="2"/>
  <c r="M253" i="2"/>
  <c r="N253" i="2"/>
  <c r="O253" i="2"/>
  <c r="P253" i="2" s="1"/>
  <c r="Q253" i="2"/>
  <c r="R253" i="2"/>
  <c r="S253" i="2"/>
  <c r="T253" i="2"/>
  <c r="U253" i="2"/>
  <c r="V253" i="2"/>
  <c r="W253" i="2"/>
  <c r="X253" i="2"/>
  <c r="E254" i="2"/>
  <c r="F254" i="2"/>
  <c r="G254" i="2"/>
  <c r="H254" i="2"/>
  <c r="I254" i="2"/>
  <c r="J254" i="2"/>
  <c r="K254" i="2"/>
  <c r="L254" i="2"/>
  <c r="M254" i="2"/>
  <c r="N254" i="2"/>
  <c r="O254" i="2"/>
  <c r="Q254" i="2"/>
  <c r="R254" i="2"/>
  <c r="S254" i="2"/>
  <c r="T254" i="2"/>
  <c r="U254" i="2"/>
  <c r="V254" i="2"/>
  <c r="W254" i="2"/>
  <c r="X254" i="2"/>
  <c r="E255" i="2"/>
  <c r="F255" i="2"/>
  <c r="G255" i="2"/>
  <c r="H255" i="2"/>
  <c r="I255" i="2"/>
  <c r="J255" i="2"/>
  <c r="K255" i="2"/>
  <c r="L255" i="2"/>
  <c r="M255" i="2"/>
  <c r="N255" i="2"/>
  <c r="O255" i="2"/>
  <c r="Q255" i="2"/>
  <c r="R255" i="2"/>
  <c r="S255" i="2"/>
  <c r="T255" i="2"/>
  <c r="U255" i="2"/>
  <c r="V255" i="2"/>
  <c r="W255" i="2"/>
  <c r="X255" i="2"/>
  <c r="E256" i="2"/>
  <c r="F256" i="2"/>
  <c r="G256" i="2"/>
  <c r="H256" i="2"/>
  <c r="I256" i="2"/>
  <c r="J256" i="2"/>
  <c r="K256" i="2"/>
  <c r="L256" i="2"/>
  <c r="M256" i="2"/>
  <c r="N256" i="2"/>
  <c r="O256" i="2"/>
  <c r="Q256" i="2"/>
  <c r="R256" i="2"/>
  <c r="S256" i="2"/>
  <c r="T256" i="2"/>
  <c r="U256" i="2"/>
  <c r="V256" i="2"/>
  <c r="W256" i="2"/>
  <c r="X256" i="2"/>
  <c r="E257" i="2"/>
  <c r="F257" i="2"/>
  <c r="G257" i="2"/>
  <c r="H257" i="2"/>
  <c r="I257" i="2"/>
  <c r="J257" i="2"/>
  <c r="K257" i="2"/>
  <c r="L257" i="2"/>
  <c r="M257" i="2"/>
  <c r="N257" i="2"/>
  <c r="O257" i="2"/>
  <c r="P257" i="2" s="1"/>
  <c r="Q257" i="2"/>
  <c r="R257" i="2"/>
  <c r="S257" i="2"/>
  <c r="T257" i="2"/>
  <c r="U257" i="2"/>
  <c r="V257" i="2"/>
  <c r="W257" i="2"/>
  <c r="X257" i="2"/>
  <c r="E258" i="2"/>
  <c r="F258" i="2"/>
  <c r="G258" i="2"/>
  <c r="H258" i="2"/>
  <c r="I258" i="2"/>
  <c r="J258" i="2"/>
  <c r="K258" i="2"/>
  <c r="L258" i="2"/>
  <c r="M258" i="2"/>
  <c r="N258" i="2"/>
  <c r="O258" i="2"/>
  <c r="P258" i="2" s="1"/>
  <c r="Q258" i="2"/>
  <c r="R258" i="2"/>
  <c r="S258" i="2"/>
  <c r="T258" i="2"/>
  <c r="U258" i="2"/>
  <c r="V258" i="2"/>
  <c r="W258" i="2"/>
  <c r="X258" i="2"/>
  <c r="E259" i="2"/>
  <c r="F259" i="2"/>
  <c r="G259" i="2"/>
  <c r="H259" i="2"/>
  <c r="I259" i="2"/>
  <c r="J259" i="2"/>
  <c r="K259" i="2"/>
  <c r="L259" i="2"/>
  <c r="M259" i="2"/>
  <c r="N259" i="2"/>
  <c r="O259" i="2"/>
  <c r="P259" i="2" s="1"/>
  <c r="Q259" i="2"/>
  <c r="R259" i="2"/>
  <c r="S259" i="2"/>
  <c r="T259" i="2"/>
  <c r="U259" i="2"/>
  <c r="V259" i="2"/>
  <c r="W259" i="2"/>
  <c r="X259" i="2"/>
  <c r="E260" i="2"/>
  <c r="F260" i="2"/>
  <c r="G260" i="2"/>
  <c r="H260" i="2"/>
  <c r="I260" i="2"/>
  <c r="J260" i="2"/>
  <c r="K260" i="2"/>
  <c r="L260" i="2"/>
  <c r="M260" i="2"/>
  <c r="N260" i="2"/>
  <c r="O260" i="2"/>
  <c r="Q260" i="2"/>
  <c r="R260" i="2"/>
  <c r="S260" i="2"/>
  <c r="T260" i="2"/>
  <c r="U260" i="2"/>
  <c r="V260" i="2"/>
  <c r="W260" i="2"/>
  <c r="X260" i="2"/>
  <c r="E261" i="2"/>
  <c r="F261" i="2"/>
  <c r="G261" i="2"/>
  <c r="H261" i="2"/>
  <c r="I261" i="2"/>
  <c r="J261" i="2"/>
  <c r="K261" i="2"/>
  <c r="L261" i="2"/>
  <c r="M261" i="2"/>
  <c r="N261" i="2"/>
  <c r="O261" i="2"/>
  <c r="Q261" i="2"/>
  <c r="R261" i="2"/>
  <c r="S261" i="2"/>
  <c r="T261" i="2"/>
  <c r="U261" i="2"/>
  <c r="V261" i="2"/>
  <c r="W261" i="2"/>
  <c r="X261" i="2"/>
  <c r="E262" i="2"/>
  <c r="F262" i="2"/>
  <c r="G262" i="2"/>
  <c r="H262" i="2"/>
  <c r="I262" i="2"/>
  <c r="J262" i="2"/>
  <c r="K262" i="2"/>
  <c r="L262" i="2"/>
  <c r="M262" i="2"/>
  <c r="N262" i="2"/>
  <c r="O262" i="2"/>
  <c r="Q262" i="2"/>
  <c r="R262" i="2"/>
  <c r="S262" i="2"/>
  <c r="T262" i="2"/>
  <c r="U262" i="2"/>
  <c r="V262" i="2"/>
  <c r="W262" i="2"/>
  <c r="X262" i="2"/>
  <c r="E263" i="2"/>
  <c r="F263" i="2"/>
  <c r="G263" i="2"/>
  <c r="H263" i="2"/>
  <c r="I263" i="2"/>
  <c r="J263" i="2"/>
  <c r="K263" i="2"/>
  <c r="L263" i="2"/>
  <c r="M263" i="2"/>
  <c r="N263" i="2"/>
  <c r="O263" i="2"/>
  <c r="P263" i="2" s="1"/>
  <c r="Q263" i="2"/>
  <c r="R263" i="2"/>
  <c r="S263" i="2"/>
  <c r="T263" i="2"/>
  <c r="U263" i="2"/>
  <c r="V263" i="2"/>
  <c r="W263" i="2"/>
  <c r="X263" i="2"/>
  <c r="E264" i="2"/>
  <c r="F264" i="2"/>
  <c r="G264" i="2"/>
  <c r="H264" i="2"/>
  <c r="I264" i="2"/>
  <c r="J264" i="2"/>
  <c r="K264" i="2"/>
  <c r="L264" i="2"/>
  <c r="M264" i="2"/>
  <c r="N264" i="2"/>
  <c r="O264" i="2"/>
  <c r="P264" i="2" s="1"/>
  <c r="Q264" i="2"/>
  <c r="R264" i="2"/>
  <c r="S264" i="2"/>
  <c r="T264" i="2"/>
  <c r="U264" i="2"/>
  <c r="V264" i="2"/>
  <c r="W264" i="2"/>
  <c r="X264" i="2"/>
  <c r="E265" i="2"/>
  <c r="F265" i="2"/>
  <c r="G265" i="2"/>
  <c r="H265" i="2"/>
  <c r="I265" i="2"/>
  <c r="J265" i="2"/>
  <c r="K265" i="2"/>
  <c r="L265" i="2"/>
  <c r="M265" i="2"/>
  <c r="N265" i="2"/>
  <c r="O265" i="2"/>
  <c r="P265" i="2" s="1"/>
  <c r="Q265" i="2"/>
  <c r="R265" i="2"/>
  <c r="S265" i="2"/>
  <c r="T265" i="2"/>
  <c r="U265" i="2"/>
  <c r="V265" i="2"/>
  <c r="W265" i="2"/>
  <c r="X265" i="2"/>
  <c r="E266" i="2"/>
  <c r="F266" i="2"/>
  <c r="G266" i="2"/>
  <c r="H266" i="2"/>
  <c r="I266" i="2"/>
  <c r="J266" i="2"/>
  <c r="K266" i="2"/>
  <c r="L266" i="2"/>
  <c r="M266" i="2"/>
  <c r="N266" i="2"/>
  <c r="O266" i="2"/>
  <c r="Q266" i="2"/>
  <c r="R266" i="2"/>
  <c r="S266" i="2"/>
  <c r="T266" i="2"/>
  <c r="U266" i="2"/>
  <c r="V266" i="2"/>
  <c r="W266" i="2"/>
  <c r="X266" i="2"/>
  <c r="E267" i="2"/>
  <c r="F267" i="2"/>
  <c r="G267" i="2"/>
  <c r="H267" i="2"/>
  <c r="I267" i="2"/>
  <c r="J267" i="2"/>
  <c r="K267" i="2"/>
  <c r="L267" i="2"/>
  <c r="M267" i="2"/>
  <c r="N267" i="2"/>
  <c r="O267" i="2"/>
  <c r="Q267" i="2"/>
  <c r="R267" i="2"/>
  <c r="S267" i="2"/>
  <c r="T267" i="2"/>
  <c r="U267" i="2"/>
  <c r="V267" i="2"/>
  <c r="W267" i="2"/>
  <c r="X267" i="2"/>
  <c r="E268" i="2"/>
  <c r="F268" i="2"/>
  <c r="G268" i="2"/>
  <c r="H268" i="2"/>
  <c r="I268" i="2"/>
  <c r="J268" i="2"/>
  <c r="K268" i="2"/>
  <c r="L268" i="2"/>
  <c r="M268" i="2"/>
  <c r="N268" i="2"/>
  <c r="O268" i="2"/>
  <c r="Q268" i="2"/>
  <c r="R268" i="2"/>
  <c r="S268" i="2"/>
  <c r="T268" i="2"/>
  <c r="U268" i="2"/>
  <c r="V268" i="2"/>
  <c r="W268" i="2"/>
  <c r="X268" i="2"/>
  <c r="E269" i="2"/>
  <c r="F269" i="2"/>
  <c r="G269" i="2"/>
  <c r="H269" i="2"/>
  <c r="I269" i="2"/>
  <c r="J269" i="2"/>
  <c r="K269" i="2"/>
  <c r="L269" i="2"/>
  <c r="M269" i="2"/>
  <c r="N269" i="2"/>
  <c r="O269" i="2"/>
  <c r="P269" i="2" s="1"/>
  <c r="Q269" i="2"/>
  <c r="R269" i="2"/>
  <c r="S269" i="2"/>
  <c r="T269" i="2"/>
  <c r="U269" i="2"/>
  <c r="V269" i="2"/>
  <c r="W269" i="2"/>
  <c r="X269" i="2"/>
  <c r="E270" i="2"/>
  <c r="F270" i="2"/>
  <c r="G270" i="2"/>
  <c r="H270" i="2"/>
  <c r="I270" i="2"/>
  <c r="J270" i="2"/>
  <c r="K270" i="2"/>
  <c r="L270" i="2"/>
  <c r="M270" i="2"/>
  <c r="N270" i="2"/>
  <c r="O270" i="2"/>
  <c r="P270" i="2" s="1"/>
  <c r="Q270" i="2"/>
  <c r="R270" i="2"/>
  <c r="S270" i="2"/>
  <c r="T270" i="2"/>
  <c r="U270" i="2"/>
  <c r="V270" i="2"/>
  <c r="W270" i="2"/>
  <c r="X270" i="2"/>
  <c r="E271" i="2"/>
  <c r="F271" i="2"/>
  <c r="G271" i="2"/>
  <c r="H271" i="2"/>
  <c r="I271" i="2"/>
  <c r="J271" i="2"/>
  <c r="K271" i="2"/>
  <c r="L271" i="2"/>
  <c r="M271" i="2"/>
  <c r="N271" i="2"/>
  <c r="O271" i="2"/>
  <c r="P271" i="2" s="1"/>
  <c r="Q271" i="2"/>
  <c r="R271" i="2"/>
  <c r="S271" i="2"/>
  <c r="T271" i="2"/>
  <c r="U271" i="2"/>
  <c r="V271" i="2"/>
  <c r="W271" i="2"/>
  <c r="X271" i="2"/>
  <c r="E272" i="2"/>
  <c r="F272" i="2"/>
  <c r="G272" i="2"/>
  <c r="H272" i="2"/>
  <c r="I272" i="2"/>
  <c r="J272" i="2"/>
  <c r="K272" i="2"/>
  <c r="L272" i="2"/>
  <c r="M272" i="2"/>
  <c r="N272" i="2"/>
  <c r="O272" i="2"/>
  <c r="Q272" i="2"/>
  <c r="R272" i="2"/>
  <c r="S272" i="2"/>
  <c r="T272" i="2"/>
  <c r="U272" i="2"/>
  <c r="V272" i="2"/>
  <c r="W272" i="2"/>
  <c r="X272" i="2"/>
  <c r="E273" i="2"/>
  <c r="F273" i="2"/>
  <c r="G273" i="2"/>
  <c r="H273" i="2"/>
  <c r="I273" i="2"/>
  <c r="J273" i="2"/>
  <c r="K273" i="2"/>
  <c r="L273" i="2"/>
  <c r="M273" i="2"/>
  <c r="N273" i="2"/>
  <c r="O273" i="2"/>
  <c r="Q273" i="2"/>
  <c r="R273" i="2"/>
  <c r="S273" i="2"/>
  <c r="T273" i="2"/>
  <c r="U273" i="2"/>
  <c r="V273" i="2"/>
  <c r="W273" i="2"/>
  <c r="X273" i="2"/>
  <c r="E274" i="2"/>
  <c r="F274" i="2"/>
  <c r="G274" i="2"/>
  <c r="H274" i="2"/>
  <c r="I274" i="2"/>
  <c r="J274" i="2"/>
  <c r="K274" i="2"/>
  <c r="L274" i="2"/>
  <c r="M274" i="2"/>
  <c r="N274" i="2"/>
  <c r="O274" i="2"/>
  <c r="Q274" i="2"/>
  <c r="R274" i="2"/>
  <c r="S274" i="2"/>
  <c r="T274" i="2"/>
  <c r="U274" i="2"/>
  <c r="V274" i="2"/>
  <c r="W274" i="2"/>
  <c r="X274" i="2"/>
  <c r="E275" i="2"/>
  <c r="F275" i="2"/>
  <c r="G275" i="2"/>
  <c r="H275" i="2"/>
  <c r="I275" i="2"/>
  <c r="J275" i="2"/>
  <c r="K275" i="2"/>
  <c r="L275" i="2"/>
  <c r="M275" i="2"/>
  <c r="N275" i="2"/>
  <c r="O275" i="2"/>
  <c r="P275" i="2" s="1"/>
  <c r="Q275" i="2"/>
  <c r="R275" i="2"/>
  <c r="S275" i="2"/>
  <c r="T275" i="2"/>
  <c r="U275" i="2"/>
  <c r="V275" i="2"/>
  <c r="W275" i="2"/>
  <c r="X275" i="2"/>
  <c r="E276" i="2"/>
  <c r="F276" i="2"/>
  <c r="G276" i="2"/>
  <c r="H276" i="2"/>
  <c r="I276" i="2"/>
  <c r="J276" i="2"/>
  <c r="K276" i="2"/>
  <c r="L276" i="2"/>
  <c r="M276" i="2"/>
  <c r="N276" i="2"/>
  <c r="O276" i="2"/>
  <c r="P276" i="2" s="1"/>
  <c r="Q276" i="2"/>
  <c r="R276" i="2"/>
  <c r="S276" i="2"/>
  <c r="T276" i="2"/>
  <c r="U276" i="2"/>
  <c r="V276" i="2"/>
  <c r="W276" i="2"/>
  <c r="X276" i="2"/>
  <c r="E277" i="2"/>
  <c r="F277" i="2"/>
  <c r="G277" i="2"/>
  <c r="H277" i="2"/>
  <c r="I277" i="2"/>
  <c r="J277" i="2"/>
  <c r="K277" i="2"/>
  <c r="L277" i="2"/>
  <c r="M277" i="2"/>
  <c r="N277" i="2"/>
  <c r="O277" i="2"/>
  <c r="P277" i="2" s="1"/>
  <c r="Q277" i="2"/>
  <c r="R277" i="2"/>
  <c r="S277" i="2"/>
  <c r="T277" i="2"/>
  <c r="U277" i="2"/>
  <c r="V277" i="2"/>
  <c r="W277" i="2"/>
  <c r="X277" i="2"/>
  <c r="E278" i="2"/>
  <c r="F278" i="2"/>
  <c r="G278" i="2"/>
  <c r="H278" i="2"/>
  <c r="I278" i="2"/>
  <c r="J278" i="2"/>
  <c r="K278" i="2"/>
  <c r="L278" i="2"/>
  <c r="M278" i="2"/>
  <c r="N278" i="2"/>
  <c r="O278" i="2"/>
  <c r="Q278" i="2"/>
  <c r="R278" i="2"/>
  <c r="S278" i="2"/>
  <c r="T278" i="2"/>
  <c r="U278" i="2"/>
  <c r="V278" i="2"/>
  <c r="W278" i="2"/>
  <c r="X278" i="2"/>
  <c r="E279" i="2"/>
  <c r="F279" i="2"/>
  <c r="G279" i="2"/>
  <c r="H279" i="2"/>
  <c r="I279" i="2"/>
  <c r="J279" i="2"/>
  <c r="K279" i="2"/>
  <c r="L279" i="2"/>
  <c r="M279" i="2"/>
  <c r="N279" i="2"/>
  <c r="O279" i="2"/>
  <c r="Q279" i="2"/>
  <c r="R279" i="2"/>
  <c r="S279" i="2"/>
  <c r="T279" i="2"/>
  <c r="U279" i="2"/>
  <c r="V279" i="2"/>
  <c r="W279" i="2"/>
  <c r="X279" i="2"/>
  <c r="E280" i="2"/>
  <c r="F280" i="2"/>
  <c r="G280" i="2"/>
  <c r="H280" i="2"/>
  <c r="I280" i="2"/>
  <c r="J280" i="2"/>
  <c r="K280" i="2"/>
  <c r="L280" i="2"/>
  <c r="M280" i="2"/>
  <c r="N280" i="2"/>
  <c r="O280" i="2"/>
  <c r="Q280" i="2"/>
  <c r="R280" i="2"/>
  <c r="S280" i="2"/>
  <c r="T280" i="2"/>
  <c r="U280" i="2"/>
  <c r="V280" i="2"/>
  <c r="W280" i="2"/>
  <c r="X280" i="2"/>
  <c r="E281" i="2"/>
  <c r="F281" i="2"/>
  <c r="G281" i="2"/>
  <c r="H281" i="2"/>
  <c r="I281" i="2"/>
  <c r="J281" i="2"/>
  <c r="K281" i="2"/>
  <c r="L281" i="2"/>
  <c r="M281" i="2"/>
  <c r="N281" i="2"/>
  <c r="O281" i="2"/>
  <c r="P281" i="2" s="1"/>
  <c r="Q281" i="2"/>
  <c r="R281" i="2"/>
  <c r="S281" i="2"/>
  <c r="T281" i="2"/>
  <c r="U281" i="2"/>
  <c r="V281" i="2"/>
  <c r="W281" i="2"/>
  <c r="X281" i="2"/>
  <c r="E282" i="2"/>
  <c r="F282" i="2"/>
  <c r="G282" i="2"/>
  <c r="H282" i="2"/>
  <c r="I282" i="2"/>
  <c r="J282" i="2"/>
  <c r="K282" i="2"/>
  <c r="L282" i="2"/>
  <c r="M282" i="2"/>
  <c r="N282" i="2"/>
  <c r="O282" i="2"/>
  <c r="P282" i="2" s="1"/>
  <c r="Q282" i="2"/>
  <c r="R282" i="2"/>
  <c r="S282" i="2"/>
  <c r="T282" i="2"/>
  <c r="U282" i="2"/>
  <c r="V282" i="2"/>
  <c r="W282" i="2"/>
  <c r="X282" i="2"/>
  <c r="E283" i="2"/>
  <c r="F283" i="2"/>
  <c r="G283" i="2"/>
  <c r="H283" i="2"/>
  <c r="I283" i="2"/>
  <c r="J283" i="2"/>
  <c r="K283" i="2"/>
  <c r="L283" i="2"/>
  <c r="M283" i="2"/>
  <c r="N283" i="2"/>
  <c r="O283" i="2"/>
  <c r="P283" i="2" s="1"/>
  <c r="Q283" i="2"/>
  <c r="R283" i="2"/>
  <c r="S283" i="2"/>
  <c r="T283" i="2"/>
  <c r="U283" i="2"/>
  <c r="V283" i="2"/>
  <c r="W283" i="2"/>
  <c r="X283" i="2"/>
  <c r="E284" i="2"/>
  <c r="F284" i="2"/>
  <c r="G284" i="2"/>
  <c r="H284" i="2"/>
  <c r="I284" i="2"/>
  <c r="J284" i="2"/>
  <c r="K284" i="2"/>
  <c r="L284" i="2"/>
  <c r="M284" i="2"/>
  <c r="N284" i="2"/>
  <c r="O284" i="2"/>
  <c r="Q284" i="2"/>
  <c r="R284" i="2"/>
  <c r="S284" i="2"/>
  <c r="T284" i="2"/>
  <c r="U284" i="2"/>
  <c r="V284" i="2"/>
  <c r="W284" i="2"/>
  <c r="X284" i="2"/>
  <c r="E285" i="2"/>
  <c r="F285" i="2"/>
  <c r="G285" i="2"/>
  <c r="H285" i="2"/>
  <c r="I285" i="2"/>
  <c r="J285" i="2"/>
  <c r="K285" i="2"/>
  <c r="L285" i="2"/>
  <c r="M285" i="2"/>
  <c r="N285" i="2"/>
  <c r="O285" i="2"/>
  <c r="Q285" i="2"/>
  <c r="R285" i="2"/>
  <c r="S285" i="2"/>
  <c r="T285" i="2"/>
  <c r="U285" i="2"/>
  <c r="V285" i="2"/>
  <c r="W285" i="2"/>
  <c r="X285" i="2"/>
  <c r="E286" i="2"/>
  <c r="F286" i="2"/>
  <c r="G286" i="2"/>
  <c r="H286" i="2"/>
  <c r="I286" i="2"/>
  <c r="J286" i="2"/>
  <c r="K286" i="2"/>
  <c r="L286" i="2"/>
  <c r="M286" i="2"/>
  <c r="N286" i="2"/>
  <c r="O286" i="2"/>
  <c r="Q286" i="2"/>
  <c r="R286" i="2"/>
  <c r="S286" i="2"/>
  <c r="T286" i="2"/>
  <c r="U286" i="2"/>
  <c r="V286" i="2"/>
  <c r="W286" i="2"/>
  <c r="X286" i="2"/>
  <c r="E287" i="2"/>
  <c r="F287" i="2"/>
  <c r="G287" i="2"/>
  <c r="H287" i="2"/>
  <c r="I287" i="2"/>
  <c r="J287" i="2"/>
  <c r="K287" i="2"/>
  <c r="L287" i="2"/>
  <c r="M287" i="2"/>
  <c r="N287" i="2"/>
  <c r="O287" i="2"/>
  <c r="P287" i="2" s="1"/>
  <c r="Q287" i="2"/>
  <c r="R287" i="2"/>
  <c r="S287" i="2"/>
  <c r="T287" i="2"/>
  <c r="U287" i="2"/>
  <c r="V287" i="2"/>
  <c r="W287" i="2"/>
  <c r="X287" i="2"/>
  <c r="E288" i="2"/>
  <c r="F288" i="2"/>
  <c r="G288" i="2"/>
  <c r="H288" i="2"/>
  <c r="I288" i="2"/>
  <c r="J288" i="2"/>
  <c r="K288" i="2"/>
  <c r="L288" i="2"/>
  <c r="M288" i="2"/>
  <c r="N288" i="2"/>
  <c r="O288" i="2"/>
  <c r="P288" i="2" s="1"/>
  <c r="Q288" i="2"/>
  <c r="R288" i="2"/>
  <c r="S288" i="2"/>
  <c r="T288" i="2"/>
  <c r="U288" i="2"/>
  <c r="V288" i="2"/>
  <c r="W288" i="2"/>
  <c r="X288" i="2"/>
  <c r="E289" i="2"/>
  <c r="F289" i="2"/>
  <c r="G289" i="2"/>
  <c r="H289" i="2"/>
  <c r="I289" i="2"/>
  <c r="J289" i="2"/>
  <c r="K289" i="2"/>
  <c r="L289" i="2"/>
  <c r="M289" i="2"/>
  <c r="N289" i="2"/>
  <c r="O289" i="2"/>
  <c r="P289" i="2" s="1"/>
  <c r="Q289" i="2"/>
  <c r="R289" i="2"/>
  <c r="S289" i="2"/>
  <c r="T289" i="2"/>
  <c r="U289" i="2"/>
  <c r="V289" i="2"/>
  <c r="W289" i="2"/>
  <c r="X289" i="2"/>
  <c r="E290" i="2"/>
  <c r="F290" i="2"/>
  <c r="G290" i="2"/>
  <c r="H290" i="2"/>
  <c r="I290" i="2"/>
  <c r="J290" i="2"/>
  <c r="K290" i="2"/>
  <c r="L290" i="2"/>
  <c r="M290" i="2"/>
  <c r="N290" i="2"/>
  <c r="O290" i="2"/>
  <c r="Q290" i="2"/>
  <c r="R290" i="2"/>
  <c r="S290" i="2"/>
  <c r="T290" i="2"/>
  <c r="U290" i="2"/>
  <c r="V290" i="2"/>
  <c r="W290" i="2"/>
  <c r="X290" i="2"/>
  <c r="E291" i="2"/>
  <c r="F291" i="2"/>
  <c r="G291" i="2"/>
  <c r="H291" i="2"/>
  <c r="I291" i="2"/>
  <c r="J291" i="2"/>
  <c r="K291" i="2"/>
  <c r="L291" i="2"/>
  <c r="M291" i="2"/>
  <c r="N291" i="2"/>
  <c r="O291" i="2"/>
  <c r="Q291" i="2"/>
  <c r="R291" i="2"/>
  <c r="S291" i="2"/>
  <c r="T291" i="2"/>
  <c r="U291" i="2"/>
  <c r="V291" i="2"/>
  <c r="W291" i="2"/>
  <c r="X291" i="2"/>
  <c r="E292" i="2"/>
  <c r="F292" i="2"/>
  <c r="G292" i="2"/>
  <c r="H292" i="2"/>
  <c r="I292" i="2"/>
  <c r="J292" i="2"/>
  <c r="K292" i="2"/>
  <c r="L292" i="2"/>
  <c r="M292" i="2"/>
  <c r="N292" i="2"/>
  <c r="O292" i="2"/>
  <c r="Q292" i="2"/>
  <c r="R292" i="2"/>
  <c r="S292" i="2"/>
  <c r="T292" i="2"/>
  <c r="U292" i="2"/>
  <c r="V292" i="2"/>
  <c r="W292" i="2"/>
  <c r="X292" i="2"/>
  <c r="E293" i="2"/>
  <c r="F293" i="2"/>
  <c r="G293" i="2"/>
  <c r="H293" i="2"/>
  <c r="I293" i="2"/>
  <c r="J293" i="2"/>
  <c r="K293" i="2"/>
  <c r="L293" i="2"/>
  <c r="M293" i="2"/>
  <c r="N293" i="2"/>
  <c r="O293" i="2"/>
  <c r="P293" i="2" s="1"/>
  <c r="Q293" i="2"/>
  <c r="R293" i="2"/>
  <c r="S293" i="2"/>
  <c r="T293" i="2"/>
  <c r="U293" i="2"/>
  <c r="V293" i="2"/>
  <c r="W293" i="2"/>
  <c r="X293" i="2"/>
  <c r="E294" i="2"/>
  <c r="F294" i="2"/>
  <c r="G294" i="2"/>
  <c r="H294" i="2"/>
  <c r="I294" i="2"/>
  <c r="J294" i="2"/>
  <c r="K294" i="2"/>
  <c r="L294" i="2"/>
  <c r="M294" i="2"/>
  <c r="N294" i="2"/>
  <c r="O294" i="2"/>
  <c r="P294" i="2" s="1"/>
  <c r="Q294" i="2"/>
  <c r="R294" i="2"/>
  <c r="S294" i="2"/>
  <c r="T294" i="2"/>
  <c r="U294" i="2"/>
  <c r="V294" i="2"/>
  <c r="W294" i="2"/>
  <c r="X294" i="2"/>
  <c r="X183" i="2"/>
  <c r="W183" i="2"/>
  <c r="V183" i="2"/>
  <c r="U183" i="2"/>
  <c r="T183" i="2"/>
  <c r="S183" i="2"/>
  <c r="R183" i="2"/>
  <c r="Q183" i="2"/>
  <c r="O183" i="2"/>
  <c r="P183" i="2" s="1"/>
  <c r="N183" i="2"/>
  <c r="M183" i="2"/>
  <c r="L183" i="2"/>
  <c r="K183" i="2"/>
  <c r="J183" i="2"/>
  <c r="I183" i="2"/>
  <c r="H183" i="2"/>
  <c r="G183" i="2"/>
  <c r="F183" i="2"/>
  <c r="E183" i="2"/>
  <c r="E152" i="2"/>
  <c r="F152" i="2"/>
  <c r="G152" i="2"/>
  <c r="H152" i="2"/>
  <c r="I152" i="2"/>
  <c r="J152" i="2"/>
  <c r="K152" i="2"/>
  <c r="L152" i="2"/>
  <c r="M152" i="2"/>
  <c r="N152" i="2"/>
  <c r="O152" i="2"/>
  <c r="Q152" i="2"/>
  <c r="R152" i="2"/>
  <c r="S152" i="2"/>
  <c r="T152" i="2"/>
  <c r="U152" i="2"/>
  <c r="V152" i="2"/>
  <c r="W152" i="2"/>
  <c r="X152" i="2"/>
  <c r="E153" i="2"/>
  <c r="F153" i="2"/>
  <c r="G153" i="2"/>
  <c r="H153" i="2"/>
  <c r="I153" i="2"/>
  <c r="J153" i="2"/>
  <c r="K153" i="2"/>
  <c r="L153" i="2"/>
  <c r="M153" i="2"/>
  <c r="N153" i="2"/>
  <c r="O153" i="2"/>
  <c r="Q153" i="2"/>
  <c r="R153" i="2"/>
  <c r="S153" i="2"/>
  <c r="T153" i="2"/>
  <c r="U153" i="2"/>
  <c r="V153" i="2"/>
  <c r="W153" i="2"/>
  <c r="X153" i="2"/>
  <c r="E154" i="2"/>
  <c r="F154" i="2"/>
  <c r="G154" i="2"/>
  <c r="H154" i="2"/>
  <c r="I154" i="2"/>
  <c r="J154" i="2"/>
  <c r="K154" i="2"/>
  <c r="L154" i="2"/>
  <c r="M154" i="2"/>
  <c r="N154" i="2"/>
  <c r="O154" i="2"/>
  <c r="Q154" i="2"/>
  <c r="R154" i="2"/>
  <c r="S154" i="2"/>
  <c r="T154" i="2"/>
  <c r="U154" i="2"/>
  <c r="V154" i="2"/>
  <c r="W154" i="2"/>
  <c r="X154" i="2"/>
  <c r="E155" i="2"/>
  <c r="F155" i="2"/>
  <c r="G155" i="2"/>
  <c r="H155" i="2"/>
  <c r="I155" i="2"/>
  <c r="J155" i="2"/>
  <c r="K155" i="2"/>
  <c r="L155" i="2"/>
  <c r="M155" i="2"/>
  <c r="N155" i="2"/>
  <c r="O155" i="2"/>
  <c r="P155" i="2" s="1"/>
  <c r="Q155" i="2"/>
  <c r="R155" i="2"/>
  <c r="S155" i="2"/>
  <c r="T155" i="2"/>
  <c r="U155" i="2"/>
  <c r="V155" i="2"/>
  <c r="W155" i="2"/>
  <c r="X155" i="2"/>
  <c r="E156" i="2"/>
  <c r="F156" i="2"/>
  <c r="G156" i="2"/>
  <c r="H156" i="2"/>
  <c r="I156" i="2"/>
  <c r="J156" i="2"/>
  <c r="K156" i="2"/>
  <c r="L156" i="2"/>
  <c r="M156" i="2"/>
  <c r="N156" i="2"/>
  <c r="O156" i="2"/>
  <c r="P156" i="2" s="1"/>
  <c r="Q156" i="2"/>
  <c r="R156" i="2"/>
  <c r="S156" i="2"/>
  <c r="T156" i="2"/>
  <c r="U156" i="2"/>
  <c r="V156" i="2"/>
  <c r="W156" i="2"/>
  <c r="X156" i="2"/>
  <c r="E157" i="2"/>
  <c r="F157" i="2"/>
  <c r="G157" i="2"/>
  <c r="H157" i="2"/>
  <c r="I157" i="2"/>
  <c r="J157" i="2"/>
  <c r="K157" i="2"/>
  <c r="L157" i="2"/>
  <c r="M157" i="2"/>
  <c r="N157" i="2"/>
  <c r="O157" i="2"/>
  <c r="P157" i="2" s="1"/>
  <c r="Q157" i="2"/>
  <c r="R157" i="2"/>
  <c r="S157" i="2"/>
  <c r="T157" i="2"/>
  <c r="U157" i="2"/>
  <c r="V157" i="2"/>
  <c r="W157" i="2"/>
  <c r="X157" i="2"/>
  <c r="E158" i="2"/>
  <c r="F158" i="2"/>
  <c r="G158" i="2"/>
  <c r="H158" i="2"/>
  <c r="I158" i="2"/>
  <c r="J158" i="2"/>
  <c r="K158" i="2"/>
  <c r="L158" i="2"/>
  <c r="M158" i="2"/>
  <c r="N158" i="2"/>
  <c r="O158" i="2"/>
  <c r="Q158" i="2"/>
  <c r="R158" i="2"/>
  <c r="S158" i="2"/>
  <c r="T158" i="2"/>
  <c r="U158" i="2"/>
  <c r="V158" i="2"/>
  <c r="W158" i="2"/>
  <c r="X158" i="2"/>
  <c r="E159" i="2"/>
  <c r="F159" i="2"/>
  <c r="G159" i="2"/>
  <c r="H159" i="2"/>
  <c r="I159" i="2"/>
  <c r="J159" i="2"/>
  <c r="K159" i="2"/>
  <c r="L159" i="2"/>
  <c r="M159" i="2"/>
  <c r="N159" i="2"/>
  <c r="O159" i="2"/>
  <c r="Q159" i="2"/>
  <c r="R159" i="2"/>
  <c r="S159" i="2"/>
  <c r="T159" i="2"/>
  <c r="U159" i="2"/>
  <c r="V159" i="2"/>
  <c r="W159" i="2"/>
  <c r="X159" i="2"/>
  <c r="E160" i="2"/>
  <c r="F160" i="2"/>
  <c r="G160" i="2"/>
  <c r="H160" i="2"/>
  <c r="I160" i="2"/>
  <c r="J160" i="2"/>
  <c r="K160" i="2"/>
  <c r="L160" i="2"/>
  <c r="M160" i="2"/>
  <c r="N160" i="2"/>
  <c r="O160" i="2"/>
  <c r="Q160" i="2"/>
  <c r="R160" i="2"/>
  <c r="S160" i="2"/>
  <c r="T160" i="2"/>
  <c r="U160" i="2"/>
  <c r="V160" i="2"/>
  <c r="W160" i="2"/>
  <c r="X160" i="2"/>
  <c r="E161" i="2"/>
  <c r="F161" i="2"/>
  <c r="G161" i="2"/>
  <c r="H161" i="2"/>
  <c r="I161" i="2"/>
  <c r="J161" i="2"/>
  <c r="K161" i="2"/>
  <c r="L161" i="2"/>
  <c r="M161" i="2"/>
  <c r="N161" i="2"/>
  <c r="O161" i="2"/>
  <c r="P161" i="2" s="1"/>
  <c r="Q161" i="2"/>
  <c r="R161" i="2"/>
  <c r="S161" i="2"/>
  <c r="T161" i="2"/>
  <c r="U161" i="2"/>
  <c r="V161" i="2"/>
  <c r="W161" i="2"/>
  <c r="X161" i="2"/>
  <c r="E162" i="2"/>
  <c r="F162" i="2"/>
  <c r="G162" i="2"/>
  <c r="H162" i="2"/>
  <c r="I162" i="2"/>
  <c r="J162" i="2"/>
  <c r="K162" i="2"/>
  <c r="L162" i="2"/>
  <c r="M162" i="2"/>
  <c r="N162" i="2"/>
  <c r="O162" i="2"/>
  <c r="P162" i="2" s="1"/>
  <c r="Q162" i="2"/>
  <c r="R162" i="2"/>
  <c r="S162" i="2"/>
  <c r="T162" i="2"/>
  <c r="U162" i="2"/>
  <c r="V162" i="2"/>
  <c r="W162" i="2"/>
  <c r="X162" i="2"/>
  <c r="E163" i="2"/>
  <c r="F163" i="2"/>
  <c r="G163" i="2"/>
  <c r="H163" i="2"/>
  <c r="I163" i="2"/>
  <c r="J163" i="2"/>
  <c r="K163" i="2"/>
  <c r="L163" i="2"/>
  <c r="M163" i="2"/>
  <c r="N163" i="2"/>
  <c r="O163" i="2"/>
  <c r="P163" i="2" s="1"/>
  <c r="Q163" i="2"/>
  <c r="R163" i="2"/>
  <c r="S163" i="2"/>
  <c r="T163" i="2"/>
  <c r="U163" i="2"/>
  <c r="V163" i="2"/>
  <c r="W163" i="2"/>
  <c r="X163" i="2"/>
  <c r="E164" i="2"/>
  <c r="F164" i="2"/>
  <c r="G164" i="2"/>
  <c r="H164" i="2"/>
  <c r="I164" i="2"/>
  <c r="J164" i="2"/>
  <c r="K164" i="2"/>
  <c r="L164" i="2"/>
  <c r="M164" i="2"/>
  <c r="N164" i="2"/>
  <c r="O164" i="2"/>
  <c r="Q164" i="2"/>
  <c r="R164" i="2"/>
  <c r="S164" i="2"/>
  <c r="T164" i="2"/>
  <c r="U164" i="2"/>
  <c r="V164" i="2"/>
  <c r="W164" i="2"/>
  <c r="X164" i="2"/>
  <c r="E165" i="2"/>
  <c r="F165" i="2"/>
  <c r="G165" i="2"/>
  <c r="H165" i="2"/>
  <c r="I165" i="2"/>
  <c r="J165" i="2"/>
  <c r="K165" i="2"/>
  <c r="L165" i="2"/>
  <c r="M165" i="2"/>
  <c r="N165" i="2"/>
  <c r="O165" i="2"/>
  <c r="Q165" i="2"/>
  <c r="R165" i="2"/>
  <c r="S165" i="2"/>
  <c r="T165" i="2"/>
  <c r="U165" i="2"/>
  <c r="V165" i="2"/>
  <c r="W165" i="2"/>
  <c r="X165" i="2"/>
  <c r="E166" i="2"/>
  <c r="F166" i="2"/>
  <c r="G166" i="2"/>
  <c r="H166" i="2"/>
  <c r="I166" i="2"/>
  <c r="J166" i="2"/>
  <c r="K166" i="2"/>
  <c r="L166" i="2"/>
  <c r="M166" i="2"/>
  <c r="N166" i="2"/>
  <c r="O166" i="2"/>
  <c r="Q166" i="2"/>
  <c r="R166" i="2"/>
  <c r="S166" i="2"/>
  <c r="T166" i="2"/>
  <c r="U166" i="2"/>
  <c r="V166" i="2"/>
  <c r="W166" i="2"/>
  <c r="X166" i="2"/>
  <c r="E167" i="2"/>
  <c r="F167" i="2"/>
  <c r="G167" i="2"/>
  <c r="H167" i="2"/>
  <c r="I167" i="2"/>
  <c r="J167" i="2"/>
  <c r="K167" i="2"/>
  <c r="L167" i="2"/>
  <c r="M167" i="2"/>
  <c r="N167" i="2"/>
  <c r="O167" i="2"/>
  <c r="P167" i="2" s="1"/>
  <c r="Q167" i="2"/>
  <c r="R167" i="2"/>
  <c r="S167" i="2"/>
  <c r="T167" i="2"/>
  <c r="U167" i="2"/>
  <c r="V167" i="2"/>
  <c r="W167" i="2"/>
  <c r="X167" i="2"/>
  <c r="E168" i="2"/>
  <c r="F168" i="2"/>
  <c r="G168" i="2"/>
  <c r="H168" i="2"/>
  <c r="I168" i="2"/>
  <c r="J168" i="2"/>
  <c r="K168" i="2"/>
  <c r="L168" i="2"/>
  <c r="M168" i="2"/>
  <c r="N168" i="2"/>
  <c r="O168" i="2"/>
  <c r="P168" i="2" s="1"/>
  <c r="Q168" i="2"/>
  <c r="R168" i="2"/>
  <c r="S168" i="2"/>
  <c r="T168" i="2"/>
  <c r="U168" i="2"/>
  <c r="V168" i="2"/>
  <c r="W168" i="2"/>
  <c r="X168" i="2"/>
  <c r="E169" i="2"/>
  <c r="F169" i="2"/>
  <c r="G169" i="2"/>
  <c r="H169" i="2"/>
  <c r="I169" i="2"/>
  <c r="J169" i="2"/>
  <c r="K169" i="2"/>
  <c r="L169" i="2"/>
  <c r="M169" i="2"/>
  <c r="N169" i="2"/>
  <c r="O169" i="2"/>
  <c r="P169" i="2" s="1"/>
  <c r="Q169" i="2"/>
  <c r="R169" i="2"/>
  <c r="S169" i="2"/>
  <c r="T169" i="2"/>
  <c r="U169" i="2"/>
  <c r="V169" i="2"/>
  <c r="W169" i="2"/>
  <c r="X169" i="2"/>
  <c r="E170" i="2"/>
  <c r="F170" i="2"/>
  <c r="G170" i="2"/>
  <c r="H170" i="2"/>
  <c r="I170" i="2"/>
  <c r="J170" i="2"/>
  <c r="K170" i="2"/>
  <c r="L170" i="2"/>
  <c r="M170" i="2"/>
  <c r="N170" i="2"/>
  <c r="O170" i="2"/>
  <c r="Q170" i="2"/>
  <c r="R170" i="2"/>
  <c r="S170" i="2"/>
  <c r="T170" i="2"/>
  <c r="U170" i="2"/>
  <c r="V170" i="2"/>
  <c r="W170" i="2"/>
  <c r="X170" i="2"/>
  <c r="E171" i="2"/>
  <c r="F171" i="2"/>
  <c r="G171" i="2"/>
  <c r="H171" i="2"/>
  <c r="I171" i="2"/>
  <c r="J171" i="2"/>
  <c r="K171" i="2"/>
  <c r="L171" i="2"/>
  <c r="M171" i="2"/>
  <c r="N171" i="2"/>
  <c r="O171" i="2"/>
  <c r="Q171" i="2"/>
  <c r="R171" i="2"/>
  <c r="S171" i="2"/>
  <c r="T171" i="2"/>
  <c r="U171" i="2"/>
  <c r="V171" i="2"/>
  <c r="W171" i="2"/>
  <c r="X171" i="2"/>
  <c r="E172" i="2"/>
  <c r="F172" i="2"/>
  <c r="G172" i="2"/>
  <c r="H172" i="2"/>
  <c r="I172" i="2"/>
  <c r="J172" i="2"/>
  <c r="K172" i="2"/>
  <c r="L172" i="2"/>
  <c r="M172" i="2"/>
  <c r="N172" i="2"/>
  <c r="O172" i="2"/>
  <c r="Q172" i="2"/>
  <c r="R172" i="2"/>
  <c r="S172" i="2"/>
  <c r="T172" i="2"/>
  <c r="U172" i="2"/>
  <c r="V172" i="2"/>
  <c r="W172" i="2"/>
  <c r="X172" i="2"/>
  <c r="E173" i="2"/>
  <c r="F173" i="2"/>
  <c r="G173" i="2"/>
  <c r="H173" i="2"/>
  <c r="I173" i="2"/>
  <c r="J173" i="2"/>
  <c r="K173" i="2"/>
  <c r="L173" i="2"/>
  <c r="M173" i="2"/>
  <c r="N173" i="2"/>
  <c r="O173" i="2"/>
  <c r="P173" i="2" s="1"/>
  <c r="Q173" i="2"/>
  <c r="R173" i="2"/>
  <c r="S173" i="2"/>
  <c r="T173" i="2"/>
  <c r="U173" i="2"/>
  <c r="V173" i="2"/>
  <c r="W173" i="2"/>
  <c r="X173" i="2"/>
  <c r="E174" i="2"/>
  <c r="F174" i="2"/>
  <c r="G174" i="2"/>
  <c r="H174" i="2"/>
  <c r="I174" i="2"/>
  <c r="J174" i="2"/>
  <c r="K174" i="2"/>
  <c r="L174" i="2"/>
  <c r="M174" i="2"/>
  <c r="N174" i="2"/>
  <c r="O174" i="2"/>
  <c r="P174" i="2" s="1"/>
  <c r="Q174" i="2"/>
  <c r="R174" i="2"/>
  <c r="S174" i="2"/>
  <c r="T174" i="2"/>
  <c r="U174" i="2"/>
  <c r="V174" i="2"/>
  <c r="W174" i="2"/>
  <c r="X174" i="2"/>
  <c r="E175" i="2"/>
  <c r="F175" i="2"/>
  <c r="G175" i="2"/>
  <c r="H175" i="2"/>
  <c r="I175" i="2"/>
  <c r="J175" i="2"/>
  <c r="K175" i="2"/>
  <c r="L175" i="2"/>
  <c r="M175" i="2"/>
  <c r="N175" i="2"/>
  <c r="O175" i="2"/>
  <c r="P175" i="2" s="1"/>
  <c r="Q175" i="2"/>
  <c r="R175" i="2"/>
  <c r="S175" i="2"/>
  <c r="T175" i="2"/>
  <c r="U175" i="2"/>
  <c r="V175" i="2"/>
  <c r="W175" i="2"/>
  <c r="X175" i="2"/>
  <c r="E176" i="2"/>
  <c r="F176" i="2"/>
  <c r="G176" i="2"/>
  <c r="H176" i="2"/>
  <c r="I176" i="2"/>
  <c r="J176" i="2"/>
  <c r="K176" i="2"/>
  <c r="L176" i="2"/>
  <c r="M176" i="2"/>
  <c r="N176" i="2"/>
  <c r="O176" i="2"/>
  <c r="Q176" i="2"/>
  <c r="R176" i="2"/>
  <c r="S176" i="2"/>
  <c r="T176" i="2"/>
  <c r="U176" i="2"/>
  <c r="V176" i="2"/>
  <c r="W176" i="2"/>
  <c r="X176" i="2"/>
  <c r="E177" i="2"/>
  <c r="F177" i="2"/>
  <c r="G177" i="2"/>
  <c r="H177" i="2"/>
  <c r="I177" i="2"/>
  <c r="J177" i="2"/>
  <c r="K177" i="2"/>
  <c r="L177" i="2"/>
  <c r="M177" i="2"/>
  <c r="N177" i="2"/>
  <c r="O177" i="2"/>
  <c r="Q177" i="2"/>
  <c r="R177" i="2"/>
  <c r="S177" i="2"/>
  <c r="T177" i="2"/>
  <c r="U177" i="2"/>
  <c r="V177" i="2"/>
  <c r="W177" i="2"/>
  <c r="X177" i="2"/>
  <c r="E178" i="2"/>
  <c r="F178" i="2"/>
  <c r="G178" i="2"/>
  <c r="H178" i="2"/>
  <c r="I178" i="2"/>
  <c r="J178" i="2"/>
  <c r="K178" i="2"/>
  <c r="L178" i="2"/>
  <c r="M178" i="2"/>
  <c r="N178" i="2"/>
  <c r="O178" i="2"/>
  <c r="Q178" i="2"/>
  <c r="R178" i="2"/>
  <c r="S178" i="2"/>
  <c r="T178" i="2"/>
  <c r="U178" i="2"/>
  <c r="V178" i="2"/>
  <c r="W178" i="2"/>
  <c r="X178" i="2"/>
  <c r="E179" i="2"/>
  <c r="F179" i="2"/>
  <c r="G179" i="2"/>
  <c r="H179" i="2"/>
  <c r="I179" i="2"/>
  <c r="J179" i="2"/>
  <c r="K179" i="2"/>
  <c r="L179" i="2"/>
  <c r="M179" i="2"/>
  <c r="N179" i="2"/>
  <c r="O179" i="2"/>
  <c r="P179" i="2" s="1"/>
  <c r="Q179" i="2"/>
  <c r="R179" i="2"/>
  <c r="S179" i="2"/>
  <c r="T179" i="2"/>
  <c r="U179" i="2"/>
  <c r="V179" i="2"/>
  <c r="W179" i="2"/>
  <c r="X179" i="2"/>
  <c r="E180" i="2"/>
  <c r="F180" i="2"/>
  <c r="G180" i="2"/>
  <c r="H180" i="2"/>
  <c r="I180" i="2"/>
  <c r="J180" i="2"/>
  <c r="K180" i="2"/>
  <c r="L180" i="2"/>
  <c r="M180" i="2"/>
  <c r="N180" i="2"/>
  <c r="O180" i="2"/>
  <c r="P180" i="2" s="1"/>
  <c r="Q180" i="2"/>
  <c r="R180" i="2"/>
  <c r="S180" i="2"/>
  <c r="T180" i="2"/>
  <c r="U180" i="2"/>
  <c r="V180" i="2"/>
  <c r="W180" i="2"/>
  <c r="X180" i="2"/>
  <c r="E181" i="2"/>
  <c r="F181" i="2"/>
  <c r="G181" i="2"/>
  <c r="H181" i="2"/>
  <c r="I181" i="2"/>
  <c r="J181" i="2"/>
  <c r="K181" i="2"/>
  <c r="L181" i="2"/>
  <c r="M181" i="2"/>
  <c r="N181" i="2"/>
  <c r="O181" i="2"/>
  <c r="P181" i="2" s="1"/>
  <c r="Q181" i="2"/>
  <c r="R181" i="2"/>
  <c r="S181" i="2"/>
  <c r="T181" i="2"/>
  <c r="U181" i="2"/>
  <c r="V181" i="2"/>
  <c r="W181" i="2"/>
  <c r="X181" i="2"/>
  <c r="X151" i="2"/>
  <c r="W151" i="2"/>
  <c r="V151" i="2"/>
  <c r="U151" i="2"/>
  <c r="T151" i="2"/>
  <c r="S151" i="2"/>
  <c r="R151" i="2"/>
  <c r="Q151" i="2"/>
  <c r="O151" i="2"/>
  <c r="P151" i="2" s="1"/>
  <c r="N151" i="2"/>
  <c r="M151" i="2"/>
  <c r="L151" i="2"/>
  <c r="K151" i="2"/>
  <c r="J151" i="2"/>
  <c r="I151" i="2"/>
  <c r="H151" i="2"/>
  <c r="G151" i="2"/>
  <c r="F151" i="2"/>
  <c r="E151" i="2"/>
  <c r="R4" i="2"/>
  <c r="S4" i="2"/>
  <c r="T4" i="2"/>
  <c r="U4" i="2"/>
  <c r="V4" i="2"/>
  <c r="W4" i="2"/>
  <c r="X4" i="2"/>
  <c r="R5" i="2"/>
  <c r="S5" i="2"/>
  <c r="T5" i="2"/>
  <c r="U5" i="2"/>
  <c r="V5" i="2"/>
  <c r="W5" i="2"/>
  <c r="X5" i="2"/>
  <c r="R6" i="2"/>
  <c r="S6" i="2"/>
  <c r="T6" i="2"/>
  <c r="U6" i="2"/>
  <c r="V6" i="2"/>
  <c r="W6" i="2"/>
  <c r="X6" i="2"/>
  <c r="R7" i="2"/>
  <c r="S7" i="2"/>
  <c r="T7" i="2"/>
  <c r="U7" i="2"/>
  <c r="V7" i="2"/>
  <c r="W7" i="2"/>
  <c r="X7" i="2"/>
  <c r="R8" i="2"/>
  <c r="S8" i="2"/>
  <c r="T8" i="2"/>
  <c r="U8" i="2"/>
  <c r="V8" i="2"/>
  <c r="W8" i="2"/>
  <c r="X8" i="2"/>
  <c r="R9" i="2"/>
  <c r="S9" i="2"/>
  <c r="T9" i="2"/>
  <c r="U9" i="2"/>
  <c r="V9" i="2"/>
  <c r="W9" i="2"/>
  <c r="X9" i="2"/>
  <c r="R10" i="2"/>
  <c r="S10" i="2"/>
  <c r="T10" i="2"/>
  <c r="U10" i="2"/>
  <c r="V10" i="2"/>
  <c r="W10" i="2"/>
  <c r="X10" i="2"/>
  <c r="R11" i="2"/>
  <c r="S11" i="2"/>
  <c r="T11" i="2"/>
  <c r="U11" i="2"/>
  <c r="V11" i="2"/>
  <c r="W11" i="2"/>
  <c r="X11" i="2"/>
  <c r="R12" i="2"/>
  <c r="S12" i="2"/>
  <c r="T12" i="2"/>
  <c r="U12" i="2"/>
  <c r="V12" i="2"/>
  <c r="W12" i="2"/>
  <c r="X12" i="2"/>
  <c r="R13" i="2"/>
  <c r="S13" i="2"/>
  <c r="T13" i="2"/>
  <c r="U13" i="2"/>
  <c r="V13" i="2"/>
  <c r="W13" i="2"/>
  <c r="X13" i="2"/>
  <c r="R14" i="2"/>
  <c r="S14" i="2"/>
  <c r="T14" i="2"/>
  <c r="U14" i="2"/>
  <c r="V14" i="2"/>
  <c r="W14" i="2"/>
  <c r="X14" i="2"/>
  <c r="R15" i="2"/>
  <c r="S15" i="2"/>
  <c r="T15" i="2"/>
  <c r="U15" i="2"/>
  <c r="V15" i="2"/>
  <c r="W15" i="2"/>
  <c r="X15" i="2"/>
  <c r="R16" i="2"/>
  <c r="S16" i="2"/>
  <c r="T16" i="2"/>
  <c r="U16" i="2"/>
  <c r="V16" i="2"/>
  <c r="W16" i="2"/>
  <c r="X16" i="2"/>
  <c r="R17" i="2"/>
  <c r="S17" i="2"/>
  <c r="T17" i="2"/>
  <c r="U17" i="2"/>
  <c r="V17" i="2"/>
  <c r="W17" i="2"/>
  <c r="X17" i="2"/>
  <c r="R18" i="2"/>
  <c r="S18" i="2"/>
  <c r="T18" i="2"/>
  <c r="U18" i="2"/>
  <c r="V18" i="2"/>
  <c r="W18" i="2"/>
  <c r="X18" i="2"/>
  <c r="R19" i="2"/>
  <c r="S19" i="2"/>
  <c r="T19" i="2"/>
  <c r="U19" i="2"/>
  <c r="V19" i="2"/>
  <c r="W19" i="2"/>
  <c r="X19" i="2"/>
  <c r="R20" i="2"/>
  <c r="S20" i="2"/>
  <c r="T20" i="2"/>
  <c r="U20" i="2"/>
  <c r="V20" i="2"/>
  <c r="W20" i="2"/>
  <c r="X20" i="2"/>
  <c r="R21" i="2"/>
  <c r="S21" i="2"/>
  <c r="T21" i="2"/>
  <c r="U21" i="2"/>
  <c r="V21" i="2"/>
  <c r="W21" i="2"/>
  <c r="X21" i="2"/>
  <c r="R22" i="2"/>
  <c r="S22" i="2"/>
  <c r="T22" i="2"/>
  <c r="U22" i="2"/>
  <c r="V22" i="2"/>
  <c r="W22" i="2"/>
  <c r="X22" i="2"/>
  <c r="R23" i="2"/>
  <c r="S23" i="2"/>
  <c r="T23" i="2"/>
  <c r="U23" i="2"/>
  <c r="V23" i="2"/>
  <c r="W23" i="2"/>
  <c r="X23" i="2"/>
  <c r="R24" i="2"/>
  <c r="S24" i="2"/>
  <c r="T24" i="2"/>
  <c r="U24" i="2"/>
  <c r="V24" i="2"/>
  <c r="W24" i="2"/>
  <c r="X24" i="2"/>
  <c r="R25" i="2"/>
  <c r="S25" i="2"/>
  <c r="T25" i="2"/>
  <c r="U25" i="2"/>
  <c r="V25" i="2"/>
  <c r="W25" i="2"/>
  <c r="X25" i="2"/>
  <c r="R26" i="2"/>
  <c r="S26" i="2"/>
  <c r="T26" i="2"/>
  <c r="U26" i="2"/>
  <c r="V26" i="2"/>
  <c r="W26" i="2"/>
  <c r="X26" i="2"/>
  <c r="R27" i="2"/>
  <c r="S27" i="2"/>
  <c r="T27" i="2"/>
  <c r="U27" i="2"/>
  <c r="V27" i="2"/>
  <c r="W27" i="2"/>
  <c r="X27" i="2"/>
  <c r="R28" i="2"/>
  <c r="S28" i="2"/>
  <c r="T28" i="2"/>
  <c r="U28" i="2"/>
  <c r="V28" i="2"/>
  <c r="W28" i="2"/>
  <c r="X28" i="2"/>
  <c r="R29" i="2"/>
  <c r="S29" i="2"/>
  <c r="T29" i="2"/>
  <c r="U29" i="2"/>
  <c r="V29" i="2"/>
  <c r="W29" i="2"/>
  <c r="X29" i="2"/>
  <c r="R30" i="2"/>
  <c r="S30" i="2"/>
  <c r="T30" i="2"/>
  <c r="U30" i="2"/>
  <c r="V30" i="2"/>
  <c r="W30" i="2"/>
  <c r="X30" i="2"/>
  <c r="R31" i="2"/>
  <c r="S31" i="2"/>
  <c r="T31" i="2"/>
  <c r="U31" i="2"/>
  <c r="V31" i="2"/>
  <c r="W31" i="2"/>
  <c r="X31" i="2"/>
  <c r="R32" i="2"/>
  <c r="S32" i="2"/>
  <c r="T32" i="2"/>
  <c r="U32" i="2"/>
  <c r="V32" i="2"/>
  <c r="W32" i="2"/>
  <c r="X32" i="2"/>
  <c r="R33" i="2"/>
  <c r="S33" i="2"/>
  <c r="T33" i="2"/>
  <c r="U33" i="2"/>
  <c r="V33" i="2"/>
  <c r="W33" i="2"/>
  <c r="X33" i="2"/>
  <c r="R34" i="2"/>
  <c r="S34" i="2"/>
  <c r="T34" i="2"/>
  <c r="U34" i="2"/>
  <c r="V34" i="2"/>
  <c r="W34" i="2"/>
  <c r="X34" i="2"/>
  <c r="R35" i="2"/>
  <c r="S35" i="2"/>
  <c r="T35" i="2"/>
  <c r="U35" i="2"/>
  <c r="V35" i="2"/>
  <c r="W35" i="2"/>
  <c r="X35" i="2"/>
  <c r="R36" i="2"/>
  <c r="S36" i="2"/>
  <c r="T36" i="2"/>
  <c r="U36" i="2"/>
  <c r="V36" i="2"/>
  <c r="W36" i="2"/>
  <c r="X36" i="2"/>
  <c r="R37" i="2"/>
  <c r="S37" i="2"/>
  <c r="T37" i="2"/>
  <c r="U37" i="2"/>
  <c r="V37" i="2"/>
  <c r="W37" i="2"/>
  <c r="X37" i="2"/>
  <c r="R38" i="2"/>
  <c r="S38" i="2"/>
  <c r="T38" i="2"/>
  <c r="U38" i="2"/>
  <c r="V38" i="2"/>
  <c r="W38" i="2"/>
  <c r="X38" i="2"/>
  <c r="R39" i="2"/>
  <c r="S39" i="2"/>
  <c r="T39" i="2"/>
  <c r="U39" i="2"/>
  <c r="V39" i="2"/>
  <c r="W39" i="2"/>
  <c r="X39" i="2"/>
  <c r="R40" i="2"/>
  <c r="S40" i="2"/>
  <c r="T40" i="2"/>
  <c r="U40" i="2"/>
  <c r="V40" i="2"/>
  <c r="W40" i="2"/>
  <c r="X40" i="2"/>
  <c r="R41" i="2"/>
  <c r="S41" i="2"/>
  <c r="T41" i="2"/>
  <c r="U41" i="2"/>
  <c r="V41" i="2"/>
  <c r="W41" i="2"/>
  <c r="X41" i="2"/>
  <c r="R42" i="2"/>
  <c r="S42" i="2"/>
  <c r="T42" i="2"/>
  <c r="U42" i="2"/>
  <c r="V42" i="2"/>
  <c r="W42" i="2"/>
  <c r="X42" i="2"/>
  <c r="R43" i="2"/>
  <c r="S43" i="2"/>
  <c r="T43" i="2"/>
  <c r="U43" i="2"/>
  <c r="V43" i="2"/>
  <c r="W43" i="2"/>
  <c r="X43" i="2"/>
  <c r="R44" i="2"/>
  <c r="S44" i="2"/>
  <c r="T44" i="2"/>
  <c r="U44" i="2"/>
  <c r="V44" i="2"/>
  <c r="W44" i="2"/>
  <c r="X44" i="2"/>
  <c r="R45" i="2"/>
  <c r="S45" i="2"/>
  <c r="T45" i="2"/>
  <c r="U45" i="2"/>
  <c r="V45" i="2"/>
  <c r="W45" i="2"/>
  <c r="X45" i="2"/>
  <c r="R46" i="2"/>
  <c r="S46" i="2"/>
  <c r="T46" i="2"/>
  <c r="U46" i="2"/>
  <c r="V46" i="2"/>
  <c r="W46" i="2"/>
  <c r="X46" i="2"/>
  <c r="R47" i="2"/>
  <c r="S47" i="2"/>
  <c r="T47" i="2"/>
  <c r="U47" i="2"/>
  <c r="V47" i="2"/>
  <c r="W47" i="2"/>
  <c r="X47" i="2"/>
  <c r="R48" i="2"/>
  <c r="S48" i="2"/>
  <c r="T48" i="2"/>
  <c r="U48" i="2"/>
  <c r="V48" i="2"/>
  <c r="W48" i="2"/>
  <c r="X48" i="2"/>
  <c r="R49" i="2"/>
  <c r="S49" i="2"/>
  <c r="T49" i="2"/>
  <c r="U49" i="2"/>
  <c r="V49" i="2"/>
  <c r="W49" i="2"/>
  <c r="X49" i="2"/>
  <c r="R50" i="2"/>
  <c r="S50" i="2"/>
  <c r="T50" i="2"/>
  <c r="U50" i="2"/>
  <c r="V50" i="2"/>
  <c r="W50" i="2"/>
  <c r="X50" i="2"/>
  <c r="R51" i="2"/>
  <c r="S51" i="2"/>
  <c r="T51" i="2"/>
  <c r="U51" i="2"/>
  <c r="V51" i="2"/>
  <c r="W51" i="2"/>
  <c r="X51" i="2"/>
  <c r="R52" i="2"/>
  <c r="S52" i="2"/>
  <c r="T52" i="2"/>
  <c r="U52" i="2"/>
  <c r="V52" i="2"/>
  <c r="W52" i="2"/>
  <c r="X52" i="2"/>
  <c r="R53" i="2"/>
  <c r="S53" i="2"/>
  <c r="T53" i="2"/>
  <c r="U53" i="2"/>
  <c r="V53" i="2"/>
  <c r="W53" i="2"/>
  <c r="X53" i="2"/>
  <c r="R54" i="2"/>
  <c r="S54" i="2"/>
  <c r="T54" i="2"/>
  <c r="U54" i="2"/>
  <c r="V54" i="2"/>
  <c r="W54" i="2"/>
  <c r="X54" i="2"/>
  <c r="R55" i="2"/>
  <c r="S55" i="2"/>
  <c r="T55" i="2"/>
  <c r="U55" i="2"/>
  <c r="V55" i="2"/>
  <c r="W55" i="2"/>
  <c r="X55" i="2"/>
  <c r="R56" i="2"/>
  <c r="S56" i="2"/>
  <c r="T56" i="2"/>
  <c r="U56" i="2"/>
  <c r="V56" i="2"/>
  <c r="W56" i="2"/>
  <c r="X56" i="2"/>
  <c r="R57" i="2"/>
  <c r="S57" i="2"/>
  <c r="T57" i="2"/>
  <c r="U57" i="2"/>
  <c r="V57" i="2"/>
  <c r="W57" i="2"/>
  <c r="X57" i="2"/>
  <c r="R58" i="2"/>
  <c r="S58" i="2"/>
  <c r="T58" i="2"/>
  <c r="U58" i="2"/>
  <c r="V58" i="2"/>
  <c r="W58" i="2"/>
  <c r="X58" i="2"/>
  <c r="R59" i="2"/>
  <c r="S59" i="2"/>
  <c r="T59" i="2"/>
  <c r="U59" i="2"/>
  <c r="V59" i="2"/>
  <c r="W59" i="2"/>
  <c r="X59" i="2"/>
  <c r="R60" i="2"/>
  <c r="S60" i="2"/>
  <c r="T60" i="2"/>
  <c r="U60" i="2"/>
  <c r="V60" i="2"/>
  <c r="W60" i="2"/>
  <c r="X60" i="2"/>
  <c r="R61" i="2"/>
  <c r="S61" i="2"/>
  <c r="T61" i="2"/>
  <c r="U61" i="2"/>
  <c r="V61" i="2"/>
  <c r="W61" i="2"/>
  <c r="X61" i="2"/>
  <c r="R62" i="2"/>
  <c r="S62" i="2"/>
  <c r="T62" i="2"/>
  <c r="U62" i="2"/>
  <c r="V62" i="2"/>
  <c r="W62" i="2"/>
  <c r="X62" i="2"/>
  <c r="R63" i="2"/>
  <c r="S63" i="2"/>
  <c r="T63" i="2"/>
  <c r="U63" i="2"/>
  <c r="V63" i="2"/>
  <c r="W63" i="2"/>
  <c r="X63" i="2"/>
  <c r="R64" i="2"/>
  <c r="S64" i="2"/>
  <c r="T64" i="2"/>
  <c r="U64" i="2"/>
  <c r="V64" i="2"/>
  <c r="W64" i="2"/>
  <c r="X64" i="2"/>
  <c r="R65" i="2"/>
  <c r="S65" i="2"/>
  <c r="T65" i="2"/>
  <c r="U65" i="2"/>
  <c r="V65" i="2"/>
  <c r="W65" i="2"/>
  <c r="X65" i="2"/>
  <c r="R66" i="2"/>
  <c r="S66" i="2"/>
  <c r="T66" i="2"/>
  <c r="U66" i="2"/>
  <c r="V66" i="2"/>
  <c r="W66" i="2"/>
  <c r="X66" i="2"/>
  <c r="R67" i="2"/>
  <c r="S67" i="2"/>
  <c r="T67" i="2"/>
  <c r="U67" i="2"/>
  <c r="V67" i="2"/>
  <c r="W67" i="2"/>
  <c r="X67" i="2"/>
  <c r="R68" i="2"/>
  <c r="S68" i="2"/>
  <c r="T68" i="2"/>
  <c r="U68" i="2"/>
  <c r="V68" i="2"/>
  <c r="W68" i="2"/>
  <c r="X68" i="2"/>
  <c r="R69" i="2"/>
  <c r="S69" i="2"/>
  <c r="T69" i="2"/>
  <c r="U69" i="2"/>
  <c r="V69" i="2"/>
  <c r="W69" i="2"/>
  <c r="X69" i="2"/>
  <c r="R70" i="2"/>
  <c r="S70" i="2"/>
  <c r="T70" i="2"/>
  <c r="U70" i="2"/>
  <c r="V70" i="2"/>
  <c r="W70" i="2"/>
  <c r="X70" i="2"/>
  <c r="R71" i="2"/>
  <c r="S71" i="2"/>
  <c r="T71" i="2"/>
  <c r="U71" i="2"/>
  <c r="V71" i="2"/>
  <c r="W71" i="2"/>
  <c r="X71" i="2"/>
  <c r="R72" i="2"/>
  <c r="S72" i="2"/>
  <c r="T72" i="2"/>
  <c r="U72" i="2"/>
  <c r="V72" i="2"/>
  <c r="W72" i="2"/>
  <c r="X72" i="2"/>
  <c r="R73" i="2"/>
  <c r="S73" i="2"/>
  <c r="T73" i="2"/>
  <c r="U73" i="2"/>
  <c r="V73" i="2"/>
  <c r="W73" i="2"/>
  <c r="X73" i="2"/>
  <c r="R74" i="2"/>
  <c r="S74" i="2"/>
  <c r="T74" i="2"/>
  <c r="U74" i="2"/>
  <c r="V74" i="2"/>
  <c r="W74" i="2"/>
  <c r="X74" i="2"/>
  <c r="R75" i="2"/>
  <c r="S75" i="2"/>
  <c r="T75" i="2"/>
  <c r="U75" i="2"/>
  <c r="V75" i="2"/>
  <c r="W75" i="2"/>
  <c r="X75" i="2"/>
  <c r="R76" i="2"/>
  <c r="S76" i="2"/>
  <c r="T76" i="2"/>
  <c r="U76" i="2"/>
  <c r="V76" i="2"/>
  <c r="W76" i="2"/>
  <c r="X76" i="2"/>
  <c r="R77" i="2"/>
  <c r="S77" i="2"/>
  <c r="T77" i="2"/>
  <c r="U77" i="2"/>
  <c r="V77" i="2"/>
  <c r="W77" i="2"/>
  <c r="X77" i="2"/>
  <c r="R78" i="2"/>
  <c r="S78" i="2"/>
  <c r="T78" i="2"/>
  <c r="U78" i="2"/>
  <c r="V78" i="2"/>
  <c r="W78" i="2"/>
  <c r="X78" i="2"/>
  <c r="R79" i="2"/>
  <c r="S79" i="2"/>
  <c r="T79" i="2"/>
  <c r="U79" i="2"/>
  <c r="V79" i="2"/>
  <c r="W79" i="2"/>
  <c r="X79" i="2"/>
  <c r="R80" i="2"/>
  <c r="S80" i="2"/>
  <c r="T80" i="2"/>
  <c r="U80" i="2"/>
  <c r="V80" i="2"/>
  <c r="W80" i="2"/>
  <c r="X80" i="2"/>
  <c r="R81" i="2"/>
  <c r="S81" i="2"/>
  <c r="T81" i="2"/>
  <c r="U81" i="2"/>
  <c r="V81" i="2"/>
  <c r="W81" i="2"/>
  <c r="X81" i="2"/>
  <c r="R82" i="2"/>
  <c r="S82" i="2"/>
  <c r="T82" i="2"/>
  <c r="U82" i="2"/>
  <c r="V82" i="2"/>
  <c r="W82" i="2"/>
  <c r="X82" i="2"/>
  <c r="R83" i="2"/>
  <c r="S83" i="2"/>
  <c r="T83" i="2"/>
  <c r="U83" i="2"/>
  <c r="V83" i="2"/>
  <c r="W83" i="2"/>
  <c r="X83" i="2"/>
  <c r="R84" i="2"/>
  <c r="S84" i="2"/>
  <c r="T84" i="2"/>
  <c r="U84" i="2"/>
  <c r="V84" i="2"/>
  <c r="W84" i="2"/>
  <c r="X84" i="2"/>
  <c r="R85" i="2"/>
  <c r="S85" i="2"/>
  <c r="T85" i="2"/>
  <c r="U85" i="2"/>
  <c r="V85" i="2"/>
  <c r="W85" i="2"/>
  <c r="X85" i="2"/>
  <c r="R86" i="2"/>
  <c r="S86" i="2"/>
  <c r="T86" i="2"/>
  <c r="U86" i="2"/>
  <c r="V86" i="2"/>
  <c r="W86" i="2"/>
  <c r="X86" i="2"/>
  <c r="R87" i="2"/>
  <c r="S87" i="2"/>
  <c r="T87" i="2"/>
  <c r="U87" i="2"/>
  <c r="V87" i="2"/>
  <c r="W87" i="2"/>
  <c r="X87" i="2"/>
  <c r="R88" i="2"/>
  <c r="S88" i="2"/>
  <c r="T88" i="2"/>
  <c r="U88" i="2"/>
  <c r="V88" i="2"/>
  <c r="W88" i="2"/>
  <c r="X88" i="2"/>
  <c r="R89" i="2"/>
  <c r="S89" i="2"/>
  <c r="T89" i="2"/>
  <c r="U89" i="2"/>
  <c r="V89" i="2"/>
  <c r="W89" i="2"/>
  <c r="X89" i="2"/>
  <c r="R90" i="2"/>
  <c r="S90" i="2"/>
  <c r="T90" i="2"/>
  <c r="U90" i="2"/>
  <c r="V90" i="2"/>
  <c r="W90" i="2"/>
  <c r="X90" i="2"/>
  <c r="R91" i="2"/>
  <c r="S91" i="2"/>
  <c r="T91" i="2"/>
  <c r="U91" i="2"/>
  <c r="V91" i="2"/>
  <c r="W91" i="2"/>
  <c r="X91" i="2"/>
  <c r="R92" i="2"/>
  <c r="S92" i="2"/>
  <c r="T92" i="2"/>
  <c r="U92" i="2"/>
  <c r="V92" i="2"/>
  <c r="W92" i="2"/>
  <c r="X92" i="2"/>
  <c r="R93" i="2"/>
  <c r="S93" i="2"/>
  <c r="T93" i="2"/>
  <c r="U93" i="2"/>
  <c r="V93" i="2"/>
  <c r="W93" i="2"/>
  <c r="X93" i="2"/>
  <c r="R94" i="2"/>
  <c r="S94" i="2"/>
  <c r="T94" i="2"/>
  <c r="U94" i="2"/>
  <c r="V94" i="2"/>
  <c r="W94" i="2"/>
  <c r="X94" i="2"/>
  <c r="R95" i="2"/>
  <c r="S95" i="2"/>
  <c r="T95" i="2"/>
  <c r="U95" i="2"/>
  <c r="V95" i="2"/>
  <c r="W95" i="2"/>
  <c r="X95" i="2"/>
  <c r="R96" i="2"/>
  <c r="S96" i="2"/>
  <c r="T96" i="2"/>
  <c r="U96" i="2"/>
  <c r="V96" i="2"/>
  <c r="W96" i="2"/>
  <c r="X96" i="2"/>
  <c r="R97" i="2"/>
  <c r="S97" i="2"/>
  <c r="T97" i="2"/>
  <c r="U97" i="2"/>
  <c r="V97" i="2"/>
  <c r="W97" i="2"/>
  <c r="X97" i="2"/>
  <c r="R98" i="2"/>
  <c r="S98" i="2"/>
  <c r="T98" i="2"/>
  <c r="U98" i="2"/>
  <c r="V98" i="2"/>
  <c r="W98" i="2"/>
  <c r="X98" i="2"/>
  <c r="R99" i="2"/>
  <c r="S99" i="2"/>
  <c r="T99" i="2"/>
  <c r="U99" i="2"/>
  <c r="V99" i="2"/>
  <c r="W99" i="2"/>
  <c r="X99" i="2"/>
  <c r="R100" i="2"/>
  <c r="S100" i="2"/>
  <c r="T100" i="2"/>
  <c r="U100" i="2"/>
  <c r="V100" i="2"/>
  <c r="W100" i="2"/>
  <c r="X100" i="2"/>
  <c r="R101" i="2"/>
  <c r="S101" i="2"/>
  <c r="T101" i="2"/>
  <c r="U101" i="2"/>
  <c r="V101" i="2"/>
  <c r="W101" i="2"/>
  <c r="X101" i="2"/>
  <c r="R102" i="2"/>
  <c r="S102" i="2"/>
  <c r="T102" i="2"/>
  <c r="U102" i="2"/>
  <c r="V102" i="2"/>
  <c r="W102" i="2"/>
  <c r="X102" i="2"/>
  <c r="R103" i="2"/>
  <c r="S103" i="2"/>
  <c r="T103" i="2"/>
  <c r="U103" i="2"/>
  <c r="V103" i="2"/>
  <c r="W103" i="2"/>
  <c r="X103" i="2"/>
  <c r="R104" i="2"/>
  <c r="S104" i="2"/>
  <c r="T104" i="2"/>
  <c r="U104" i="2"/>
  <c r="V104" i="2"/>
  <c r="W104" i="2"/>
  <c r="X104" i="2"/>
  <c r="R105" i="2"/>
  <c r="S105" i="2"/>
  <c r="T105" i="2"/>
  <c r="U105" i="2"/>
  <c r="V105" i="2"/>
  <c r="W105" i="2"/>
  <c r="X105" i="2"/>
  <c r="R106" i="2"/>
  <c r="S106" i="2"/>
  <c r="T106" i="2"/>
  <c r="U106" i="2"/>
  <c r="V106" i="2"/>
  <c r="W106" i="2"/>
  <c r="X106" i="2"/>
  <c r="R107" i="2"/>
  <c r="S107" i="2"/>
  <c r="T107" i="2"/>
  <c r="U107" i="2"/>
  <c r="V107" i="2"/>
  <c r="W107" i="2"/>
  <c r="X107" i="2"/>
  <c r="R108" i="2"/>
  <c r="S108" i="2"/>
  <c r="T108" i="2"/>
  <c r="U108" i="2"/>
  <c r="V108" i="2"/>
  <c r="W108" i="2"/>
  <c r="X108" i="2"/>
  <c r="R109" i="2"/>
  <c r="S109" i="2"/>
  <c r="T109" i="2"/>
  <c r="U109" i="2"/>
  <c r="V109" i="2"/>
  <c r="W109" i="2"/>
  <c r="X109" i="2"/>
  <c r="R110" i="2"/>
  <c r="S110" i="2"/>
  <c r="T110" i="2"/>
  <c r="U110" i="2"/>
  <c r="V110" i="2"/>
  <c r="W110" i="2"/>
  <c r="X110" i="2"/>
  <c r="R111" i="2"/>
  <c r="S111" i="2"/>
  <c r="T111" i="2"/>
  <c r="U111" i="2"/>
  <c r="V111" i="2"/>
  <c r="W111" i="2"/>
  <c r="X111" i="2"/>
  <c r="R112" i="2"/>
  <c r="S112" i="2"/>
  <c r="T112" i="2"/>
  <c r="U112" i="2"/>
  <c r="V112" i="2"/>
  <c r="W112" i="2"/>
  <c r="X112" i="2"/>
  <c r="R113" i="2"/>
  <c r="S113" i="2"/>
  <c r="T113" i="2"/>
  <c r="U113" i="2"/>
  <c r="V113" i="2"/>
  <c r="W113" i="2"/>
  <c r="X113" i="2"/>
  <c r="R114" i="2"/>
  <c r="S114" i="2"/>
  <c r="T114" i="2"/>
  <c r="U114" i="2"/>
  <c r="V114" i="2"/>
  <c r="W114" i="2"/>
  <c r="X114" i="2"/>
  <c r="R115" i="2"/>
  <c r="S115" i="2"/>
  <c r="T115" i="2"/>
  <c r="U115" i="2"/>
  <c r="V115" i="2"/>
  <c r="W115" i="2"/>
  <c r="X115" i="2"/>
  <c r="R116" i="2"/>
  <c r="S116" i="2"/>
  <c r="T116" i="2"/>
  <c r="U116" i="2"/>
  <c r="V116" i="2"/>
  <c r="W116" i="2"/>
  <c r="X116" i="2"/>
  <c r="R117" i="2"/>
  <c r="S117" i="2"/>
  <c r="T117" i="2"/>
  <c r="U117" i="2"/>
  <c r="V117" i="2"/>
  <c r="W117" i="2"/>
  <c r="X117" i="2"/>
  <c r="R118" i="2"/>
  <c r="S118" i="2"/>
  <c r="T118" i="2"/>
  <c r="U118" i="2"/>
  <c r="V118" i="2"/>
  <c r="W118" i="2"/>
  <c r="X118" i="2"/>
  <c r="R119" i="2"/>
  <c r="S119" i="2"/>
  <c r="T119" i="2"/>
  <c r="U119" i="2"/>
  <c r="V119" i="2"/>
  <c r="W119" i="2"/>
  <c r="X119" i="2"/>
  <c r="R120" i="2"/>
  <c r="S120" i="2"/>
  <c r="T120" i="2"/>
  <c r="U120" i="2"/>
  <c r="V120" i="2"/>
  <c r="W120" i="2"/>
  <c r="X120" i="2"/>
  <c r="R121" i="2"/>
  <c r="S121" i="2"/>
  <c r="T121" i="2"/>
  <c r="U121" i="2"/>
  <c r="V121" i="2"/>
  <c r="W121" i="2"/>
  <c r="X121" i="2"/>
  <c r="R122" i="2"/>
  <c r="S122" i="2"/>
  <c r="T122" i="2"/>
  <c r="U122" i="2"/>
  <c r="V122" i="2"/>
  <c r="W122" i="2"/>
  <c r="X122" i="2"/>
  <c r="R123" i="2"/>
  <c r="S123" i="2"/>
  <c r="T123" i="2"/>
  <c r="U123" i="2"/>
  <c r="V123" i="2"/>
  <c r="W123" i="2"/>
  <c r="X123" i="2"/>
  <c r="R124" i="2"/>
  <c r="S124" i="2"/>
  <c r="T124" i="2"/>
  <c r="U124" i="2"/>
  <c r="V124" i="2"/>
  <c r="W124" i="2"/>
  <c r="X124" i="2"/>
  <c r="R125" i="2"/>
  <c r="S125" i="2"/>
  <c r="T125" i="2"/>
  <c r="U125" i="2"/>
  <c r="V125" i="2"/>
  <c r="W125" i="2"/>
  <c r="X125" i="2"/>
  <c r="R126" i="2"/>
  <c r="S126" i="2"/>
  <c r="T126" i="2"/>
  <c r="U126" i="2"/>
  <c r="V126" i="2"/>
  <c r="W126" i="2"/>
  <c r="X126" i="2"/>
  <c r="R127" i="2"/>
  <c r="S127" i="2"/>
  <c r="T127" i="2"/>
  <c r="U127" i="2"/>
  <c r="V127" i="2"/>
  <c r="W127" i="2"/>
  <c r="X127" i="2"/>
  <c r="R128" i="2"/>
  <c r="S128" i="2"/>
  <c r="T128" i="2"/>
  <c r="U128" i="2"/>
  <c r="V128" i="2"/>
  <c r="W128" i="2"/>
  <c r="X128" i="2"/>
  <c r="R129" i="2"/>
  <c r="S129" i="2"/>
  <c r="T129" i="2"/>
  <c r="U129" i="2"/>
  <c r="V129" i="2"/>
  <c r="W129" i="2"/>
  <c r="X129" i="2"/>
  <c r="R130" i="2"/>
  <c r="S130" i="2"/>
  <c r="T130" i="2"/>
  <c r="U130" i="2"/>
  <c r="V130" i="2"/>
  <c r="W130" i="2"/>
  <c r="X130" i="2"/>
  <c r="R131" i="2"/>
  <c r="S131" i="2"/>
  <c r="T131" i="2"/>
  <c r="U131" i="2"/>
  <c r="V131" i="2"/>
  <c r="W131" i="2"/>
  <c r="X131" i="2"/>
  <c r="R132" i="2"/>
  <c r="S132" i="2"/>
  <c r="T132" i="2"/>
  <c r="U132" i="2"/>
  <c r="V132" i="2"/>
  <c r="W132" i="2"/>
  <c r="X132" i="2"/>
  <c r="R133" i="2"/>
  <c r="S133" i="2"/>
  <c r="T133" i="2"/>
  <c r="U133" i="2"/>
  <c r="V133" i="2"/>
  <c r="W133" i="2"/>
  <c r="X133" i="2"/>
  <c r="R134" i="2"/>
  <c r="S134" i="2"/>
  <c r="T134" i="2"/>
  <c r="U134" i="2"/>
  <c r="V134" i="2"/>
  <c r="W134" i="2"/>
  <c r="X134" i="2"/>
  <c r="R135" i="2"/>
  <c r="S135" i="2"/>
  <c r="T135" i="2"/>
  <c r="U135" i="2"/>
  <c r="V135" i="2"/>
  <c r="W135" i="2"/>
  <c r="X135" i="2"/>
  <c r="R136" i="2"/>
  <c r="S136" i="2"/>
  <c r="T136" i="2"/>
  <c r="U136" i="2"/>
  <c r="V136" i="2"/>
  <c r="W136" i="2"/>
  <c r="X136" i="2"/>
  <c r="R137" i="2"/>
  <c r="S137" i="2"/>
  <c r="T137" i="2"/>
  <c r="U137" i="2"/>
  <c r="V137" i="2"/>
  <c r="W137" i="2"/>
  <c r="X137" i="2"/>
  <c r="R138" i="2"/>
  <c r="S138" i="2"/>
  <c r="T138" i="2"/>
  <c r="U138" i="2"/>
  <c r="V138" i="2"/>
  <c r="W138" i="2"/>
  <c r="X138" i="2"/>
  <c r="R139" i="2"/>
  <c r="S139" i="2"/>
  <c r="T139" i="2"/>
  <c r="U139" i="2"/>
  <c r="V139" i="2"/>
  <c r="W139" i="2"/>
  <c r="X139" i="2"/>
  <c r="R140" i="2"/>
  <c r="S140" i="2"/>
  <c r="T140" i="2"/>
  <c r="U140" i="2"/>
  <c r="V140" i="2"/>
  <c r="W140" i="2"/>
  <c r="X140" i="2"/>
  <c r="R141" i="2"/>
  <c r="S141" i="2"/>
  <c r="T141" i="2"/>
  <c r="U141" i="2"/>
  <c r="V141" i="2"/>
  <c r="W141" i="2"/>
  <c r="X141" i="2"/>
  <c r="R142" i="2"/>
  <c r="S142" i="2"/>
  <c r="T142" i="2"/>
  <c r="U142" i="2"/>
  <c r="V142" i="2"/>
  <c r="W142" i="2"/>
  <c r="X142" i="2"/>
  <c r="R143" i="2"/>
  <c r="S143" i="2"/>
  <c r="T143" i="2"/>
  <c r="U143" i="2"/>
  <c r="V143" i="2"/>
  <c r="W143" i="2"/>
  <c r="X143" i="2"/>
  <c r="R144" i="2"/>
  <c r="S144" i="2"/>
  <c r="T144" i="2"/>
  <c r="U144" i="2"/>
  <c r="V144" i="2"/>
  <c r="W144" i="2"/>
  <c r="X144" i="2"/>
  <c r="R145" i="2"/>
  <c r="S145" i="2"/>
  <c r="T145" i="2"/>
  <c r="U145" i="2"/>
  <c r="V145" i="2"/>
  <c r="W145" i="2"/>
  <c r="X145" i="2"/>
  <c r="R146" i="2"/>
  <c r="S146" i="2"/>
  <c r="T146" i="2"/>
  <c r="U146" i="2"/>
  <c r="V146" i="2"/>
  <c r="W146" i="2"/>
  <c r="X146" i="2"/>
  <c r="R147" i="2"/>
  <c r="S147" i="2"/>
  <c r="T147" i="2"/>
  <c r="U147" i="2"/>
  <c r="V147" i="2"/>
  <c r="W147" i="2"/>
  <c r="X147" i="2"/>
  <c r="R148" i="2"/>
  <c r="S148" i="2"/>
  <c r="T148" i="2"/>
  <c r="U148" i="2"/>
  <c r="V148" i="2"/>
  <c r="W148" i="2"/>
  <c r="X148" i="2"/>
  <c r="R149" i="2"/>
  <c r="S149" i="2"/>
  <c r="T149" i="2"/>
  <c r="U149" i="2"/>
  <c r="V149" i="2"/>
  <c r="W149" i="2"/>
  <c r="X149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F3" i="2"/>
  <c r="G3" i="2"/>
  <c r="H3" i="2"/>
  <c r="I3" i="2"/>
  <c r="J3" i="2"/>
  <c r="K3" i="2"/>
  <c r="L3" i="2"/>
  <c r="M3" i="2"/>
  <c r="N3" i="2"/>
  <c r="O3" i="2"/>
  <c r="Q3" i="2"/>
  <c r="R3" i="2"/>
  <c r="S3" i="2"/>
  <c r="T3" i="2"/>
  <c r="U3" i="2"/>
  <c r="V3" i="2"/>
  <c r="W3" i="2"/>
  <c r="X3" i="2"/>
  <c r="E3" i="2"/>
  <c r="P128" i="2" l="1"/>
  <c r="P98" i="2"/>
  <c r="P68" i="2"/>
  <c r="P38" i="2"/>
  <c r="P8" i="2"/>
  <c r="P140" i="2"/>
  <c r="P116" i="2"/>
  <c r="P86" i="2"/>
  <c r="P56" i="2"/>
  <c r="P32" i="2"/>
  <c r="P133" i="2"/>
  <c r="P115" i="2"/>
  <c r="P97" i="2"/>
  <c r="P79" i="2"/>
  <c r="P61" i="2"/>
  <c r="P37" i="2"/>
  <c r="P13" i="2"/>
  <c r="P134" i="2"/>
  <c r="P104" i="2"/>
  <c r="P74" i="2"/>
  <c r="P44" i="2"/>
  <c r="P14" i="2"/>
  <c r="P145" i="2"/>
  <c r="P127" i="2"/>
  <c r="P109" i="2"/>
  <c r="P91" i="2"/>
  <c r="P73" i="2"/>
  <c r="P49" i="2"/>
  <c r="P31" i="2"/>
  <c r="P7" i="2"/>
  <c r="P122" i="2"/>
  <c r="P92" i="2"/>
  <c r="P62" i="2"/>
  <c r="P20" i="2"/>
  <c r="P142" i="2"/>
  <c r="P136" i="2"/>
  <c r="P130" i="2"/>
  <c r="P124" i="2"/>
  <c r="P118" i="2"/>
  <c r="P112" i="2"/>
  <c r="P106" i="2"/>
  <c r="P100" i="2"/>
  <c r="P94" i="2"/>
  <c r="P88" i="2"/>
  <c r="P82" i="2"/>
  <c r="P76" i="2"/>
  <c r="P70" i="2"/>
  <c r="P64" i="2"/>
  <c r="P58" i="2"/>
  <c r="P52" i="2"/>
  <c r="P46" i="2"/>
  <c r="P40" i="2"/>
  <c r="P34" i="2"/>
  <c r="P28" i="2"/>
  <c r="P22" i="2"/>
  <c r="P16" i="2"/>
  <c r="P146" i="2"/>
  <c r="P110" i="2"/>
  <c r="P80" i="2"/>
  <c r="P50" i="2"/>
  <c r="P26" i="2"/>
  <c r="P139" i="2"/>
  <c r="P121" i="2"/>
  <c r="P103" i="2"/>
  <c r="P85" i="2"/>
  <c r="P67" i="2"/>
  <c r="P55" i="2"/>
  <c r="P43" i="2"/>
  <c r="P25" i="2"/>
  <c r="P19" i="2"/>
  <c r="P148" i="2"/>
  <c r="P10" i="2"/>
  <c r="P825" i="2"/>
  <c r="P819" i="2"/>
  <c r="P813" i="2"/>
  <c r="P807" i="2"/>
  <c r="P905" i="2"/>
  <c r="P1014" i="2"/>
  <c r="P1008" i="2"/>
  <c r="P1002" i="2"/>
  <c r="P996" i="2"/>
  <c r="P990" i="2"/>
  <c r="P984" i="2"/>
  <c r="P978" i="2"/>
  <c r="P972" i="2"/>
  <c r="P966" i="2"/>
  <c r="P960" i="2"/>
  <c r="P954" i="2"/>
  <c r="P948" i="2"/>
  <c r="P942" i="2"/>
  <c r="P936" i="2"/>
  <c r="P930" i="2"/>
  <c r="P924" i="2"/>
  <c r="P918" i="2"/>
  <c r="P912" i="2"/>
  <c r="P906" i="2"/>
  <c r="P144" i="2"/>
  <c r="P138" i="2"/>
  <c r="P132" i="2"/>
  <c r="P126" i="2"/>
  <c r="P120" i="2"/>
  <c r="P114" i="2"/>
  <c r="P108" i="2"/>
  <c r="P102" i="2"/>
  <c r="P96" i="2"/>
  <c r="P90" i="2"/>
  <c r="P84" i="2"/>
  <c r="P78" i="2"/>
  <c r="P72" i="2"/>
  <c r="P66" i="2"/>
  <c r="P60" i="2"/>
  <c r="P54" i="2"/>
  <c r="P48" i="2"/>
  <c r="P42" i="2"/>
  <c r="P36" i="2"/>
  <c r="P30" i="2"/>
  <c r="P24" i="2"/>
  <c r="P18" i="2"/>
  <c r="P12" i="2"/>
  <c r="P6" i="2"/>
  <c r="P149" i="2"/>
  <c r="P143" i="2"/>
  <c r="P137" i="2"/>
  <c r="P131" i="2"/>
  <c r="P125" i="2"/>
  <c r="P119" i="2"/>
  <c r="P113" i="2"/>
  <c r="P107" i="2"/>
  <c r="P101" i="2"/>
  <c r="P95" i="2"/>
  <c r="P89" i="2"/>
  <c r="P83" i="2"/>
  <c r="P77" i="2"/>
  <c r="P71" i="2"/>
  <c r="P65" i="2"/>
  <c r="P59" i="2"/>
  <c r="P53" i="2"/>
  <c r="P47" i="2"/>
  <c r="P41" i="2"/>
  <c r="P35" i="2"/>
  <c r="P29" i="2"/>
  <c r="P23" i="2"/>
  <c r="P17" i="2"/>
  <c r="P11" i="2"/>
  <c r="P5" i="2"/>
  <c r="P178" i="2"/>
  <c r="P172" i="2"/>
  <c r="P166" i="2"/>
  <c r="P160" i="2"/>
  <c r="P154" i="2"/>
  <c r="P292" i="2"/>
  <c r="P286" i="2"/>
  <c r="P280" i="2"/>
  <c r="P274" i="2"/>
  <c r="P268" i="2"/>
  <c r="P262" i="2"/>
  <c r="P256" i="2"/>
  <c r="P250" i="2"/>
  <c r="P244" i="2"/>
  <c r="P238" i="2"/>
  <c r="P232" i="2"/>
  <c r="P226" i="2"/>
  <c r="P220" i="2"/>
  <c r="P214" i="2"/>
  <c r="P208" i="2"/>
  <c r="P202" i="2"/>
  <c r="P196" i="2"/>
  <c r="P190" i="2"/>
  <c r="P184" i="2"/>
  <c r="P375" i="2"/>
  <c r="P369" i="2"/>
  <c r="P363" i="2"/>
  <c r="P357" i="2"/>
  <c r="P351" i="2"/>
  <c r="P345" i="2"/>
  <c r="P339" i="2"/>
  <c r="P333" i="2"/>
  <c r="P327" i="2"/>
  <c r="P321" i="2"/>
  <c r="P315" i="2"/>
  <c r="P309" i="2"/>
  <c r="P303" i="2"/>
  <c r="P297" i="2"/>
  <c r="P412" i="2"/>
  <c r="P406" i="2"/>
  <c r="P400" i="2"/>
  <c r="P394" i="2"/>
  <c r="P388" i="2"/>
  <c r="P382" i="2"/>
  <c r="P536" i="2"/>
  <c r="P530" i="2"/>
  <c r="P524" i="2"/>
  <c r="P518" i="2"/>
  <c r="P512" i="2"/>
  <c r="P506" i="2"/>
  <c r="P500" i="2"/>
  <c r="P494" i="2"/>
  <c r="P488" i="2"/>
  <c r="P482" i="2"/>
  <c r="P476" i="2"/>
  <c r="P470" i="2"/>
  <c r="P464" i="2"/>
  <c r="P458" i="2"/>
  <c r="P452" i="2"/>
  <c r="P446" i="2"/>
  <c r="P440" i="2"/>
  <c r="P434" i="2"/>
  <c r="P428" i="2"/>
  <c r="P422" i="2"/>
  <c r="P542" i="2"/>
  <c r="P584" i="2"/>
  <c r="P578" i="2"/>
  <c r="P572" i="2"/>
  <c r="P566" i="2"/>
  <c r="P560" i="2"/>
  <c r="P554" i="2"/>
  <c r="P548" i="2"/>
  <c r="P644" i="2"/>
  <c r="P638" i="2"/>
  <c r="P632" i="2"/>
  <c r="P626" i="2"/>
  <c r="P620" i="2"/>
  <c r="P614" i="2"/>
  <c r="P608" i="2"/>
  <c r="P602" i="2"/>
  <c r="P596" i="2"/>
  <c r="P590" i="2"/>
  <c r="P707" i="2"/>
  <c r="P701" i="2"/>
  <c r="P695" i="2"/>
  <c r="P689" i="2"/>
  <c r="P683" i="2"/>
  <c r="P677" i="2"/>
  <c r="P671" i="2"/>
  <c r="P665" i="2"/>
  <c r="P659" i="2"/>
  <c r="P653" i="2"/>
  <c r="P798" i="2"/>
  <c r="P792" i="2"/>
  <c r="P786" i="2"/>
  <c r="P780" i="2"/>
  <c r="P774" i="2"/>
  <c r="P768" i="2"/>
  <c r="P762" i="2"/>
  <c r="P756" i="2"/>
  <c r="P750" i="2"/>
  <c r="P744" i="2"/>
  <c r="P738" i="2"/>
  <c r="P732" i="2"/>
  <c r="P726" i="2"/>
  <c r="P720" i="2"/>
  <c r="P714" i="2"/>
  <c r="P901" i="2"/>
  <c r="P895" i="2"/>
  <c r="P889" i="2"/>
  <c r="P883" i="2"/>
  <c r="P877" i="2"/>
  <c r="P871" i="2"/>
  <c r="P865" i="2"/>
  <c r="P859" i="2"/>
  <c r="P853" i="2"/>
  <c r="P847" i="2"/>
  <c r="P841" i="2"/>
  <c r="P835" i="2"/>
  <c r="P829" i="2"/>
  <c r="P823" i="2"/>
  <c r="P817" i="2"/>
  <c r="P811" i="2"/>
  <c r="P805" i="2"/>
  <c r="P1012" i="2"/>
  <c r="P1006" i="2"/>
  <c r="P1000" i="2"/>
  <c r="P994" i="2"/>
  <c r="P988" i="2"/>
  <c r="P982" i="2"/>
  <c r="P976" i="2"/>
  <c r="P970" i="2"/>
  <c r="P964" i="2"/>
  <c r="P958" i="2"/>
  <c r="P952" i="2"/>
  <c r="P946" i="2"/>
  <c r="P940" i="2"/>
  <c r="P934" i="2"/>
  <c r="P928" i="2"/>
  <c r="P922" i="2"/>
  <c r="P916" i="2"/>
  <c r="P910" i="2"/>
  <c r="P165" i="2"/>
  <c r="P291" i="2"/>
  <c r="P285" i="2"/>
  <c r="P279" i="2"/>
  <c r="P273" i="2"/>
  <c r="P267" i="2"/>
  <c r="P261" i="2"/>
  <c r="P255" i="2"/>
  <c r="P249" i="2"/>
  <c r="P243" i="2"/>
  <c r="P237" i="2"/>
  <c r="P231" i="2"/>
  <c r="P225" i="2"/>
  <c r="P219" i="2"/>
  <c r="P213" i="2"/>
  <c r="P207" i="2"/>
  <c r="P201" i="2"/>
  <c r="P195" i="2"/>
  <c r="P189" i="2"/>
  <c r="P374" i="2"/>
  <c r="P368" i="2"/>
  <c r="P362" i="2"/>
  <c r="P356" i="2"/>
  <c r="P350" i="2"/>
  <c r="P344" i="2"/>
  <c r="P338" i="2"/>
  <c r="P332" i="2"/>
  <c r="P326" i="2"/>
  <c r="P320" i="2"/>
  <c r="P314" i="2"/>
  <c r="P308" i="2"/>
  <c r="P302" i="2"/>
  <c r="P411" i="2"/>
  <c r="P405" i="2"/>
  <c r="P399" i="2"/>
  <c r="P393" i="2"/>
  <c r="P387" i="2"/>
  <c r="P535" i="2"/>
  <c r="P529" i="2"/>
  <c r="P523" i="2"/>
  <c r="P517" i="2"/>
  <c r="P511" i="2"/>
  <c r="P505" i="2"/>
  <c r="P499" i="2"/>
  <c r="P493" i="2"/>
  <c r="P487" i="2"/>
  <c r="P481" i="2"/>
  <c r="P475" i="2"/>
  <c r="P469" i="2"/>
  <c r="P463" i="2"/>
  <c r="P457" i="2"/>
  <c r="P451" i="2"/>
  <c r="P445" i="2"/>
  <c r="P439" i="2"/>
  <c r="P433" i="2"/>
  <c r="P427" i="2"/>
  <c r="P421" i="2"/>
  <c r="P583" i="2"/>
  <c r="P577" i="2"/>
  <c r="P571" i="2"/>
  <c r="P565" i="2"/>
  <c r="P559" i="2"/>
  <c r="P553" i="2"/>
  <c r="P547" i="2"/>
  <c r="P649" i="2"/>
  <c r="P643" i="2"/>
  <c r="P637" i="2"/>
  <c r="P631" i="2"/>
  <c r="P625" i="2"/>
  <c r="P619" i="2"/>
  <c r="P613" i="2"/>
  <c r="P607" i="2"/>
  <c r="P601" i="2"/>
  <c r="P595" i="2"/>
  <c r="P589" i="2"/>
  <c r="P706" i="2"/>
  <c r="P700" i="2"/>
  <c r="P694" i="2"/>
  <c r="P688" i="2"/>
  <c r="P682" i="2"/>
  <c r="P676" i="2"/>
  <c r="P670" i="2"/>
  <c r="P664" i="2"/>
  <c r="P658" i="2"/>
  <c r="P652" i="2"/>
  <c r="P797" i="2"/>
  <c r="P791" i="2"/>
  <c r="P785" i="2"/>
  <c r="P779" i="2"/>
  <c r="P773" i="2"/>
  <c r="P767" i="2"/>
  <c r="P761" i="2"/>
  <c r="P755" i="2"/>
  <c r="P749" i="2"/>
  <c r="P743" i="2"/>
  <c r="P737" i="2"/>
  <c r="P731" i="2"/>
  <c r="P725" i="2"/>
  <c r="P719" i="2"/>
  <c r="P713" i="2"/>
  <c r="P900" i="2"/>
  <c r="P894" i="2"/>
  <c r="P888" i="2"/>
  <c r="P882" i="2"/>
  <c r="P876" i="2"/>
  <c r="P870" i="2"/>
  <c r="P864" i="2"/>
  <c r="P858" i="2"/>
  <c r="P852" i="2"/>
  <c r="P846" i="2"/>
  <c r="P840" i="2"/>
  <c r="P834" i="2"/>
  <c r="P4" i="2"/>
  <c r="P177" i="2"/>
  <c r="P171" i="2"/>
  <c r="P159" i="2"/>
  <c r="P153" i="2"/>
  <c r="P147" i="2"/>
  <c r="P141" i="2"/>
  <c r="P135" i="2"/>
  <c r="P129" i="2"/>
  <c r="P123" i="2"/>
  <c r="P117" i="2"/>
  <c r="P111" i="2"/>
  <c r="P105" i="2"/>
  <c r="P99" i="2"/>
  <c r="P93" i="2"/>
  <c r="P87" i="2"/>
  <c r="P81" i="2"/>
  <c r="P75" i="2"/>
  <c r="P69" i="2"/>
  <c r="P63" i="2"/>
  <c r="P57" i="2"/>
  <c r="P51" i="2"/>
  <c r="P45" i="2"/>
  <c r="P39" i="2"/>
  <c r="P33" i="2"/>
  <c r="P27" i="2"/>
  <c r="P21" i="2"/>
  <c r="P15" i="2"/>
  <c r="P9" i="2"/>
  <c r="P176" i="2"/>
  <c r="P170" i="2"/>
  <c r="P164" i="2"/>
  <c r="P158" i="2"/>
  <c r="P152" i="2"/>
  <c r="P290" i="2"/>
  <c r="P284" i="2"/>
  <c r="P278" i="2"/>
  <c r="P272" i="2"/>
  <c r="P266" i="2"/>
  <c r="P260" i="2"/>
  <c r="P254" i="2"/>
  <c r="P248" i="2"/>
  <c r="P242" i="2"/>
  <c r="P236" i="2"/>
  <c r="P230" i="2"/>
  <c r="P224" i="2"/>
  <c r="P218" i="2"/>
  <c r="P212" i="2"/>
  <c r="P206" i="2"/>
  <c r="P200" i="2"/>
  <c r="P194" i="2"/>
  <c r="P188" i="2"/>
  <c r="P379" i="2"/>
  <c r="P373" i="2"/>
  <c r="P367" i="2"/>
  <c r="P361" i="2"/>
  <c r="P355" i="2"/>
  <c r="P349" i="2"/>
  <c r="P343" i="2"/>
  <c r="P337" i="2"/>
  <c r="P331" i="2"/>
  <c r="P325" i="2"/>
  <c r="P319" i="2"/>
  <c r="P313" i="2"/>
  <c r="P307" i="2"/>
  <c r="P301" i="2"/>
  <c r="P416" i="2"/>
  <c r="P410" i="2"/>
  <c r="P404" i="2"/>
  <c r="P398" i="2"/>
  <c r="P392" i="2"/>
  <c r="P386" i="2"/>
  <c r="P540" i="2"/>
  <c r="P534" i="2"/>
  <c r="P528" i="2"/>
  <c r="P522" i="2"/>
  <c r="P516" i="2"/>
  <c r="P510" i="2"/>
  <c r="P504" i="2"/>
  <c r="P498" i="2"/>
  <c r="P492" i="2"/>
  <c r="P486" i="2"/>
  <c r="P480" i="2"/>
  <c r="P474" i="2"/>
  <c r="P468" i="2"/>
  <c r="P462" i="2"/>
  <c r="P456" i="2"/>
  <c r="P450" i="2"/>
  <c r="P444" i="2"/>
  <c r="P438" i="2"/>
  <c r="P432" i="2"/>
  <c r="P426" i="2"/>
  <c r="P420" i="2"/>
  <c r="P582" i="2"/>
  <c r="P576" i="2"/>
  <c r="P570" i="2"/>
  <c r="P564" i="2"/>
  <c r="P558" i="2"/>
  <c r="P552" i="2"/>
  <c r="P546" i="2"/>
  <c r="P587" i="2"/>
  <c r="P648" i="2"/>
  <c r="P642" i="2"/>
  <c r="P636" i="2"/>
  <c r="P630" i="2"/>
  <c r="P624" i="2"/>
  <c r="P618" i="2"/>
  <c r="P612" i="2"/>
  <c r="P606" i="2"/>
  <c r="P600" i="2"/>
  <c r="P594" i="2"/>
  <c r="P588" i="2"/>
  <c r="P705" i="2"/>
  <c r="P699" i="2"/>
  <c r="P693" i="2"/>
  <c r="P687" i="2"/>
  <c r="P681" i="2"/>
  <c r="P675" i="2"/>
  <c r="P669" i="2"/>
  <c r="P663" i="2"/>
  <c r="P657" i="2"/>
  <c r="P796" i="2"/>
  <c r="P790" i="2"/>
  <c r="P784" i="2"/>
  <c r="P778" i="2"/>
  <c r="P772" i="2"/>
  <c r="P766" i="2"/>
  <c r="P760" i="2"/>
  <c r="P754" i="2"/>
  <c r="P748" i="2"/>
  <c r="P742" i="2"/>
  <c r="P736" i="2"/>
  <c r="P730" i="2"/>
  <c r="P724" i="2"/>
  <c r="P718" i="2"/>
  <c r="P712" i="2"/>
  <c r="P899" i="2"/>
  <c r="P893" i="2"/>
  <c r="P887" i="2"/>
  <c r="P881" i="2"/>
  <c r="P875" i="2"/>
  <c r="P869" i="2"/>
  <c r="P863" i="2"/>
  <c r="P857" i="2"/>
  <c r="P851" i="2"/>
  <c r="P845" i="2"/>
  <c r="P839" i="2"/>
  <c r="P833" i="2"/>
  <c r="P827" i="2"/>
  <c r="P821" i="2"/>
  <c r="P815" i="2"/>
  <c r="P809" i="2"/>
  <c r="P1010" i="2"/>
  <c r="P1004" i="2"/>
  <c r="P998" i="2"/>
  <c r="P992" i="2"/>
  <c r="P986" i="2"/>
  <c r="P980" i="2"/>
  <c r="P974" i="2"/>
  <c r="P968" i="2"/>
  <c r="P962" i="2"/>
  <c r="P956" i="2"/>
  <c r="P950" i="2"/>
  <c r="P944" i="2"/>
  <c r="P938" i="2"/>
  <c r="P932" i="2"/>
  <c r="P926" i="2"/>
  <c r="P920" i="2"/>
  <c r="P914" i="2"/>
  <c r="P908" i="2"/>
  <c r="P3" i="2"/>
  <c r="O23" i="5"/>
  <c r="P27" i="3"/>
  <c r="P44" i="3" s="1"/>
  <c r="P49" i="3" s="1"/>
  <c r="P66" i="3" s="1"/>
  <c r="P71" i="3" s="1"/>
  <c r="P88" i="3" s="1"/>
  <c r="P93" i="3" s="1"/>
  <c r="G25" i="5"/>
  <c r="P22" i="5"/>
  <c r="P27" i="5" s="1"/>
  <c r="P44" i="5" s="1"/>
  <c r="P49" i="5" s="1"/>
  <c r="P66" i="5" s="1"/>
  <c r="P71" i="5" s="1"/>
  <c r="P88" i="5" s="1"/>
  <c r="P93" i="5" s="1"/>
  <c r="G26" i="5"/>
  <c r="G24" i="5"/>
  <c r="H20" i="3"/>
  <c r="I25" i="3" s="1"/>
  <c r="H20" i="5"/>
  <c r="C26" i="4"/>
  <c r="B24" i="4"/>
  <c r="I10" i="4" s="1"/>
  <c r="B26" i="4"/>
  <c r="C23" i="4"/>
  <c r="C33" i="4"/>
  <c r="C11" i="4"/>
  <c r="J15" i="4" s="1"/>
  <c r="C10" i="5" s="1"/>
  <c r="C24" i="4"/>
  <c r="C35" i="4"/>
  <c r="C9" i="4"/>
  <c r="C31" i="4"/>
  <c r="C34" i="4"/>
  <c r="C10" i="4"/>
  <c r="C25" i="4"/>
  <c r="I11" i="4" s="1"/>
  <c r="C30" i="4"/>
  <c r="C12" i="4"/>
  <c r="C32" i="4"/>
  <c r="C14" i="4"/>
  <c r="C19" i="4"/>
  <c r="C13" i="4" s="1"/>
  <c r="B12" i="4"/>
  <c r="B19" i="4"/>
  <c r="B13" i="4" s="1"/>
  <c r="B9" i="4"/>
  <c r="B31" i="4"/>
  <c r="B33" i="4"/>
  <c r="B10" i="4"/>
  <c r="B14" i="4"/>
  <c r="B23" i="4"/>
  <c r="B25" i="4"/>
  <c r="B34" i="4"/>
  <c r="B11" i="4"/>
  <c r="B15" i="4"/>
  <c r="B30" i="4"/>
  <c r="B32" i="4"/>
  <c r="J14" i="4" l="1"/>
  <c r="G7" i="5"/>
  <c r="H7" i="5" s="1"/>
  <c r="F6" i="5"/>
  <c r="F5" i="5" s="1"/>
  <c r="F8" i="5" s="1"/>
  <c r="B24" i="5"/>
  <c r="I25" i="5"/>
  <c r="H25" i="3"/>
  <c r="F25" i="3"/>
  <c r="H25" i="5"/>
  <c r="F25" i="5"/>
  <c r="F6" i="3" l="1"/>
  <c r="F5" i="3" s="1"/>
  <c r="F8" i="3" s="1"/>
  <c r="G7" i="3"/>
  <c r="H7" i="3" s="1"/>
  <c r="G5" i="5"/>
  <c r="H5" i="5" s="1"/>
  <c r="H8" i="5" s="1"/>
  <c r="I19" i="5"/>
  <c r="G5" i="3" l="1"/>
  <c r="G8" i="5"/>
  <c r="I15" i="5"/>
  <c r="Q5" i="5" s="1"/>
  <c r="Q22" i="5" s="1"/>
  <c r="I17" i="5"/>
  <c r="I16" i="5"/>
  <c r="I18" i="5"/>
  <c r="H5" i="3" l="1"/>
  <c r="H8" i="3" s="1"/>
  <c r="G8" i="3"/>
  <c r="Q27" i="5"/>
  <c r="Q44" i="5" s="1"/>
  <c r="Q49" i="5" s="1"/>
  <c r="Q66" i="5" s="1"/>
  <c r="Q71" i="5" s="1"/>
  <c r="Q88" i="5" s="1"/>
  <c r="Q93" i="5" s="1"/>
  <c r="I16" i="3"/>
  <c r="I15" i="3"/>
  <c r="Q5" i="3" s="1"/>
  <c r="Q22" i="3" s="1"/>
  <c r="I19" i="3"/>
  <c r="I17" i="3"/>
  <c r="I18" i="3"/>
  <c r="I20" i="5"/>
  <c r="I26" i="5" s="1"/>
  <c r="G31" i="5"/>
  <c r="F31" i="5"/>
  <c r="G19" i="5"/>
  <c r="G17" i="5"/>
  <c r="G16" i="5"/>
  <c r="G18" i="5"/>
  <c r="G15" i="5"/>
  <c r="O5" i="5" s="1"/>
  <c r="O22" i="5" s="1"/>
  <c r="Q27" i="3" l="1"/>
  <c r="Q44" i="3" s="1"/>
  <c r="Q49" i="3" s="1"/>
  <c r="Q66" i="3" s="1"/>
  <c r="Q71" i="3" s="1"/>
  <c r="Q88" i="3" s="1"/>
  <c r="Q93" i="3" s="1"/>
  <c r="O27" i="5"/>
  <c r="O44" i="5" s="1"/>
  <c r="O49" i="5" s="1"/>
  <c r="O66" i="5" s="1"/>
  <c r="O71" i="5" s="1"/>
  <c r="O88" i="5" s="1"/>
  <c r="O93" i="5" s="1"/>
  <c r="I20" i="3"/>
  <c r="F26" i="5"/>
  <c r="H26" i="5"/>
  <c r="G20" i="5"/>
  <c r="G31" i="3" l="1"/>
  <c r="F31" i="3"/>
  <c r="I24" i="5"/>
  <c r="F24" i="5"/>
  <c r="G16" i="3"/>
  <c r="G17" i="3"/>
  <c r="G15" i="3"/>
  <c r="O5" i="3" s="1"/>
  <c r="O22" i="3" s="1"/>
  <c r="G18" i="3"/>
  <c r="G19" i="3"/>
  <c r="I26" i="3"/>
  <c r="F26" i="3"/>
  <c r="H26" i="3"/>
  <c r="H24" i="5"/>
  <c r="O27" i="3" l="1"/>
  <c r="O44" i="3" s="1"/>
  <c r="O49" i="3" s="1"/>
  <c r="O66" i="3" s="1"/>
  <c r="O71" i="3" s="1"/>
  <c r="O88" i="3" s="1"/>
  <c r="O93" i="3" s="1"/>
  <c r="G20" i="3"/>
  <c r="I24" i="3" l="1"/>
  <c r="F24" i="3"/>
  <c r="H24" i="3"/>
</calcChain>
</file>

<file path=xl/sharedStrings.xml><?xml version="1.0" encoding="utf-8"?>
<sst xmlns="http://schemas.openxmlformats.org/spreadsheetml/2006/main" count="6882" uniqueCount="2181">
  <si>
    <t>Alimento</t>
  </si>
  <si>
    <t>Nombre en Inglés</t>
  </si>
  <si>
    <t>Amaranto, grano seco</t>
  </si>
  <si>
    <t>Amaranth, grain, dry, uncooked</t>
  </si>
  <si>
    <t>Arroz blanco grano largo, cocido</t>
  </si>
  <si>
    <t>Rice, white, long-grain, unenriched, cooked, with salt</t>
  </si>
  <si>
    <t>Arroz blanco, grano corto</t>
  </si>
  <si>
    <t>Rice, white, short-grain, unenriched, raw</t>
  </si>
  <si>
    <t>Arroz blanco, grano corto, cocido</t>
  </si>
  <si>
    <t>Rice, white, short-grain, unenriched, cooked</t>
  </si>
  <si>
    <t>Arroz blanco, grano largo crudo</t>
  </si>
  <si>
    <t>Rice, white, long-grain, raw, unenriched</t>
  </si>
  <si>
    <t>Arroz blanco, grano largo, parbolizado, cocido</t>
  </si>
  <si>
    <t>Rice, white, long-grain, parabolized, unenriched, cooked</t>
  </si>
  <si>
    <t>Arroz blanco, grano largo, parbolizado, crudo</t>
  </si>
  <si>
    <t>Rice, white, long-grain, parabolized, unenriched, dry</t>
  </si>
  <si>
    <t>Arroz blanco, grano medio, cocido</t>
  </si>
  <si>
    <t>Rice, white, medium-grain, unenriched, cooked</t>
  </si>
  <si>
    <t>Arroz blanco, grano medio, crudo</t>
  </si>
  <si>
    <t>Rice, white, medium-grain, unenriched, raw</t>
  </si>
  <si>
    <t>Arroz blanco, pulido, enriquecido,precocido</t>
  </si>
  <si>
    <t>Rice, white, long-grain, precooked, enriched, dry</t>
  </si>
  <si>
    <t>Arroz integral, grano largo cocido</t>
  </si>
  <si>
    <t>Rice, brown, long-grain, cooked</t>
  </si>
  <si>
    <t>Arroz integral, grano largo crudo</t>
  </si>
  <si>
    <t>Rice, brown, long-grain, raw</t>
  </si>
  <si>
    <t>Arroz integral, grano medio, cocido</t>
  </si>
  <si>
    <t>Rice, brown, medium-grain, cooked</t>
  </si>
  <si>
    <t>Arroz integral, grano medio, crudo</t>
  </si>
  <si>
    <t>Rice, brown, medium-grain, raw</t>
  </si>
  <si>
    <t>Arroz precocido, eriquecido, crudo</t>
  </si>
  <si>
    <t>Rice, white, long-grain, precooked or instant, enriched, dry</t>
  </si>
  <si>
    <t>Arroz, tipo arrocillo, crudo</t>
  </si>
  <si>
    <t>Rice, arrocillo type, raw</t>
  </si>
  <si>
    <t>Avena, hojuelas, sin fortificar,
Mosh</t>
  </si>
  <si>
    <t>Oats (flakes), unenriched, Mosh</t>
  </si>
  <si>
    <t>Avena, molida, Quaker</t>
  </si>
  <si>
    <t>Oats, ground, Quaker</t>
  </si>
  <si>
    <t>Brazo gitano, relleno de dulce, promedio</t>
  </si>
  <si>
    <t>Swiss roll, wheat flour, eggs, butter, sweet filling, commercially prepared</t>
  </si>
  <si>
    <t>Cebada perlada</t>
  </si>
  <si>
    <t>Barley, pearled, raw</t>
  </si>
  <si>
    <t>Cebada, arroz de cebada, cruda</t>
  </si>
  <si>
    <t>Barley rice, raw</t>
  </si>
  <si>
    <t>Cebada, perlada, grano entero</t>
  </si>
  <si>
    <t>Barley, hulled, whole grain</t>
  </si>
  <si>
    <t>Cebada, tapioca, perlada, seca</t>
  </si>
  <si>
    <t>Barley flour, tapioca, pearl,raw</t>
  </si>
  <si>
    <t>Centeno, grano, crudo</t>
  </si>
  <si>
    <t>Rye, grain, raw</t>
  </si>
  <si>
    <t>Cereal desayuno, amaranto, horneado, Nutrial</t>
  </si>
  <si>
    <t>Cereal, breakfast, baked amaranth, Nutrial</t>
  </si>
  <si>
    <t>Cereal desayuno, arroz crocante</t>
  </si>
  <si>
    <t>Cereal, breakfast, crispy rice</t>
  </si>
  <si>
    <t>Cereal, Breakfast, Kellogg´s, corn pops</t>
  </si>
  <si>
    <t>Cereal desayuno, arroz crocante sabor a chocolate</t>
  </si>
  <si>
    <t>Cereal, breakfast, crispy rice, chocolate flavor</t>
  </si>
  <si>
    <t>Cereal desayuno, con pasas,
Kellog’s</t>
  </si>
  <si>
    <t>Cereal, breakfast, raisin bran,
Kellogg’s</t>
  </si>
  <si>
    <t>3.39</t>
  </si>
  <si>
    <t>Cereal desayuno, corn flakes con miel, Kellog’s</t>
  </si>
  <si>
    <t>Cereal, breakfast, honey crunch corn flakes, Kellogg’s</t>
  </si>
  <si>
    <t>Cereal desayuno, de arroz, con quinoa y chia, sabor a chile, Livekuna</t>
  </si>
  <si>
    <t>Cereal, breakfast, from rice, with quinua and chia, chile flavour, Livekuna</t>
  </si>
  <si>
    <t>Cereal desayuno, froot loops, trix, Kellog’s</t>
  </si>
  <si>
    <t>Cereal, breakfast, froot loops, trix, Kellogg’s</t>
  </si>
  <si>
    <t>Cereal desayuno, granola, con miel y pasas, Schullo</t>
  </si>
  <si>
    <t>Cereal, Breakfast, granola, with honey and raisins, Schullo</t>
  </si>
  <si>
    <t>Cereal desayuno, granola, con trigo y miel</t>
  </si>
  <si>
    <t>Cereal, breakfast, granola, wheat &amp; honey</t>
  </si>
  <si>
    <t>Cereal desayuno, granola, muesli con frutas secas y nueces, promedio</t>
  </si>
  <si>
    <t>Cereal, breakfast, granola, muesli, dried fruit &amp; nuts, average</t>
  </si>
  <si>
    <t>Cereal desayuno, granola, preparada en casa</t>
  </si>
  <si>
    <t>Cereal, breakfast, granola, homemade</t>
  </si>
  <si>
    <t>Cereal desayuno, hojuelas azucaradas, zucaritas, Kellog’s</t>
  </si>
  <si>
    <t>Cereal, breakfast, sugared flakes, zucaritas, Kellogg’s</t>
  </si>
  <si>
    <t>Cereal desayuno, hojuelas de maíz, original, Kellog’s</t>
  </si>
  <si>
    <t>Cereal, breakfast, corn flakes, natural, Kellogg’s</t>
  </si>
  <si>
    <t>Cereal desayuno, hojuelas de trigo, All-bran</t>
  </si>
  <si>
    <t>Cereal, breakfast, wheat flakes,
All-bran</t>
  </si>
  <si>
    <t>Cereal desayuno, Nesquik, sabor chocolate, Nestlé</t>
  </si>
  <si>
    <t>Cereal, breakfast, Nesquik, chocolate flavour, Nestle</t>
  </si>
  <si>
    <t>Cereal desayuno, Special K,
Kellog’s</t>
  </si>
  <si>
    <t>Cereal, breakfast, Special K,
Kellogg’s</t>
  </si>
  <si>
    <t>Cereal para niños, de trigo y leche, Cerelac</t>
  </si>
  <si>
    <t>Children’s cereal, with milk, wheat and milk, Cerelac</t>
  </si>
  <si>
    <t>Chibil, masa de maíz, cocido al vapor, comercialmente preparado</t>
  </si>
  <si>
    <t>Chibil, maize dough, steamed, commercially prepared</t>
  </si>
  <si>
    <t>Cous-cous, crudo, Dececco</t>
  </si>
  <si>
    <t>Cous-cous, raw, Dececco</t>
  </si>
  <si>
    <t>Emborrajados, guineo, harina de trigo, frito, comercialmente preparado</t>
  </si>
  <si>
    <t>Emborrajados, banana, wheat flour, fried, commercially prepared</t>
  </si>
  <si>
    <t>Empanada, de morocho, con carne, Tasty</t>
  </si>
  <si>
    <t>Empanada, de morocho, with meat, Tasty</t>
  </si>
  <si>
    <t>Empanadas, de viento, harina de trigo, frito, comercialmente preparado</t>
  </si>
  <si>
    <t>Wind empanada, wheat flour, fried, commercially prepared</t>
  </si>
  <si>
    <t>Galletas de dulce, con crema, sabor a fresa, Festival</t>
  </si>
  <si>
    <t>Cookie, sweet, with cream, strawberry flavor, Festival</t>
  </si>
  <si>
    <t>Galletas dulces, con chispas de chocolate, promedio</t>
  </si>
  <si>
    <t>Cookies, sweet, with chocolate chips, average</t>
  </si>
  <si>
    <t>Galletas dulces, de chocolate, promedio</t>
  </si>
  <si>
    <t>Cookies, sweet, of chocolate, average</t>
  </si>
  <si>
    <t>Galletas dulces, tipo María, promedio</t>
  </si>
  <si>
    <t>Cookie, sweet, Maria Type, average</t>
  </si>
  <si>
    <t>Galletas dulces, tipo wafle con relleno, promedio</t>
  </si>
  <si>
    <t>Cookies, sugar wafers with cream filling, average</t>
  </si>
  <si>
    <t>Galletas, de agua, tipo saltinas, con sal, Soda</t>
  </si>
  <si>
    <t>Cookies, crackers, saltines type, Soda</t>
  </si>
  <si>
    <t>Galletas, de avena, promedio</t>
  </si>
  <si>
    <t>Cookies, oatmeal, average</t>
  </si>
  <si>
    <t>Galletas, Melvas con chocolate,
Delipan</t>
  </si>
  <si>
    <t>Cookie, sweet, Melvas Type,
Delipan</t>
  </si>
  <si>
    <t>Galletas, orejas tradicionales,
Delipan</t>
  </si>
  <si>
    <t>Cookie, sweet, Oejas Type, traditional, Delipan</t>
  </si>
  <si>
    <t>Galletas, oreo, Nabisco</t>
  </si>
  <si>
    <t>Cookies, oreo, Nabisco</t>
  </si>
  <si>
    <t>Galletas, original, con sal, Club Social</t>
  </si>
  <si>
    <t>Cookies, original, with salt, Club Social</t>
  </si>
  <si>
    <t>Galletas, original, con sal,
Ducales</t>
  </si>
  <si>
    <t>Cookies, original, with salt,
Ducales</t>
  </si>
  <si>
    <t>Galletas, original, con sal,
Salticas Mini</t>
  </si>
  <si>
    <t>Cookies, original, with salt,
Salticas Mini</t>
  </si>
  <si>
    <t>Galletas, tipo tango, promedio</t>
  </si>
  <si>
    <t>Cookie, sweet, TangoType, average</t>
  </si>
  <si>
    <t>Granola, en barra, Quinde</t>
  </si>
  <si>
    <t>Granola, bar, Quinde</t>
  </si>
  <si>
    <t>Harina de amaranto, Camari</t>
  </si>
  <si>
    <t>Amaranth flour, Camari</t>
  </si>
  <si>
    <t>Harina de cauca, de maíz blanco pilado, enriquecida</t>
  </si>
  <si>
    <t>Cauca flour, maiz flour, enriched</t>
  </si>
  <si>
    <t>Harina de cebada, machica</t>
  </si>
  <si>
    <t>Barley flour</t>
  </si>
  <si>
    <t>Harina de centeno</t>
  </si>
  <si>
    <t>Rye flour</t>
  </si>
  <si>
    <t>Harina de maíz, morada, negro/ azul</t>
  </si>
  <si>
    <t>Maiz flour, purple, black/blue</t>
  </si>
  <si>
    <t>Harina de maíz, promedio,
Maizabrosa</t>
  </si>
  <si>
    <t>Maiz flour, average, Maizabrosa</t>
  </si>
  <si>
    <t>Harina de trigo, integral</t>
  </si>
  <si>
    <t>Wheat flour, whole-grain</t>
  </si>
  <si>
    <t>Harina de trigo, refinada, fortificada</t>
  </si>
  <si>
    <t>Wheat flour, white, enriched</t>
  </si>
  <si>
    <t>Humitas de sal, Valle Lojano</t>
  </si>
  <si>
    <t>Salt Humitas, Valle lojano</t>
  </si>
  <si>
    <t>Maicena, almidón de maíz</t>
  </si>
  <si>
    <t>Cornstarch</t>
  </si>
  <si>
    <t>Maíz amarillo, crudo</t>
  </si>
  <si>
    <t>Maiz, yellow, raw</t>
  </si>
  <si>
    <t>Maíz amarillo, tipo chulpi</t>
  </si>
  <si>
    <t>Maiz, yellow corn, chulpi type</t>
  </si>
  <si>
    <t>Maíz amarillo, tostado</t>
  </si>
  <si>
    <t>Maiz, yellow, toasted</t>
  </si>
  <si>
    <t>Maíz blanco, grano pilado o trillado, morocho, crudo</t>
  </si>
  <si>
    <t>Maiz, white, threshed, raw</t>
  </si>
  <si>
    <t>Maíz blanco, tipo mote, sin pelar</t>
  </si>
  <si>
    <t>Maiz, white, mote type, unpeeled</t>
  </si>
  <si>
    <t>Maíz canguil, dulce, de caramelo</t>
  </si>
  <si>
    <t>Popcorn, sweet, caramel flavour</t>
  </si>
  <si>
    <t>Maíz canguil, con sal y aceite, Palomitas de maíz</t>
  </si>
  <si>
    <t>Popcorn, air-popped, with salt and oil</t>
  </si>
  <si>
    <t>Maíz tostado, con chicharron,
Kikos</t>
  </si>
  <si>
    <t>Toasted corn, with chicharron,
Kikos</t>
  </si>
  <si>
    <t>Maíz y trigo, tortilla</t>
  </si>
  <si>
    <t>Maiz, corn and wheat, tortilla</t>
  </si>
  <si>
    <t>Maíz, negro/azul, grano entero, crudo</t>
  </si>
  <si>
    <t>Maiz, black beans, whole grain, raw</t>
  </si>
  <si>
    <t>Maíz, tipo canguil, crudo</t>
  </si>
  <si>
    <t>Maiz, popcorn, raw</t>
  </si>
  <si>
    <t>Maíz, tipo chulpi, picante, Las popis</t>
  </si>
  <si>
    <t>Maiz, chulpi type, spicy chulpi corn, Las popis</t>
  </si>
  <si>
    <t>Maíz, tipo chulpi, sabor ají criollo, Dicorne</t>
  </si>
  <si>
    <t>Maiz, chulpi type, spicy corn flavour, Dicorne</t>
  </si>
  <si>
    <t>Maíz, tipo tostado, picante, La Quiteña</t>
  </si>
  <si>
    <t>Maiz, tostado type, spicy roasted corn, La Quiteña</t>
  </si>
  <si>
    <t>Maíz, tortilla de maíz amarillo, asada</t>
  </si>
  <si>
    <t>Maiz, yellow corn, tortilla, roasted</t>
  </si>
  <si>
    <t>Maíz, tortillas de maíz, artesanales, Taconazo</t>
  </si>
  <si>
    <t>Maiz, corn tortillas, handmade,
Taconazo</t>
  </si>
  <si>
    <t>Mote pillo, maíz blanco cocido, huevo, frito, comercialmente preparado, con sal</t>
  </si>
  <si>
    <t>Mote pillo, cooked white maize, scrambled eggs, salt, fried, commercially prepared</t>
  </si>
  <si>
    <t>Mote sucio, maíz blanco cocido, manteca negra de cerdo, chicharrón, frito, comercialmente preparado</t>
  </si>
  <si>
    <t>Mote sucio, cooked white maize, black lard, pork cracklings, fried, commercially prepared</t>
  </si>
  <si>
    <t>Pan de centeno, tostado</t>
  </si>
  <si>
    <t>Bread, rye, toasted</t>
  </si>
  <si>
    <t>Pan, blanco, rodaja, cuadrado, suave, Supan</t>
  </si>
  <si>
    <t>Bread, white, slice, soft, Supan</t>
  </si>
  <si>
    <t>Pan, blanco, rodaja, cuadrado, tostado, Supan</t>
  </si>
  <si>
    <t>Bread, white, slice, toasted,
Supan</t>
  </si>
  <si>
    <t>Pan, blanco, tipo pita</t>
  </si>
  <si>
    <t>Bread, pita, white, enriched</t>
  </si>
  <si>
    <t>Pan, de bizcocho, horneado, comercialmente preparado</t>
  </si>
  <si>
    <t>Bread, biscuit, baked, commercially prepared</t>
  </si>
  <si>
    <t>Pan, de cachos, horneado, comercialmente preparado</t>
  </si>
  <si>
    <t>Bread, croissant, baked, commercially prepared</t>
  </si>
  <si>
    <t>Pan, de caracol, dulce, horneado, comercialmente preparado</t>
  </si>
  <si>
    <t>Bread, snail, sweet, baked, commercially prepared</t>
  </si>
  <si>
    <t>Pan, de centeno</t>
  </si>
  <si>
    <t>Bread, rye</t>
  </si>
  <si>
    <t>Pan, de chocolate, horneado, comercialmente preparado</t>
  </si>
  <si>
    <t>Bread, chocolate, baked, commercially prepared</t>
  </si>
  <si>
    <t>Pan, de germen de trigo/trigo entero</t>
  </si>
  <si>
    <t>Bread, wheat germ</t>
  </si>
  <si>
    <t>Pan, de leche, horneado, comercialmente preparado</t>
  </si>
  <si>
    <t>Bread, milk, baked, commercially prepared</t>
  </si>
  <si>
    <t>Pan, de maíz, horneado, comercialmente preparado</t>
  </si>
  <si>
    <t>Bread, corn, baked, commercially prepared</t>
  </si>
  <si>
    <t>Pan, de salvado de trigo, tipo bagel</t>
  </si>
  <si>
    <t>Bread, wheat bran, bagel</t>
  </si>
  <si>
    <t>Pan, de trigo</t>
  </si>
  <si>
    <t>Bread, wheat</t>
  </si>
  <si>
    <t>Pan, de trigo, tostado</t>
  </si>
  <si>
    <t>Bread, wheat, toasted</t>
  </si>
  <si>
    <t>Pan, de yemas, con sal, horneado, comercialmente preparado</t>
  </si>
  <si>
    <t>Bread, egg yolk, salt, baked, commercially prepared</t>
  </si>
  <si>
    <t>Pan, de yuca</t>
  </si>
  <si>
    <t>Bread, cassava</t>
  </si>
  <si>
    <t>Pan, empanada, dulce, horneado, comercialmente preparado</t>
  </si>
  <si>
    <t>Bread, empanada, sweet, baked, commercially prepared</t>
  </si>
  <si>
    <t>Pan, empanada, sal, horneado, comercialmente preparado</t>
  </si>
  <si>
    <t>Bread, empanada, salt, baked, commercially prepared</t>
  </si>
  <si>
    <t>Pan, enquesillado, rodillas de cristo, horneado, comercialmente preparado</t>
  </si>
  <si>
    <t>Bread, topped cheese, baked, commercially prepared</t>
  </si>
  <si>
    <t>Pan, integral, de trigo</t>
  </si>
  <si>
    <t>Bread, whole-wheat, ordinary</t>
  </si>
  <si>
    <t>Pan, integral, de trigo, tostado</t>
  </si>
  <si>
    <t>Bread, whole-wheat, ordinary, toasted</t>
  </si>
  <si>
    <t>Pan, integral, rodaja, cuadrado, suave</t>
  </si>
  <si>
    <t>Bread, whole-wheat, slice, soft</t>
  </si>
  <si>
    <t>Pan, integral, rodaja, cuadrado, tostado</t>
  </si>
  <si>
    <t>Bread, whole-wheat, slice, toasted</t>
  </si>
  <si>
    <t>Pan, integral, tipo pita</t>
  </si>
  <si>
    <t>Bread, pita, whole-wheat</t>
  </si>
  <si>
    <t>Pan, mestizo de sal, con queso, horneado, comercialmente preparado</t>
  </si>
  <si>
    <t>Bread, mix white and brown wheat dough, cheese, salt, baked, commercially prepared</t>
  </si>
  <si>
    <t>Pan, negro, de centeno</t>
  </si>
  <si>
    <t>Bread, pumpernickel</t>
  </si>
  <si>
    <t>Pan, negro, de centeno, tostado</t>
  </si>
  <si>
    <t>Bread, pumpernickel, toasted</t>
  </si>
  <si>
    <t>Pan, para hamburguesa o hotdog, multicereal</t>
  </si>
  <si>
    <t>Bread, hamburger/hotdog, mixed-grain</t>
  </si>
  <si>
    <t>Pan, para hamburguesa o hotdog, regular</t>
  </si>
  <si>
    <t>Brad, rolls,hamburger or hotdog, plain</t>
  </si>
  <si>
    <t>Pasta, fideo chino, fortificado, cocido</t>
  </si>
  <si>
    <t>Pasta, noodles, enriched, cooked</t>
  </si>
  <si>
    <t>Pasta, fideo chino, fortificado, crudo</t>
  </si>
  <si>
    <t>Pasta, noodles, enriched, uncooked</t>
  </si>
  <si>
    <t>Pasta, fideo de arroz, cocido</t>
  </si>
  <si>
    <t>Pasta, rice noodles,cooked</t>
  </si>
  <si>
    <t>Pasta, fideo de arroz, crudo</t>
  </si>
  <si>
    <t>Pasta, rice noodles, uncooked</t>
  </si>
  <si>
    <t>Pasta, fideo, sin enriquecer, cocida</t>
  </si>
  <si>
    <t>Pasta, noodles, unenriched, cooked</t>
  </si>
  <si>
    <t>Pasta, fideo, sin enriquecer, cruda</t>
  </si>
  <si>
    <t>Pasta, noodles, unenriched, raw</t>
  </si>
  <si>
    <t>Pasta, fideo, sin enriquecer, promedio</t>
  </si>
  <si>
    <t>Pasta, noodles, unenriched, ordinary</t>
  </si>
  <si>
    <t>Pasta, fideo/spaghetti, de espinaca, cocida</t>
  </si>
  <si>
    <t>Pasta, fideo/spaghetti, spinach, cooked</t>
  </si>
  <si>
    <t>Pasta, fideo/spaghetti, de espinaca, cruda</t>
  </si>
  <si>
    <t>Pasta, fideo/spaghetti, spinach, uncooked</t>
  </si>
  <si>
    <t>Pasta, fideos promedio,
Supermaxi</t>
  </si>
  <si>
    <t>Pasta, noodles, ordinaty,
Supermaxi</t>
  </si>
  <si>
    <t>Pasta, spaguetti, integral, crudo</t>
  </si>
  <si>
    <t>Pasta, spaghetti, whole wheat, raw</t>
  </si>
  <si>
    <t>Pasta, tallarin, oriental de pollo, instantaneo, Rapidito</t>
  </si>
  <si>
    <t>Pasta, tallarin, oriental chicken flavour, instant, Rapidito</t>
  </si>
  <si>
    <t>Pasta, spaguetti, enriquecida, fortificado, cocida</t>
  </si>
  <si>
    <t>Pasta, spaghetti, enriched, cooked</t>
  </si>
  <si>
    <t>Pasta, spaguetti, enriquecida, fortificado, cruda</t>
  </si>
  <si>
    <t>Pasta, spaghetti, enriched, raw</t>
  </si>
  <si>
    <t>Pinol, harina de cebada, simple</t>
  </si>
  <si>
    <t>Barley flour, pinol type, ordinary</t>
  </si>
  <si>
    <t>Pizza, horneada, comercialmente preparada</t>
  </si>
  <si>
    <t>Pizza, baked, commercially prepared</t>
  </si>
  <si>
    <t>Quimbolito, dulce, El Casero</t>
  </si>
  <si>
    <t>Sweet quimbolito, El Casero</t>
  </si>
  <si>
    <t>Quinua, cocida</t>
  </si>
  <si>
    <t>Quinoa, cooked</t>
  </si>
  <si>
    <t>Quinua, cruda</t>
  </si>
  <si>
    <t>Quinoa, uncooked</t>
  </si>
  <si>
    <t>Tamal, harina de maíz, cerdo con verduras, sal, cocido
a vapor, comercialmente preparado</t>
  </si>
  <si>
    <t>Tamal, cornmeal, pork with vegetables, salt, steamed, commercially prepared</t>
  </si>
  <si>
    <t>Tortilla, choclo, asada, comercialmente preparado</t>
  </si>
  <si>
    <t>Tortilla, fresh corn, roast, commercially prepared</t>
  </si>
  <si>
    <t>Tortilla, maíz blanco, asada, comercialmente preparado</t>
  </si>
  <si>
    <t>Tortilla, white maize, roast, commercially prepared</t>
  </si>
  <si>
    <t>Trigo, arroz de trigo, Camari</t>
  </si>
  <si>
    <t>Wheat, wheat rice, Camari</t>
  </si>
  <si>
    <t>Trigo, germen de trigo, crudo</t>
  </si>
  <si>
    <t>Wheat, wheat germ, raw</t>
  </si>
  <si>
    <t>Trigo, grano entero</t>
  </si>
  <si>
    <t>Wheat, whole grain</t>
  </si>
  <si>
    <t>Trigo, salvado de trigo, crudo</t>
  </si>
  <si>
    <t>Wheat, wheat bran, raw</t>
  </si>
  <si>
    <t>Trigo, sémola, harina gruesa, no enriquecida</t>
  </si>
  <si>
    <t>Semolina, wheat flour, unenriched</t>
  </si>
  <si>
    <t>Plátanos y tubérculos</t>
  </si>
  <si>
    <t>Achira, blanca, rizoma, raíz</t>
  </si>
  <si>
    <t>Achira, white, root</t>
  </si>
  <si>
    <t>Achira, morada, rizoma, raíz</t>
  </si>
  <si>
    <t>Achira, purple, root</t>
  </si>
  <si>
    <t>Almidón, de achira, harina de flecha</t>
  </si>
  <si>
    <t>Starch Achira, Arrowroot flour</t>
  </si>
  <si>
    <t>Almidón, de yuca o mandioca</t>
  </si>
  <si>
    <t>Cassava, flour</t>
  </si>
  <si>
    <t>Camote, con cáscara, cocido</t>
  </si>
  <si>
    <t>Sweet potato, unpeeled, cooked</t>
  </si>
  <si>
    <t>Camote, con cáscara, crudo</t>
  </si>
  <si>
    <t>Sweet potatoe, unpeeled, raw</t>
  </si>
  <si>
    <t>Harina de camote, Vitavilena</t>
  </si>
  <si>
    <t>Sweet potato flour, Vitavilena</t>
  </si>
  <si>
    <t>Harina de plátano</t>
  </si>
  <si>
    <t>Banana flour</t>
  </si>
  <si>
    <t>Mashua</t>
  </si>
  <si>
    <t>Ñame, yam, crudo</t>
  </si>
  <si>
    <t>Yam, raw</t>
  </si>
  <si>
    <t>Ñame, yam, escurrido, cocido sin sal</t>
  </si>
  <si>
    <t>Yam, cooked, drained, without salt</t>
  </si>
  <si>
    <t>Oca, sin cáscara</t>
  </si>
  <si>
    <t>Oca, peeled</t>
  </si>
  <si>
    <t>Olluco, melloco, con cáscara</t>
  </si>
  <si>
    <t>Olluco, melloco, unpeeled</t>
  </si>
  <si>
    <t>Papa, amarilla, tipo chaucha, sin cáscara</t>
  </si>
  <si>
    <t>Potatoe, yellow, peeled, chaucha type</t>
  </si>
  <si>
    <t>Papa, con cáscara, cocida</t>
  </si>
  <si>
    <t>Potatoe, unpeeled, cooked</t>
  </si>
  <si>
    <t>Papa, con cascara, cruda</t>
  </si>
  <si>
    <t>Potatoe, unpeeled, raw</t>
  </si>
  <si>
    <t>Papa, negra andina</t>
  </si>
  <si>
    <t>Potatoe, andean black</t>
  </si>
  <si>
    <t>Papa, sin cáscara, cocida</t>
  </si>
  <si>
    <t>Potatoe, peeled, cooked</t>
  </si>
  <si>
    <t>Papa, sin cáscara, cruda</t>
  </si>
  <si>
    <t>Potatoe, peeled, raw</t>
  </si>
  <si>
    <t>Patacón, plátano verde, frito, con sal</t>
  </si>
  <si>
    <t>Patacón, plantain, green, fried, with salt</t>
  </si>
  <si>
    <t>Plátano, maduro, frito</t>
  </si>
  <si>
    <t>Plantain, ripe, fried</t>
  </si>
  <si>
    <t>Platáno maduro, frito, comercialmente preparado</t>
  </si>
  <si>
    <t>Chifles, plantain chips, sweet, fried, commercially prepared</t>
  </si>
  <si>
    <t>Plátano, maduro, hervido</t>
  </si>
  <si>
    <t>Plantain, ripe, boiled</t>
  </si>
  <si>
    <t>Plátano, maduro, tipo maqueño</t>
  </si>
  <si>
    <t>Plantain, ripe</t>
  </si>
  <si>
    <t>Plátano, verde, crudo</t>
  </si>
  <si>
    <t>Plantain, green, raw</t>
  </si>
  <si>
    <t>Plátano, verde, frito, promedio</t>
  </si>
  <si>
    <t>Plantains, green fried, average</t>
  </si>
  <si>
    <t>Tortillas de verde, con queso mozzarella, Productos del Chef</t>
  </si>
  <si>
    <t>Plantain tortillas with mozzarella cheese, Productos del Chef</t>
  </si>
  <si>
    <t>Yuca, mandioca, raíz</t>
  </si>
  <si>
    <t>Cassava, peeled, raw</t>
  </si>
  <si>
    <t>Yuquitas, fritas, con sal, comercialmente preparados</t>
  </si>
  <si>
    <t>Cassava, chip, salt, commercially prepared</t>
  </si>
  <si>
    <t>Zanahoria, blanca, cocida, sin sal</t>
  </si>
  <si>
    <t>Parsnips, cooked,drained, without salt</t>
  </si>
  <si>
    <t>Zanahoria, blanca, cruda</t>
  </si>
  <si>
    <t>Parsnips, raw</t>
  </si>
  <si>
    <t>Aguacate, sin cáscara, promedio</t>
  </si>
  <si>
    <t>Avocado, peeled, ordinary, alla varieties</t>
  </si>
  <si>
    <t>Aguacate, verde, sin cáscara, serrano</t>
  </si>
  <si>
    <t>Avocado, green, peeled, raw</t>
  </si>
  <si>
    <t>Arándano, deshidratado,
Natures Heart</t>
  </si>
  <si>
    <t>Blueberries, dehydrated,
Natures Heart</t>
  </si>
  <si>
    <t>Arándano, deshidratado, promedio</t>
  </si>
  <si>
    <t>Blueberries, dehydrated, average</t>
  </si>
  <si>
    <t>Arazá, fresco</t>
  </si>
  <si>
    <t>Araza, fresh</t>
  </si>
  <si>
    <t>Babaco, maduro, pulpa</t>
  </si>
  <si>
    <t>Babaco, ripe, pulp</t>
  </si>
  <si>
    <t>Badea, tumbo costeño, fresca</t>
  </si>
  <si>
    <t>Badea, tumbo costeño, fresh</t>
  </si>
  <si>
    <t>Banano, guineo manzano, odatil, orito</t>
  </si>
  <si>
    <t>Banana, small, sweet, raw</t>
  </si>
  <si>
    <t>Banano, guineo, plátano seda</t>
  </si>
  <si>
    <t>Banana, raw</t>
  </si>
  <si>
    <t>Borojó, fresco</t>
  </si>
  <si>
    <t>Borojo fruit, raw</t>
  </si>
  <si>
    <t>Capulí, capulin, capulina</t>
  </si>
  <si>
    <t>Capuli, capulin, capulina</t>
  </si>
  <si>
    <t>Carambola, fruta estrellada, con cáscara, fresca</t>
  </si>
  <si>
    <t>Starfruit, unpeeled, raw</t>
  </si>
  <si>
    <t>Cereza dulce, fruta en almibar, envasada</t>
  </si>
  <si>
    <t>Cherries, in syrup, solid and liquid, average</t>
  </si>
  <si>
    <t>Cereza, fresca</t>
  </si>
  <si>
    <t>Cherries, sour, red, raw</t>
  </si>
  <si>
    <t>Cerezas, marrasquino, roja, en almibar, Dicomfrut</t>
  </si>
  <si>
    <t>Cherries, marrasquino, red,
Dicomfrut</t>
  </si>
  <si>
    <t>Chirimoya, fresca</t>
  </si>
  <si>
    <t>Chirimoya, fruit</t>
  </si>
  <si>
    <t>Chonta, mezcla, pelada, sin semillas, hervida, sin sal</t>
  </si>
  <si>
    <t>Peach palm, mix, peeled, without seed, boiled, without salt</t>
  </si>
  <si>
    <t>Chonta, roja, pelada, sin semillas, hervida, sin sal</t>
  </si>
  <si>
    <t>Peach palm, red, peeled, without seed, boiled, without salt</t>
  </si>
  <si>
    <t>Ciruela, claudia, amarilla o roja, fresca</t>
  </si>
  <si>
    <t>Plums, yellow or red, fresh, raw</t>
  </si>
  <si>
    <t>Ciruela, roja, deshidratada</t>
  </si>
  <si>
    <t>Prunes, dehydrated, raw</t>
  </si>
  <si>
    <t>Ciruela, sin semilla, deshidratada, Bonanza</t>
  </si>
  <si>
    <t>Plums, seedlees, dehydrated,
Bonanza</t>
  </si>
  <si>
    <t>Ciruela, sin semilla, deshidratada, El Sabor</t>
  </si>
  <si>
    <t>Plums, seedlees, dehydrated,
El Sabor</t>
  </si>
  <si>
    <t>Grupo</t>
  </si>
  <si>
    <t>Ciruela, sin semilla, deshidratada, Supermaxi</t>
  </si>
  <si>
    <t>Plums, seedlees, dehydrated,
Supermaxi</t>
  </si>
  <si>
    <t>Coco, agua</t>
  </si>
  <si>
    <t>Coconut, water from</t>
  </si>
  <si>
    <t>Coco, chips de canela y sal rosada, Alme</t>
  </si>
  <si>
    <t>Coconut chips, cinnamon and pink salt, Alme</t>
  </si>
  <si>
    <t>Coco, maduro, pulpa</t>
  </si>
  <si>
    <t>Coconut, ripe, pulp,raw</t>
  </si>
  <si>
    <t>Coco, pulpa, hojuelas dulces, deshidratadas</t>
  </si>
  <si>
    <t>Coconut, pulp, sweet flakes, dehydrated</t>
  </si>
  <si>
    <t>Coctel de frutas, en almibar, promedio</t>
  </si>
  <si>
    <t>Fruit cocktail, in syrup, solid and liquid, average</t>
  </si>
  <si>
    <t>Coctel de frutas, en almibar,
Gustadina</t>
  </si>
  <si>
    <t>Fruit cocktail, in syrup,
Gustadina</t>
  </si>
  <si>
    <t>Coctel de frutas, en almibar,
Snob</t>
  </si>
  <si>
    <t>Fruit cocktail, in syrup, Snob</t>
  </si>
  <si>
    <t>Coctel de frutas, en almibar, sólidos y líquidos, promedio</t>
  </si>
  <si>
    <t>Durazno, común, maduro, con cáscara, fruta criolla</t>
  </si>
  <si>
    <t>Peaches, unpeeled, local fruit, raw</t>
  </si>
  <si>
    <t>Durazno, mitados, en almibar,
Dos caballos</t>
  </si>
  <si>
    <t>Peaches, in halves, in syrup,
Dos Caballos</t>
  </si>
  <si>
    <t>Durazno, mitados, en almibar,
Snob</t>
  </si>
  <si>
    <t>Peaches, in halves, in syrup,
Snob</t>
  </si>
  <si>
    <t>Durazno, tipo guaytambo, prisco</t>
  </si>
  <si>
    <t>Peaches, guaytambo type, raw</t>
  </si>
  <si>
    <t>Durazno, tipo melocotón, amarrillo, fruta criolla</t>
  </si>
  <si>
    <t>Peaches, local fruit, raw</t>
  </si>
  <si>
    <t>Durazno, tipo Nectarina</t>
  </si>
  <si>
    <t>Peaches, nectarines types, raw</t>
  </si>
  <si>
    <t>Duraznos, en almibar, promedio</t>
  </si>
  <si>
    <t>Peaches, in syrup, solid and liquid, average</t>
  </si>
  <si>
    <t>Fresas deshidratadas, Natures Heart</t>
  </si>
  <si>
    <t>Strawberries, dehydrated,
Natures Heart</t>
  </si>
  <si>
    <t>Fruta de pan, fresca</t>
  </si>
  <si>
    <t>Breadfruit, fresh, raw</t>
  </si>
  <si>
    <t>0.12</t>
  </si>
  <si>
    <t>Frutilla, madura, fresca</t>
  </si>
  <si>
    <t>Strawberries, raw</t>
  </si>
  <si>
    <t>Frutilla, trozos, deshidratada, liofilizada</t>
  </si>
  <si>
    <t>Strawberries, chunks, dehydrated, lyophilized</t>
  </si>
  <si>
    <t>Granadilla dulce, fruta</t>
  </si>
  <si>
    <t>Passion-fruit, granadilla type, purple, raw</t>
  </si>
  <si>
    <t>Grosella, cruda con sal</t>
  </si>
  <si>
    <t>Star gooseberry fruit, raw, with salt</t>
  </si>
  <si>
    <t>Grosella, cruda, sin sal</t>
  </si>
  <si>
    <t>Star gooseberry fruit, raw, without salt</t>
  </si>
  <si>
    <t>Grosella, fresca</t>
  </si>
  <si>
    <t>Surinam-cherry, pitanga,raw</t>
  </si>
  <si>
    <t>Guaba, cushin, paterna, pulpa</t>
  </si>
  <si>
    <t>Jinicuil pulp, raw</t>
  </si>
  <si>
    <t>Guanabana, guanaba</t>
  </si>
  <si>
    <t>Soursop, raw</t>
  </si>
  <si>
    <t>Guanabana, pulpa líquida, con azucar, Esto si es guanabana</t>
  </si>
  <si>
    <t>Guanabana, liquid pulp, with sugar, Esto si es guanabana</t>
  </si>
  <si>
    <t>Guayaba, en almibar, Pacha</t>
  </si>
  <si>
    <t>Guava, in syrup, Pacha</t>
  </si>
  <si>
    <t>Guayaba, madura, fresca</t>
  </si>
  <si>
    <t>Guavas, ordinary, ripe, raw</t>
  </si>
  <si>
    <t>Higo, seco  deshidratado</t>
  </si>
  <si>
    <t>Figs, dry, dehydrated</t>
  </si>
  <si>
    <t>Higos en almibar, sólidos y líquidos, en lata</t>
  </si>
  <si>
    <t>Figs, in syrup, solids and liquids, canned</t>
  </si>
  <si>
    <t>Higos, en almibar, Qawi</t>
  </si>
  <si>
    <t>Figs, andean figs, in syrup,
Qawi</t>
  </si>
  <si>
    <t>Higos, fruta madura</t>
  </si>
  <si>
    <t>Figs, ripe, raw</t>
  </si>
  <si>
    <t>Kiwi, sin cáscara, fresco</t>
  </si>
  <si>
    <t>Kiwifruit, peeled, raw</t>
  </si>
  <si>
    <t>Lima, fresca</t>
  </si>
  <si>
    <t>Lime, fresh, raw</t>
  </si>
  <si>
    <t>Limón, sin cáscara, fresco</t>
  </si>
  <si>
    <t>Lemon, peeled, raw</t>
  </si>
  <si>
    <t>Limón, zumo</t>
  </si>
  <si>
    <t>Lemon, pure juice, fresh</t>
  </si>
  <si>
    <t>Mamey</t>
  </si>
  <si>
    <t>Mamey, fruit</t>
  </si>
  <si>
    <t>Mandarina, tangerina, fresca</t>
  </si>
  <si>
    <t>Tangerines, fresh, raw</t>
  </si>
  <si>
    <t>Mango, criollo</t>
  </si>
  <si>
    <t>Mangos, small, local, ripe, raw</t>
  </si>
  <si>
    <t>Mango, deshidratado, promedio</t>
  </si>
  <si>
    <t>Mango, dehydrated, average</t>
  </si>
  <si>
    <t>Mango, grande, maduro</t>
  </si>
  <si>
    <t>Mangos, large, ripe, raw</t>
  </si>
  <si>
    <t>Mango, verde</t>
  </si>
  <si>
    <t>Mango, green, unripe, raw</t>
  </si>
  <si>
    <t>Manzana, con casacara, importada</t>
  </si>
  <si>
    <t>Apple, unpeeled, imported, raw</t>
  </si>
  <si>
    <t>Manzana, con cáscara, rosa, pomarosa</t>
  </si>
  <si>
    <t>Apple, unpeeled, rose, raw</t>
  </si>
  <si>
    <t>Manzana, deshidratada</t>
  </si>
  <si>
    <t>Apple, dehydrated, average</t>
  </si>
  <si>
    <t>Manzana, sin cáscara, criolla, “Emilia”</t>
  </si>
  <si>
    <t>Apple, unpeeled, local, “Emilia”</t>
  </si>
  <si>
    <t>Maracuyá, granadilla morada, pulpa</t>
  </si>
  <si>
    <t>Passion fruit, pulp</t>
  </si>
  <si>
    <t>Melón, amarillo, valenciano</t>
  </si>
  <si>
    <t>Melon, yellows, honeydew, fresh</t>
  </si>
  <si>
    <t>Melón, corrugado, contaloupe</t>
  </si>
  <si>
    <t>Melons, cantaloupe, raw</t>
  </si>
  <si>
    <t>Membrillo, fresco</t>
  </si>
  <si>
    <t>Quinces, fresh, raw</t>
  </si>
  <si>
    <t>Mix de frutas, cerezas y arándanos, deshidratadas, Kruker</t>
  </si>
  <si>
    <t>Fruit mix, cherries and cranberries, dehydrated, Kruker</t>
  </si>
  <si>
    <t>Mix de frutas, piña y maracuya, deshidratadas, Kruker</t>
  </si>
  <si>
    <t>Fruit mix, pineapple and passion fruit, dehydrated, Kruker</t>
  </si>
  <si>
    <t>Mix frutas, arándanos rojos, maní y pasas, deshidratadas, Corfruit</t>
  </si>
  <si>
    <t>Fruit mix, cranberries, peanuts and raisins, dehydrated, Corfruit</t>
  </si>
  <si>
    <t>Mora, zarzamora, fresca</t>
  </si>
  <si>
    <t>Blackberries, fresh, raw</t>
  </si>
  <si>
    <t>Mortiño, fresco, crudo</t>
  </si>
  <si>
    <t>Blueberry, fresh, raw</t>
  </si>
  <si>
    <t>Naranja, agria, común</t>
  </si>
  <si>
    <t>Orange, sour, ordinary, raw</t>
  </si>
  <si>
    <t>Naranja, agria, zumo, jugo natural</t>
  </si>
  <si>
    <t>Orange, sweet, juice, ordinary, raw</t>
  </si>
  <si>
    <t>Naranja, dulce, común</t>
  </si>
  <si>
    <t>Orange, sweet, ordinary, raw</t>
  </si>
  <si>
    <t>Naranjilla común, pelada, cruda</t>
  </si>
  <si>
    <t>Naranjilla / lulo, peeled, raw</t>
  </si>
  <si>
    <t>Naranjilla, lulo, pulpa, congelada</t>
  </si>
  <si>
    <t>Naranjilla, lulo, pulp, frozen, unsweetened</t>
  </si>
  <si>
    <t>Níspero, con cáscara, fresco</t>
  </si>
  <si>
    <t>Loquats, unpeeled, fresh, raw</t>
  </si>
  <si>
    <t>Papaya, lechosa, madura, pulpa</t>
  </si>
  <si>
    <t>Papayas, ripe, pulpe, raw</t>
  </si>
  <si>
    <t>Pasas rubias, promedio</t>
  </si>
  <si>
    <t>Raisins, golden, seedless, average</t>
  </si>
  <si>
    <t>Pasas, sin semilla, Del Sur</t>
  </si>
  <si>
    <t>Raisins, seedless, Del Sur</t>
  </si>
  <si>
    <t>Pasas, sin semilla, promedio</t>
  </si>
  <si>
    <t>Raisins, seedless, average</t>
  </si>
  <si>
    <t>Pepino dulce, pera limón, con cáscara</t>
  </si>
  <si>
    <t>Tree melon, unpeeled, fresh</t>
  </si>
  <si>
    <t>Pera, importada, sin cáscara</t>
  </si>
  <si>
    <t>Pear, imported, peeled, raw</t>
  </si>
  <si>
    <t>Piña, deshidratada</t>
  </si>
  <si>
    <t>Pineapple, dehydrated</t>
  </si>
  <si>
    <t>Piña, dulce, fresca</t>
  </si>
  <si>
    <t>Pineapple, sweets, fresh, raw</t>
  </si>
  <si>
    <t>Piña, en rodajas, en almibar,
Facundo</t>
  </si>
  <si>
    <t>Pineaple, sliced, in syrup,
Facundo</t>
  </si>
  <si>
    <t>Piña, fruta en almibar, envasada sol&amp;liq</t>
  </si>
  <si>
    <t>Pineaple, sliced, in syrup, solid and liquid, average</t>
  </si>
  <si>
    <t>Pitahaya, amarilla, pulpa</t>
  </si>
  <si>
    <t>Pitahaya, yellow, pulp</t>
  </si>
  <si>
    <t>Pitahaya, roja, pulpa</t>
  </si>
  <si>
    <t>Pitahaya, red, pulp</t>
  </si>
  <si>
    <t>Plátano rojo, guineo morado</t>
  </si>
  <si>
    <t>Platain, red o purple</t>
  </si>
  <si>
    <t>Sandía, fresca</t>
  </si>
  <si>
    <t>Watermelon, fresh, raw</t>
  </si>
  <si>
    <t>Tamarindo, pasta, sin azúcar añadida, Soleg</t>
  </si>
  <si>
    <t>Tamarind, pulp paste, not added sugar, Soleg</t>
  </si>
  <si>
    <t>Tamarindo, pulpa, fresca</t>
  </si>
  <si>
    <t>Tamarind, pulp, fresh, raw</t>
  </si>
  <si>
    <t>Taxo, curuba, pulpa</t>
  </si>
  <si>
    <t>Curuba pulp</t>
  </si>
  <si>
    <t>Tomate de árbol, fresco</t>
  </si>
  <si>
    <t>Tree tomato fruit</t>
  </si>
  <si>
    <t>Tomate de árbol, pulpa líquida, con azucar, Esto si es tomate</t>
  </si>
  <si>
    <t>Tree tomato, liquid pulp, with sugar, Esto si es Tomate</t>
  </si>
  <si>
    <t>Toronja, rosada, fresca</t>
  </si>
  <si>
    <t>Grapefruit, ordinary, raw</t>
  </si>
  <si>
    <t>Tuna, nopal</t>
  </si>
  <si>
    <t>Prickly pears,raw</t>
  </si>
  <si>
    <t>Uva, importada, con cáscara, roja, tipo americana</t>
  </si>
  <si>
    <t>Grapes, imported, unpeeled, raw, red</t>
  </si>
  <si>
    <t>Uva, importada, con cáscara, verde</t>
  </si>
  <si>
    <t>Grapes, imported, unpeeled, green</t>
  </si>
  <si>
    <t>Uvilla, confitada, orgánica,
Natures Heart</t>
  </si>
  <si>
    <t>Golden-berries, candied, organic, Narures Heart</t>
  </si>
  <si>
    <t>Uvilla, deshidratada, Inca´s Treasure</t>
  </si>
  <si>
    <t>Golden-berries, dehydrated,
Inca´s Treasure</t>
  </si>
  <si>
    <t>Uvilla, deshidratada, promedio</t>
  </si>
  <si>
    <t>Golden-berries, dehydrated, average</t>
  </si>
  <si>
    <t>Uvilla, fresca</t>
  </si>
  <si>
    <t>Golden berries, fresh</t>
  </si>
  <si>
    <t>Zapote, mamey, sin cáscara, fresco</t>
  </si>
  <si>
    <t>Sapote, mamey, peeled, fresh, raw</t>
  </si>
  <si>
    <t>Acelga, cocida, sin sal</t>
  </si>
  <si>
    <t>Chard, cooked, without salt</t>
  </si>
  <si>
    <t>Acelga, cruda</t>
  </si>
  <si>
    <t>Chard, raw</t>
  </si>
  <si>
    <t>Achogcha, hojas y corazon, escurridas, cocida, sin sal</t>
  </si>
  <si>
    <t>Balsam-pear, bitter gourd, leaves and heart, boiled, drained, coocked, without salt</t>
  </si>
  <si>
    <t>Achojcha, lisa, hervidas, escurrido, sin sal</t>
  </si>
  <si>
    <t>Achojcha (smooth), boiled, drained, without salt</t>
  </si>
  <si>
    <t>Ají amarillo fresco</t>
  </si>
  <si>
    <t>Peppers, hot chili, yellow, raw</t>
  </si>
  <si>
    <t>Ají, rojo, rocoto, crudo</t>
  </si>
  <si>
    <t>Peppers, hot chili, red, raw</t>
  </si>
  <si>
    <t>Ajo, fresco, crudo</t>
  </si>
  <si>
    <t>Garlic, fresh, raw</t>
  </si>
  <si>
    <t>Albahaca, fresca, cruda</t>
  </si>
  <si>
    <t>Basil, fresh, raw</t>
  </si>
  <si>
    <t>Alcachofa, hojas y corazón, cocida, sin sal</t>
  </si>
  <si>
    <t>Artichokes, leaves and heart, cooked, drained, without salt</t>
  </si>
  <si>
    <t>Alcachofa, hojas y corazon, cruda</t>
  </si>
  <si>
    <t>Artichokes, leaves and heart, raw</t>
  </si>
  <si>
    <t>Alfalfa, brotes de alfalfa</t>
  </si>
  <si>
    <t>Alfalfa, sprouts</t>
  </si>
  <si>
    <t>Apio, tallos, crudo</t>
  </si>
  <si>
    <t>Celery, westchester hisano, raw</t>
  </si>
  <si>
    <t>Arveja, congelada, cocida, sin sal</t>
  </si>
  <si>
    <t>Peas, froozen, cooked, without salt</t>
  </si>
  <si>
    <t>Arveja, enlatada</t>
  </si>
  <si>
    <t>Peas, green, solids and liquids, canned</t>
  </si>
  <si>
    <t>Arveja, escurrida, cocida, sin sal</t>
  </si>
  <si>
    <t>Peas, green, drained, cooked, without salt</t>
  </si>
  <si>
    <t>Arveja, grano tierno, cruda</t>
  </si>
  <si>
    <t>Peas, green,raw</t>
  </si>
  <si>
    <t>Berenjena, cocida, sin sal</t>
  </si>
  <si>
    <t>Eggplant, cooked, drained, without salt</t>
  </si>
  <si>
    <t>Berenjena, cruda</t>
  </si>
  <si>
    <t>Eggplant, raw</t>
  </si>
  <si>
    <t>Berro, fresco, crudo</t>
  </si>
  <si>
    <t>Watercress, fresh, raw</t>
  </si>
  <si>
    <t>Brócoli, cocido, sin sal</t>
  </si>
  <si>
    <t>Broccoli, cooked, drained, witout salt</t>
  </si>
  <si>
    <t>Brócoli, crudo</t>
  </si>
  <si>
    <t>Broccoli, raw</t>
  </si>
  <si>
    <t>Cebolla, blanca, larga, cruda</t>
  </si>
  <si>
    <t>Onions, spring, scallions,raw</t>
  </si>
  <si>
    <t>Cebolla, blanca, perla</t>
  </si>
  <si>
    <t>Onions, white, raw</t>
  </si>
  <si>
    <t>Cebolla, puerro</t>
  </si>
  <si>
    <t>Leeks, raw</t>
  </si>
  <si>
    <t>Cebolla, roja, paiteña, cruda</t>
  </si>
  <si>
    <t>Onion, red, raw</t>
  </si>
  <si>
    <t>Cebollin, fresco, crudo</t>
  </si>
  <si>
    <t>Chives, fresh, raw</t>
  </si>
  <si>
    <t>Champiñones, enlatados, escurridos</t>
  </si>
  <si>
    <t>Mushrooms, canned, drained</t>
  </si>
  <si>
    <t>Champiñones, portobello, crudos</t>
  </si>
  <si>
    <t>Mushrooms, portabella, raw</t>
  </si>
  <si>
    <t>Choclo, maíz, amarillo, dulce, enlatado</t>
  </si>
  <si>
    <t>Corn, yellow, sweet, canned</t>
  </si>
  <si>
    <t>Choclo,elote, mazorca, amarillo, cocido</t>
  </si>
  <si>
    <t>Corn, yellow, sweet, cooked</t>
  </si>
  <si>
    <t>Choclo,elote, mazorca, amarillo, fresco, crudo</t>
  </si>
  <si>
    <t>Corn, yellow, sweet, fresh, raw</t>
  </si>
  <si>
    <t>Choclo,elote, mazorca, blanco, fresco, crudo</t>
  </si>
  <si>
    <t>Corn, white, fresh, raw</t>
  </si>
  <si>
    <t>Col, de bruselas, cocida, sin sal</t>
  </si>
  <si>
    <t>Brussels sprouts, cooked, without salt</t>
  </si>
  <si>
    <t>Col, de bruselas, cruda</t>
  </si>
  <si>
    <t>Brussels sprouts, raw</t>
  </si>
  <si>
    <t>Col, morada, cocida, sin sal</t>
  </si>
  <si>
    <t>Cabbage, red, cooked, without salt</t>
  </si>
  <si>
    <t>Col, morada, cruda</t>
  </si>
  <si>
    <t>Cabbage, red, raw</t>
  </si>
  <si>
    <t>Col, repollo, blanco, común, cocida, sin sal</t>
  </si>
  <si>
    <t>Cabbage, white, ordinary, cooked, without salt</t>
  </si>
  <si>
    <t>Col, repollo, blanco, común, cruda</t>
  </si>
  <si>
    <t>Cabbage, white, ordinary, raw</t>
  </si>
  <si>
    <t>Coliflor, cruda</t>
  </si>
  <si>
    <t>Cauliflower, raw</t>
  </si>
  <si>
    <t>Coliflor, escurrida, cocida, sin sal</t>
  </si>
  <si>
    <t>Cauliflower, drained, cooked, without salt</t>
  </si>
  <si>
    <t>Culantro, cilantro, fresco, crudo</t>
  </si>
  <si>
    <t>Coriander, cilantro, fresh, raw</t>
  </si>
  <si>
    <t>Espárrago, crudo</t>
  </si>
  <si>
    <t>Asparagus, raw</t>
  </si>
  <si>
    <t>Espárragos, enlatados</t>
  </si>
  <si>
    <t>Asparagus, canned</t>
  </si>
  <si>
    <t>Espárragos, escurridos, cocidos</t>
  </si>
  <si>
    <t>Asparagus, drained, cooked</t>
  </si>
  <si>
    <t>Espinaca, cruda</t>
  </si>
  <si>
    <t>Spinach, raw</t>
  </si>
  <si>
    <t>Espinaca, escurrida, cocida, sin sal</t>
  </si>
  <si>
    <t>Spinach, drained, cooked, without salt</t>
  </si>
  <si>
    <t>Fréjol, canario, tierno, fresco</t>
  </si>
  <si>
    <t>Bean, canary bean, immature, raw</t>
  </si>
  <si>
    <t>Fréjol, frijol, grano verde, tierno, toda variedad</t>
  </si>
  <si>
    <t>Bean, immature grain, all varieties</t>
  </si>
  <si>
    <t>Haba, grano verde, tierna</t>
  </si>
  <si>
    <t>Broadbeans, immature seeds, raw</t>
  </si>
  <si>
    <t>Hongos, champiñones, cocidos, sin sal</t>
  </si>
  <si>
    <t>Mushrooms, cooked, drained, without salt</t>
  </si>
  <si>
    <t>Hongos, champiñones, crudos</t>
  </si>
  <si>
    <t>Mushrooms, white, raw</t>
  </si>
  <si>
    <t>Jícama, fresco, cruda</t>
  </si>
  <si>
    <t>Yambean, jicama, fresh, raw</t>
  </si>
  <si>
    <t>Lechuga, arrepollada, cruda</t>
  </si>
  <si>
    <t>Lettuce, green leafs, raw</t>
  </si>
  <si>
    <t>Lechuga, romana, crespa, fresca, cruda</t>
  </si>
  <si>
    <t>Lettuce, crip, romaine, fresh, raw</t>
  </si>
  <si>
    <t>Nabo, raíz, cocido, sin sal, escurrido</t>
  </si>
  <si>
    <t>Turnips, root, cooked, without salt, drained</t>
  </si>
  <si>
    <t>Nabo, raíz, crudo</t>
  </si>
  <si>
    <t>Turnips, root, raw</t>
  </si>
  <si>
    <t>Orégano, fresco</t>
  </si>
  <si>
    <t>Oregano, fresh</t>
  </si>
  <si>
    <t>Paico, fresco</t>
  </si>
  <si>
    <t>Paico, fresh</t>
  </si>
  <si>
    <t>Palmito, crudo</t>
  </si>
  <si>
    <t>Palm hearts, raw</t>
  </si>
  <si>
    <t>Palmito, enlatado</t>
  </si>
  <si>
    <t>Hearts of palm, canned</t>
  </si>
  <si>
    <t>Papa, nabo, cocida, sin sal</t>
  </si>
  <si>
    <t>Turnips, cooked, without salt</t>
  </si>
  <si>
    <t>Papa, nabo, cruda</t>
  </si>
  <si>
    <t>Turnips, raw</t>
  </si>
  <si>
    <t>Pepino, cojombro, de ensalada, crudo</t>
  </si>
  <si>
    <t>Cucumber, for salad, raw</t>
  </si>
  <si>
    <t>Perejil, fresco, crudo</t>
  </si>
  <si>
    <t>Parsley, fresh, raw</t>
  </si>
  <si>
    <t>Pimiento, rojo, chile dulce, fresco, crudo</t>
  </si>
  <si>
    <t>Peppers, red, sweet, fresh, raw</t>
  </si>
  <si>
    <t>Pimiento, verde, fresco, crudo</t>
  </si>
  <si>
    <t>Peppers, sweet, green, fresh, raw</t>
  </si>
  <si>
    <t>Rábano, largo, crudo</t>
  </si>
  <si>
    <t>Radishes, oriental, raw</t>
  </si>
  <si>
    <t>Rábano, redondo, crudo</t>
  </si>
  <si>
    <t>Radishes, raw</t>
  </si>
  <si>
    <t>Remolacha, cruda</t>
  </si>
  <si>
    <t>Beetroot, raw</t>
  </si>
  <si>
    <t>Remolacha, escurrida, cocida, sin sal</t>
  </si>
  <si>
    <t>Beetroot, drained, cooked, without salt</t>
  </si>
  <si>
    <t>Rúcula, fresca, cruda</t>
  </si>
  <si>
    <t>Arugula, fresh, raw</t>
  </si>
  <si>
    <t>Sambo, cocido, sin sal</t>
  </si>
  <si>
    <t>Gourd, white-flowered, calabash, cooked, without salt</t>
  </si>
  <si>
    <t>Sambo,chilacayote, chiverre, maduro, crudo</t>
  </si>
  <si>
    <t>Gourd, white-flowered, calabash, raw</t>
  </si>
  <si>
    <t>Tomate, rojo, riñon, crudo, promedio</t>
  </si>
  <si>
    <t>Tomato, red, ripe, raw, average</t>
  </si>
  <si>
    <t>Tomate, tomatillo, cherry, fresco, crudo</t>
  </si>
  <si>
    <t>Tomato, cherry, fresh, raw</t>
  </si>
  <si>
    <t>Vainitas, ejotes, vainicas, escurridas, cocidas, sin sal</t>
  </si>
  <si>
    <t>Beans, snap, green, drained, cooked, without salt</t>
  </si>
  <si>
    <t>Vainitas, verdes, cruda</t>
  </si>
  <si>
    <t>Beans, snap, green, raw</t>
  </si>
  <si>
    <t>Zanahoria , jugo natural, zumo</t>
  </si>
  <si>
    <t>Carrots, natural juice, no added sugar</t>
  </si>
  <si>
    <t>Zanahoria, sin cáscara, cruda, cubos</t>
  </si>
  <si>
    <t>Carrots, peeled, raw, cubes</t>
  </si>
  <si>
    <t>Zanahoria, sin cáscara, escurrida, cocida, sin sal, cubos</t>
  </si>
  <si>
    <t>Carrots, peeled, drained cooked, without salt, cubes</t>
  </si>
  <si>
    <t>Zapallo, ayote, guico, calabaza, amarillo, maduro, crudo</t>
  </si>
  <si>
    <t>Squash, winter, hubbard, raw</t>
  </si>
  <si>
    <t>Zapallo, cocido, sin sal</t>
  </si>
  <si>
    <t>Squash, winter, hubbard, without salt, cooked</t>
  </si>
  <si>
    <t>Zucchini, con cáscara, cocido, sin sal</t>
  </si>
  <si>
    <t>Squash, zucchini, unpeeled, cooked, without salt</t>
  </si>
  <si>
    <t>Zucchini, verde, con cáscara, fresco, crudo</t>
  </si>
  <si>
    <t>Squash, zucchini, verde, unpeeled, fresh,raw</t>
  </si>
  <si>
    <t>Arveja, grano seco, cocida, sin sal</t>
  </si>
  <si>
    <t>Peas, mature seeds, cooked, with salt</t>
  </si>
  <si>
    <t>Arveja, grano seco, crudo</t>
  </si>
  <si>
    <t>Peas, mature seeds, raw</t>
  </si>
  <si>
    <t>Brotes de soya, frescos, crudos</t>
  </si>
  <si>
    <t>Bean sprouts, soy, fresh, raw</t>
  </si>
  <si>
    <t>Chocho, cocido, con sal</t>
  </si>
  <si>
    <t>Lupine, mature seed, cooked, with salt</t>
  </si>
  <si>
    <t>Chocho, cocido, sin sal</t>
  </si>
  <si>
    <t>Lupine, mature seed, cooked, without salt</t>
  </si>
  <si>
    <t>Chocho, grano seco, crudo</t>
  </si>
  <si>
    <t>Lupins, mature seeds,raw</t>
  </si>
  <si>
    <t>Fréjol de árbol, gandul, grano seco, crudo</t>
  </si>
  <si>
    <t>Beans, great northern, mature seeds, raw</t>
  </si>
  <si>
    <t>Fréjol, blanco, grano seco, cocido, sin sal</t>
  </si>
  <si>
    <t>Beans, white, mature seeds, cooked, with salt</t>
  </si>
  <si>
    <t>Fréjol, blanco, grano seco, crudo</t>
  </si>
  <si>
    <t>Beans, white, mature seeds, raw</t>
  </si>
  <si>
    <t>Fréjol, canario, cocido</t>
  </si>
  <si>
    <t>Beans canary, cooked</t>
  </si>
  <si>
    <t>Fréjol, canario, crudo</t>
  </si>
  <si>
    <t>Beans canary, raw</t>
  </si>
  <si>
    <t>Fréjol, canario, serranito</t>
  </si>
  <si>
    <t>Beans, canarian, serranito</t>
  </si>
  <si>
    <t>Fréjol, caraotas</t>
  </si>
  <si>
    <t>Beans caraotas, raw</t>
  </si>
  <si>
    <t>Fréjol, negro, grano seco, cocido, sin sal</t>
  </si>
  <si>
    <t>Beans, black, mature seeds, cooked, with salt</t>
  </si>
  <si>
    <t>Fréjol, negro, grano seco, crudo</t>
  </si>
  <si>
    <t>Beans, black, mature seeds, raw</t>
  </si>
  <si>
    <t>Fréjol, pasta de Fréjol, Ole</t>
  </si>
  <si>
    <t>Kidney beans, paste, dip, Ole</t>
  </si>
  <si>
    <t>Fréjol, rojo, grano seco, toda variedad, cocido, sin sal</t>
  </si>
  <si>
    <t>Beans, kidney, all types, mature seeds, cooked, with salt</t>
  </si>
  <si>
    <t>Fréjol, rojo, grano seco, toda variedad, crudo</t>
  </si>
  <si>
    <t>Beans, kidney, all types, mature seeds, raw</t>
  </si>
  <si>
    <t>Garbanzo, grano seco, cocido, sin sal</t>
  </si>
  <si>
    <t>Chickpeas, mature seeds, cooked, with salt</t>
  </si>
  <si>
    <t>Garbanzo, grano seco, crudo</t>
  </si>
  <si>
    <t>Chickpeas, mature seeds, raw</t>
  </si>
  <si>
    <t>Garbanzo, pasta de garbanzo, hummus con pimiento, Ole</t>
  </si>
  <si>
    <t>Chickpea, chickpea paste, hummus with pepper, Ole</t>
  </si>
  <si>
    <t>Haba seca, crudo</t>
  </si>
  <si>
    <t>Broadbeans, fava beans, mature seeds, raw</t>
  </si>
  <si>
    <t>Haba seca, sin cáscara, cocida</t>
  </si>
  <si>
    <t>Broadbeans, fava beans, peeled, cooked</t>
  </si>
  <si>
    <t>Haba seca, tostada</t>
  </si>
  <si>
    <t>Broadbeans, fava beans, mature seeds, toasted</t>
  </si>
  <si>
    <t>Harina de arveja seca</t>
  </si>
  <si>
    <t>Chickpeas, flour</t>
  </si>
  <si>
    <t>Harina de garbanzo</t>
  </si>
  <si>
    <t>Chickpea flour, besan</t>
  </si>
  <si>
    <t>Harina de haba seca</t>
  </si>
  <si>
    <t>Broadbeans, flour</t>
  </si>
  <si>
    <t>Harina de soya, baja en grasa</t>
  </si>
  <si>
    <t>Soy, flour, low fat</t>
  </si>
  <si>
    <t>Lenteja, germinada, cocida, sin sal</t>
  </si>
  <si>
    <t>Lentils, sprouted, cooked, without salt</t>
  </si>
  <si>
    <t>Lenteja, germinada, cruda</t>
  </si>
  <si>
    <t>Lentils, sprouted, raw</t>
  </si>
  <si>
    <t>Lenteja, grano seco, cocido, sin sal</t>
  </si>
  <si>
    <t>Lentils, mature seeds, cooked, with salt</t>
  </si>
  <si>
    <t>Lenteja, grano seco, crudo</t>
  </si>
  <si>
    <t>Lentils, mature seeds, raw</t>
  </si>
  <si>
    <t>Soya, bebida de soya</t>
  </si>
  <si>
    <t>Soy, soy beverage</t>
  </si>
  <si>
    <t>Soya, grano seco, crudo</t>
  </si>
  <si>
    <t>Soy, beans, mature seeds, raw</t>
  </si>
  <si>
    <t>15.7</t>
  </si>
  <si>
    <t>Soya, leche en polvo</t>
  </si>
  <si>
    <t>Soy, milk powder</t>
  </si>
  <si>
    <t>Borrego, corazón, crudo</t>
  </si>
  <si>
    <t>Lamb, heart, raw</t>
  </si>
  <si>
    <t>Borrego, pierna, sin hueso, crudo</t>
  </si>
  <si>
    <t>Lamb, leg, boneless, raw</t>
  </si>
  <si>
    <t>Borrego, riñón, crudo</t>
  </si>
  <si>
    <t>Lamb, kidneys, raw</t>
  </si>
  <si>
    <t>Carnero, cabeza, cocido</t>
  </si>
  <si>
    <t>Ram, head, cooked</t>
  </si>
  <si>
    <t>Carnero, carne magra con hueso</t>
  </si>
  <si>
    <t>Lamb, lean meat with bone</t>
  </si>
  <si>
    <t>Carnero, carne magra sin hueso</t>
  </si>
  <si>
    <t>Lamb, lean boneless meat</t>
  </si>
  <si>
    <t>Carnero, carne, crudo</t>
  </si>
  <si>
    <t>Ram, meat, raw</t>
  </si>
  <si>
    <t>Carnero, hígado, crudo</t>
  </si>
  <si>
    <t>Ram, liver, raw</t>
  </si>
  <si>
    <t>Carnero, patas, cocido</t>
  </si>
  <si>
    <t>Ram, paws, cooked</t>
  </si>
  <si>
    <t>Cerdo (fritada), grasa y carne, frito, comercialmente preparado</t>
  </si>
  <si>
    <t>Pork (Ecuadorian fried pork), fat and meat, fried, commercially prepared</t>
  </si>
  <si>
    <t>Cerdo, cabeza, cocido</t>
  </si>
  <si>
    <t>Pork, head, cooked</t>
  </si>
  <si>
    <t>Cerdo, carne de costilla, cocido</t>
  </si>
  <si>
    <t>Pork, ribs steak, cooked</t>
  </si>
  <si>
    <t>Cerdo, carne de costilla, crudo</t>
  </si>
  <si>
    <t>Pork, ribs steak, raw</t>
  </si>
  <si>
    <t>Cerdo, carne deshidratada, picante, ahumada, Ferbola</t>
  </si>
  <si>
    <t>Pork meet, dehydrated, spicy, smoked, Ferbola</t>
  </si>
  <si>
    <t>Cerdo, carne magra, (lomo, espaldilla y costilla), cocida</t>
  </si>
  <si>
    <t>Pork, lean meat, (leg, loin and ribs), cooked</t>
  </si>
  <si>
    <t>Cerdo, carne magra, (lomo, espaldilla y costilla), cruda</t>
  </si>
  <si>
    <t>Pork, lean meat, (leg, loin and ribs), raw</t>
  </si>
  <si>
    <t>Cerdo, carne semi-magra, cocida</t>
  </si>
  <si>
    <t>Pork, semi-lean meat, cooked</t>
  </si>
  <si>
    <t>Cerdo, carne semi-magra, cruda</t>
  </si>
  <si>
    <t>Pork, semi-lean meat, raw</t>
  </si>
  <si>
    <t>Cerdo, carne, pierna o lomo, sin grasa, cruda</t>
  </si>
  <si>
    <t>Pork, meat, leg or tenderloin, without fat, raw</t>
  </si>
  <si>
    <t>Cerdo, carne, semigrasosa, cruda</t>
  </si>
  <si>
    <t>Pork, semi-greasy meat, raw</t>
  </si>
  <si>
    <t>Cerdo, cecina, carne seca, curada</t>
  </si>
  <si>
    <t>Pork, dried meat, salty</t>
  </si>
  <si>
    <t>Cerdo, chicharrón, (con grasa), frito</t>
  </si>
  <si>
    <t>Pork, chicharrón, with fat, fried</t>
  </si>
  <si>
    <t>Cerdo, chuleta, cruda</t>
  </si>
  <si>
    <t>Pork, chop, raw</t>
  </si>
  <si>
    <t>Cerdo, cola o rabo, cocido</t>
  </si>
  <si>
    <t>Pork, tail, cooked</t>
  </si>
  <si>
    <t>Cerdo, corazón, crudo</t>
  </si>
  <si>
    <t>Pork, heart, raw</t>
  </si>
  <si>
    <t>Cerdo, cuero, cocinado, comercialmente preparado</t>
  </si>
  <si>
    <t>Pork, skin, boiled, commercially prepared</t>
  </si>
  <si>
    <t>Cerdo, estómago, crudo</t>
  </si>
  <si>
    <t>Pork, stomach, raw</t>
  </si>
  <si>
    <t>Cerdo, hígado, crudo</t>
  </si>
  <si>
    <t>Pork, liver, raw</t>
  </si>
  <si>
    <t>Cerdo, lengua, cruda</t>
  </si>
  <si>
    <t>Pork, tongue, raw</t>
  </si>
  <si>
    <t>Cerdo, patas, crudas</t>
  </si>
  <si>
    <t>Pork, paw, raw</t>
  </si>
  <si>
    <t>Cerdo, queso de chancho</t>
  </si>
  <si>
    <t>Headcheese, pork</t>
  </si>
  <si>
    <t>Cerdo, riñones, crudos</t>
  </si>
  <si>
    <t>Pork, kidneys, raw</t>
  </si>
  <si>
    <t>Cerdo, tocino, asado</t>
  </si>
  <si>
    <t>Bacon, pork, broil</t>
  </si>
  <si>
    <t>Chontacuro, gusano mayón, crudo</t>
  </si>
  <si>
    <t>Warm, gusano maguey, raw</t>
  </si>
  <si>
    <t>Chorizo, de res y cerdo, crudo</t>
  </si>
  <si>
    <t>Sausage, pork and beef, raw</t>
  </si>
  <si>
    <t>Codorniz, carne, cocida</t>
  </si>
  <si>
    <t>Quail, meat, cooked</t>
  </si>
  <si>
    <t>Conejo, de crianza, carne, cocida</t>
  </si>
  <si>
    <t>Rabbit, domesticated, meat, cooked</t>
  </si>
  <si>
    <t>Conejo, de crianza, carne, cruda</t>
  </si>
  <si>
    <t>Rabbit, domesticated, meat, raw</t>
  </si>
  <si>
    <t>Cordero, pierna, carne magra, con hueso</t>
  </si>
  <si>
    <t>Lamb, leg, lean meat, with bone</t>
  </si>
  <si>
    <t>Cordero, pierna, con hueso, cocida</t>
  </si>
  <si>
    <t>Lamb, leg, with bone, cooked</t>
  </si>
  <si>
    <t>Cordero, pierna, sin hueso, cruda</t>
  </si>
  <si>
    <t>Cuy, asado, con sal, comercialmente preparado</t>
  </si>
  <si>
    <t>Guinea pig, meat and skin, grilled, commercially prepared</t>
  </si>
  <si>
    <t>Cuy, cobayo, carne, cruda</t>
  </si>
  <si>
    <t>Guinea pig, meat, raw</t>
  </si>
  <si>
    <t>Ganso, domesticado, carne con piel, crudo</t>
  </si>
  <si>
    <t>Goose, domesticated, meat with skin, raw</t>
  </si>
  <si>
    <t>Huevo de codorniz, entero, fresco, crudo</t>
  </si>
  <si>
    <t>Egg, quail, whole, fresh, raw</t>
  </si>
  <si>
    <t>Huevo de gallina, clara, cruda</t>
  </si>
  <si>
    <t>Egg, white, raw</t>
  </si>
  <si>
    <t>Huevo de gallina, de campo, crudo</t>
  </si>
  <si>
    <t>Egg, whole, raw</t>
  </si>
  <si>
    <t>Huevo de gallina, entero, crudo</t>
  </si>
  <si>
    <t>Egg, whole, fresh, raw</t>
  </si>
  <si>
    <t>Huevo de gallina, yema, cruda</t>
  </si>
  <si>
    <t>Egg, yolk, raw</t>
  </si>
  <si>
    <t>Huevo de pata</t>
  </si>
  <si>
    <t>Eggs, duck</t>
  </si>
  <si>
    <t>Jamón, de cerdo, 8% grasa</t>
  </si>
  <si>
    <t>Pork, ham, 8% fat</t>
  </si>
  <si>
    <t>Jamón, de cerdo, tipo picnic, jamonada, fresco</t>
  </si>
  <si>
    <t>Pork, ham, picnic type, fresh</t>
  </si>
  <si>
    <t>Jamón, de pavo, fresco</t>
  </si>
  <si>
    <t>Turkey, ham, fresh</t>
  </si>
  <si>
    <t>Jamón, de pollo, fresco</t>
  </si>
  <si>
    <t>Chicken ham, fresh</t>
  </si>
  <si>
    <t>Liebre, carne, cruda</t>
  </si>
  <si>
    <t>Hare, meat, raw</t>
  </si>
  <si>
    <t>Llama, carne, fresca, cruda</t>
  </si>
  <si>
    <t>Llama, meat, fresh, raw</t>
  </si>
  <si>
    <t>Longaniza, de cerdo, cruda</t>
  </si>
  <si>
    <t>Sausage, italian, pork, raw</t>
  </si>
  <si>
    <t>Morcilla, moronga, con grasa</t>
  </si>
  <si>
    <t>Blood sausage, with fat</t>
  </si>
  <si>
    <t>Mortadela tipo bologña, de cerdo</t>
  </si>
  <si>
    <t>Bologna, pork</t>
  </si>
  <si>
    <t>Mortadela, de cerdo y res</t>
  </si>
  <si>
    <t>Mortadella, beef and pork</t>
  </si>
  <si>
    <t>Paloma, carne con piel, crudo</t>
  </si>
  <si>
    <t>Squab, pigeon, meat with skin, raw</t>
  </si>
  <si>
    <t>Paté, de hígado, enlatado</t>
  </si>
  <si>
    <t>Pate, liver, canned</t>
  </si>
  <si>
    <t>Pato, de crianza, carne con piel, crudo</t>
  </si>
  <si>
    <t>Breeding duck, meat with skin, raw</t>
  </si>
  <si>
    <t>Pavo, carne (pechuga), sin piel, cruda</t>
  </si>
  <si>
    <t>Turkey, breast, meat with skin, raw</t>
  </si>
  <si>
    <t>Pepperoni, res y cerdo, crudo</t>
  </si>
  <si>
    <t>Pepperoni, beef and pork, raw</t>
  </si>
  <si>
    <t>Pollo, alas, con piel, a la parrilla, cocidas</t>
  </si>
  <si>
    <t>Chicken, wings, with skin, broilers, cooked</t>
  </si>
  <si>
    <t>Pollo, alas, con piel, crudas</t>
  </si>
  <si>
    <t>Chicken, wings, with skin, raw</t>
  </si>
  <si>
    <t>Pollo, corazón, crudo</t>
  </si>
  <si>
    <t>Chicken, heart, raw</t>
  </si>
  <si>
    <t>Pollo, hígado, cocido</t>
  </si>
  <si>
    <t>Chicken, liver, cooked</t>
  </si>
  <si>
    <t>Pollo, hígado, crudo</t>
  </si>
  <si>
    <t>Chicken, liver, raw</t>
  </si>
  <si>
    <t>Pollo, molleja, cocida</t>
  </si>
  <si>
    <t>Chicken, gizzard, cooked</t>
  </si>
  <si>
    <t>Pollo, molleja, cruda</t>
  </si>
  <si>
    <t>Chicken, gizzard, cruda</t>
  </si>
  <si>
    <t>1.21</t>
  </si>
  <si>
    <t>Pollo, muslos, sin piel, a la parrilla, cocido</t>
  </si>
  <si>
    <t>Chicken, thighs, without skin, broiler, cooked</t>
  </si>
  <si>
    <t>Pollo, muslos, sin piel, a la parrilla, crudo</t>
  </si>
  <si>
    <t>Chicken, thighs, without skin, broiler, raw</t>
  </si>
  <si>
    <t>Pollo, pechuga, con piel, cruda</t>
  </si>
  <si>
    <t>Chicken, breast, with skin, raw</t>
  </si>
  <si>
    <t>Pollo, pechuga, sin piel, a la parrilla, cocida</t>
  </si>
  <si>
    <t>Chicken, breast, without skin, broiler, cooked</t>
  </si>
  <si>
    <t>Pollo, pierna, con piel, a la parrilla, cocida</t>
  </si>
  <si>
    <t>Chicken, leg, with skin, broilers, cooked</t>
  </si>
  <si>
    <t>Pollo, pierna, con piel, cruda</t>
  </si>
  <si>
    <t>Chicken, leg, with skin, raw</t>
  </si>
  <si>
    <t>Res, carne alta en grasa, sin hueso, cruda</t>
  </si>
  <si>
    <t>Beef, high in fat, boneless, raw</t>
  </si>
  <si>
    <t>Res, carne deshidratada, picante, Clintons</t>
  </si>
  <si>
    <t>Beef meet, dehydrates, spicy,
Clintons</t>
  </si>
  <si>
    <t>Res, carne magra, cruda</t>
  </si>
  <si>
    <t>Beef, lean meet, raw</t>
  </si>
  <si>
    <t>Res, carne molida, alta en grasa, 7% grasa, cruda</t>
  </si>
  <si>
    <t>Beef, ground, high fat, 7% fat, raw</t>
  </si>
  <si>
    <t>Res, carne molida, baja en grasa, 1-3% grasa, cruda</t>
  </si>
  <si>
    <t>Beef, ground, low fat, 1- 3% fat, raw</t>
  </si>
  <si>
    <t>Res, carne molida, especial, 3-5% grasa, cruda</t>
  </si>
  <si>
    <t>Beef, ground, special, 3-5% fat, raw</t>
  </si>
  <si>
    <t>Res, carne semigrasosa, cocida</t>
  </si>
  <si>
    <t>Beef, semi-greasy, cooked</t>
  </si>
  <si>
    <t>Res, carne semigrasosa, sin hueso, cruda</t>
  </si>
  <si>
    <t>Beef, semy-greasy, boneless, raw</t>
  </si>
  <si>
    <t>Res, carne, alta en grasa, con hueso, cruda</t>
  </si>
  <si>
    <t>Beef, high fat meat, with bones, raw</t>
  </si>
  <si>
    <t>Res, carne, seca y  curada</t>
  </si>
  <si>
    <t>Beef, dried meat, salty</t>
  </si>
  <si>
    <t>Res, cecina, carne seca, curada</t>
  </si>
  <si>
    <t>Res, corazón, cocido</t>
  </si>
  <si>
    <t>Beef, heart, cooked</t>
  </si>
  <si>
    <t>Res, corazón, crudo</t>
  </si>
  <si>
    <t>Beef, heart, raw</t>
  </si>
  <si>
    <t>Res, corte aguja, (mandril para estofado), cocida</t>
  </si>
  <si>
    <t>Beef, chuck for stew, cooked</t>
  </si>
  <si>
    <t>Res, corte aguja, (mandril para estofado), cruda</t>
  </si>
  <si>
    <t>Beef, chuck for stew, raw</t>
  </si>
  <si>
    <t>Res, corte t- bone, cruda</t>
  </si>
  <si>
    <t>Beef, short loin, t-bone, raw</t>
  </si>
  <si>
    <t>Res, costilla, , crudo</t>
  </si>
  <si>
    <t>Beef, rib steak, raw</t>
  </si>
  <si>
    <t>Res, costillas, cruda</t>
  </si>
  <si>
    <t>Beef, back ribs, raw</t>
  </si>
  <si>
    <t>Res, cuello, pescuezo, cocido</t>
  </si>
  <si>
    <t>Beef, neck with bones, cooked</t>
  </si>
  <si>
    <t>Res, estómago, panza, mondongo, crudo</t>
  </si>
  <si>
    <t>Beef, cows stomach, raw</t>
  </si>
  <si>
    <t>Res, falda</t>
  </si>
  <si>
    <t>Beef, flank, steak, raw</t>
  </si>
  <si>
    <t>Res, filete, bistec, crudo</t>
  </si>
  <si>
    <t>Beef, steak, raw</t>
  </si>
  <si>
    <t>Res, filete, ribeye, cruda</t>
  </si>
  <si>
    <t>Beef, rib eye steak, raw</t>
  </si>
  <si>
    <t>Res, hígado, asado</t>
  </si>
  <si>
    <t>Beef, liver, cooked</t>
  </si>
  <si>
    <t>Res, hígado, crudo</t>
  </si>
  <si>
    <t>Beef, liver, raw</t>
  </si>
  <si>
    <t>Res, intestinos, tripas, cruda</t>
  </si>
  <si>
    <t>Beef, gut, tripe, raw</t>
  </si>
  <si>
    <t>Res, lengua, cocida</t>
  </si>
  <si>
    <t>Beef, tongue, cooked</t>
  </si>
  <si>
    <t>Res, lengua, cruda</t>
  </si>
  <si>
    <t>Beef, tongue, raw</t>
  </si>
  <si>
    <t>Res, lomo falda con grasa, bife chorizo, cocida</t>
  </si>
  <si>
    <t>Beef, sausage steak,cooked</t>
  </si>
  <si>
    <t>Res, lomo falda con grasa, bife chorizo, cruda</t>
  </si>
  <si>
    <t>Beef, sausage, steak, raw</t>
  </si>
  <si>
    <t>Res, lomo fino, filete, crudo</t>
  </si>
  <si>
    <t>Beef, tenderloin, steak, raw</t>
  </si>
  <si>
    <t>Res, pata, cruda</t>
  </si>
  <si>
    <t>Beef, cows paw, raw de res</t>
  </si>
  <si>
    <t>Res, riñones, cocido</t>
  </si>
  <si>
    <t>Beef, kidneys, cooked</t>
  </si>
  <si>
    <t>Res, riñones, crudos</t>
  </si>
  <si>
    <t>Beef, kidneys, raw</t>
  </si>
  <si>
    <t>Res, sangre, cocida</t>
  </si>
  <si>
    <t>Beef, blood, cooked</t>
  </si>
  <si>
    <t>Res, sesos, cocidos</t>
  </si>
  <si>
    <t>Beef, brains, coolked</t>
  </si>
  <si>
    <t>Res, ubre, cruda</t>
  </si>
  <si>
    <t>Cows udder, raw</t>
  </si>
  <si>
    <t>Salami, de res y cerdo, cocido</t>
  </si>
  <si>
    <t>Salami, beef and pork, cooked</t>
  </si>
  <si>
    <t>Salami, de res y cerdo, crudo</t>
  </si>
  <si>
    <t>Salami, beef and pork, raw</t>
  </si>
  <si>
    <t>Salchicha, de pavo, cruda</t>
  </si>
  <si>
    <t>Turkey sausage, raw</t>
  </si>
  <si>
    <t>Salchicha, de pollo, cruda</t>
  </si>
  <si>
    <t>Chicken sausage, raw</t>
  </si>
  <si>
    <t>Salchicha, de res, cruda</t>
  </si>
  <si>
    <t>Beef sausage, raw</t>
  </si>
  <si>
    <t>Ternera, carne magra, cocida</t>
  </si>
  <si>
    <t>Veal, lean meet, cooked</t>
  </si>
  <si>
    <t>Ternera, carne magra, cruda</t>
  </si>
  <si>
    <t>Veal, lean meet, raw</t>
  </si>
  <si>
    <t>Venado, carne, fresca, cruda</t>
  </si>
  <si>
    <t>Deer, meat, fresh, raw</t>
  </si>
  <si>
    <t>Almejas, crudas</t>
  </si>
  <si>
    <t>Clam, mixed species, raw</t>
  </si>
  <si>
    <t>Atún, blanco, albacora, crudo</t>
  </si>
  <si>
    <t>Albacora tuna, raw</t>
  </si>
  <si>
    <t>Atún, en aceite, enlatado, promedio</t>
  </si>
  <si>
    <t>Tuna, in oil, canned, average</t>
  </si>
  <si>
    <t>Atún, en agua, enlatado, promedio</t>
  </si>
  <si>
    <t>Tuna, in water, canned, average</t>
  </si>
  <si>
    <t>Atún, en agua, enlatado, sin sal</t>
  </si>
  <si>
    <t>Tuna, in water, canned, without salt</t>
  </si>
  <si>
    <t>Atún, lomitos, en aceite, girasol, Isabel</t>
  </si>
  <si>
    <t>Tuna, tenderloins, in sunflower oil, Isabel</t>
  </si>
  <si>
    <t>Ayanque, cachema</t>
  </si>
  <si>
    <t>Ayanque, cachema, fish</t>
  </si>
  <si>
    <t>Bacalao, seco y salado</t>
  </si>
  <si>
    <t>Cod, atlantic, dried and salted</t>
  </si>
  <si>
    <t>Bagre, fresco, crudo</t>
  </si>
  <si>
    <t>Catfish, wild, fresh, raw</t>
  </si>
  <si>
    <t>Banderon, fresco, crudo</t>
  </si>
  <si>
    <t>Swordfish, fresh, raw</t>
  </si>
  <si>
    <t>Bonito, fresco, crudo</t>
  </si>
  <si>
    <t>Bluefin, fresh, raw</t>
  </si>
  <si>
    <t>Caballa, fresco</t>
  </si>
  <si>
    <t>Caballa, fresh</t>
  </si>
  <si>
    <t>Calamar, fresco, crudo</t>
  </si>
  <si>
    <t>Squid, mixed species, fresh, raw</t>
  </si>
  <si>
    <t>Camarón, fresco, cocido</t>
  </si>
  <si>
    <t>Shrimp, fresh, cooked</t>
  </si>
  <si>
    <t>Camarón, fresco, crudo</t>
  </si>
  <si>
    <t>Shrimp, fresh, raw</t>
  </si>
  <si>
    <t>Cangrejo, enlatado</t>
  </si>
  <si>
    <t>Crab, canned</t>
  </si>
  <si>
    <t>Cangrejo, fresco, cocido</t>
  </si>
  <si>
    <t>Crab, fresh, cooked</t>
  </si>
  <si>
    <t>Cangrejo, fresco, crudo</t>
  </si>
  <si>
    <t>Crab, fresh, raw</t>
  </si>
  <si>
    <t>Caracoles, churos, crudos</t>
  </si>
  <si>
    <t>Molluska snail, raw</t>
  </si>
  <si>
    <t>Cochas, carne, cruda</t>
  </si>
  <si>
    <t>Seashell, concha, meat, raw</t>
  </si>
  <si>
    <t>Corvina, fresca, cruda</t>
  </si>
  <si>
    <t>Croaker, atlantic, fresh, raw</t>
  </si>
  <si>
    <t>Dorado, fresco, crudo</t>
  </si>
  <si>
    <t>Mahimahi fish, fresh, raw</t>
  </si>
  <si>
    <t>Huevos de pescado, promedio</t>
  </si>
  <si>
    <t>Roe, mixed species, raw</t>
  </si>
  <si>
    <t>Jurel, fresco, crudo</t>
  </si>
  <si>
    <t>Mackerel, fresh, raw</t>
  </si>
  <si>
    <t>Langosta, carne, cruda</t>
  </si>
  <si>
    <t>Lobster, meat, raw</t>
  </si>
  <si>
    <t>Langostino, fresco, pelado, crudo</t>
  </si>
  <si>
    <t>Crayfish, fresh, peeled, raw</t>
  </si>
  <si>
    <t>Lenguado, fresco, crudo</t>
  </si>
  <si>
    <t>Flatfish, fresh, raw</t>
  </si>
  <si>
    <t>Machete</t>
  </si>
  <si>
    <t>Machete, fish</t>
  </si>
  <si>
    <t>Mero, fresco, crudo</t>
  </si>
  <si>
    <t>Grouper, fresh, raw</t>
  </si>
  <si>
    <t>Ostiones, crudos</t>
  </si>
  <si>
    <t>Oyster, pacific, raw</t>
  </si>
  <si>
    <t>Pampanito, carita, fresco, crudo</t>
  </si>
  <si>
    <t>Pompano, florida, fresh, raw</t>
  </si>
  <si>
    <t>Pargo, fresco, crudo</t>
  </si>
  <si>
    <t>Snapper, fresh, raw</t>
  </si>
  <si>
    <t>Picudo, pez espada, fresco, crudo</t>
  </si>
  <si>
    <t>Swordfish, small, fresh, raw</t>
  </si>
  <si>
    <t>Pulpo, común, crudo</t>
  </si>
  <si>
    <t>Octopus, common, raw</t>
  </si>
  <si>
    <t>Róbalo, fresco, crudo</t>
  </si>
  <si>
    <t>Bass fish, fresh, raw</t>
  </si>
  <si>
    <t>Salmón, ahumado</t>
  </si>
  <si>
    <t>Salmon, chinook, smoked</t>
  </si>
  <si>
    <t>Salmón, fresco, crudo</t>
  </si>
  <si>
    <t>Salmon, sockeye, fresh, raw</t>
  </si>
  <si>
    <t>Sardinas,con hueso, en aceite, enlatadas</t>
  </si>
  <si>
    <t>Sardine, with bones, in oil, canned</t>
  </si>
  <si>
    <t>Sardinas,con hueso, en salsa de tomate, enlatadas</t>
  </si>
  <si>
    <t>Sardine, with bones, in tomatoe sausage, canned</t>
  </si>
  <si>
    <t>Sierra, fresco, crudo</t>
  </si>
  <si>
    <t>Mackerel, pacific jack, fresh, raw</t>
  </si>
  <si>
    <t>Tilapia, fresca, asada</t>
  </si>
  <si>
    <t>Tilapia fish, fresh, cooked</t>
  </si>
  <si>
    <t>Tilapia, fresca, cruda</t>
  </si>
  <si>
    <t>Tilapia fish, fresh, raw</t>
  </si>
  <si>
    <t>Toyo, fresco, crudo</t>
  </si>
  <si>
    <t>Shark, mixed species, fresh, raw</t>
  </si>
  <si>
    <t>Trucha, fresca, cruda</t>
  </si>
  <si>
    <t>Trout, mixed species, fresca, raw</t>
  </si>
  <si>
    <t>Crema agria, promedio</t>
  </si>
  <si>
    <t>Sourcream, average</t>
  </si>
  <si>
    <t>Crema de leche, espesa</t>
  </si>
  <si>
    <t>Milk cream, thick</t>
  </si>
  <si>
    <t>Crema de leche, rala</t>
  </si>
  <si>
    <t>Milk cream, fluid</t>
  </si>
  <si>
    <t>Crema, de leche, espesa</t>
  </si>
  <si>
    <t>Cream,fluid,heavy whipping</t>
  </si>
  <si>
    <t>Leche de vaca, descremada (1% grasa), fluida, con vitamina A y D</t>
  </si>
  <si>
    <t>Milk, fluid, lowfat 1% fat, with vitamin A and D</t>
  </si>
  <si>
    <t>Leche, de cabra, fluida, con vit D</t>
  </si>
  <si>
    <t>Milk, goat, fluid, with Vit D</t>
  </si>
  <si>
    <t>Leche, de vaca, chocolatada, fluida, baja en grasa</t>
  </si>
  <si>
    <t>Milk, fluid, chocolate flavor, low fat</t>
  </si>
  <si>
    <t>Leche, de vaca, en polvo, entera</t>
  </si>
  <si>
    <t>Milk, whole, powder</t>
  </si>
  <si>
    <t>Leche, de vaca, evaporada, enlatada</t>
  </si>
  <si>
    <t>Milk, evaporated, canned</t>
  </si>
  <si>
    <t>Leche, de vaca, fluida, semidescremada, deslactosada, larga vida UHT, Nestlé</t>
  </si>
  <si>
    <t>Milk, fluid, semi-skim, lactose- free, long life UHT, Nestlé</t>
  </si>
  <si>
    <t>Leche, de vaca, fluida, entera 3.25% grasa</t>
  </si>
  <si>
    <t>Milk, fluid, whole 3.25%  fat</t>
  </si>
  <si>
    <t>Leche, de vaca, fluida, entera, ultrapasteurizada, larga vida, UHT, Nutri</t>
  </si>
  <si>
    <t>Milk, fluid, whole, pasteurized, UHT, Nutri</t>
  </si>
  <si>
    <t>Leche, de vaca, fluida, sabor a chocolate, Reyleche</t>
  </si>
  <si>
    <t>Milk, fluid, chocolate flavor,
Reyleche</t>
  </si>
  <si>
    <t>Leche, de vaca, fluida, sabor a chocolate, Toni</t>
  </si>
  <si>
    <t>Milk, fluid, chocolate flavor,
Toni</t>
  </si>
  <si>
    <t>Leche, de vaca, fluida, semidescremada 2% grasa</t>
  </si>
  <si>
    <t>Milk, fluid, semi-skim 2% fat, with vit A and D</t>
  </si>
  <si>
    <t>Leche, de vaca, fluida, semidescremada 2% grasa, con vit A y D</t>
  </si>
  <si>
    <t>Leche, de vaca, fluida, semidescremada, larga vida UHT, con vit A y D, Nestlé</t>
  </si>
  <si>
    <t>Milk, fluid, semi-skim, long life UHT, with vit A and D, Nestle</t>
  </si>
  <si>
    <t>Leche, en polvo, azucarada, con hierro, El Rodeo, Nestlé</t>
  </si>
  <si>
    <t>Milk, powder, sweetened, with iron, El Rodeo, Nestle</t>
  </si>
  <si>
    <t>Leche, en polvo, entera, con minerales y Vit A, C y D, La Vaquita</t>
  </si>
  <si>
    <t>Milk, powder, whole milk, with minerals and Vit A, C and D, La Vaquita</t>
  </si>
  <si>
    <t>Leche, en polvo, semidescremada, modificada con probióticos, minerales y DHA, etapa 1, Nido, Nestlé</t>
  </si>
  <si>
    <t>Milk, powder, modified with probiotics, minerals and DHA, stage 1, Nido, Nestle</t>
  </si>
  <si>
    <t>Leche, materna, fluida, madura</t>
  </si>
  <si>
    <t>Milk, human, fluid, mature</t>
  </si>
  <si>
    <t>Queso crema promedio</t>
  </si>
  <si>
    <t>Cheese, cream, average</t>
  </si>
  <si>
    <t>Queso crema, para untar, reducido en grasa, Toni</t>
  </si>
  <si>
    <t>Cream cheese, to spread, reduced in fat, Toni</t>
  </si>
  <si>
    <t>Queso crema, philadelphia, light, Kraft</t>
  </si>
  <si>
    <t>Cream cheese, philadelphia, light, Kraft</t>
  </si>
  <si>
    <t>Queso, azul</t>
  </si>
  <si>
    <t>Cheese, blue</t>
  </si>
  <si>
    <t>Queso, brie</t>
  </si>
  <si>
    <t>Cheese, brie</t>
  </si>
  <si>
    <t>Queso, camembert</t>
  </si>
  <si>
    <t>Cheese, camembert</t>
  </si>
  <si>
    <t>Queso, cheddar</t>
  </si>
  <si>
    <t>Cheese, cheddar</t>
  </si>
  <si>
    <t>Queso, cottage, con crema</t>
  </si>
  <si>
    <t>Cheese, cottage, with cream</t>
  </si>
  <si>
    <t>Queso, cottage, semidescremado 2% grasa</t>
  </si>
  <si>
    <t>Cheese, cottage, semi-greasy, 2% fat</t>
  </si>
  <si>
    <t>Queso, de cabra, Castillo de Holanda</t>
  </si>
  <si>
    <t>Cheese, goat, Castillo de Holanda</t>
  </si>
  <si>
    <t>Queso, fresco, leche entera</t>
  </si>
  <si>
    <t>Cheese, fresh, whole milk</t>
  </si>
  <si>
    <t>Queso, fresco, leche semidescremada</t>
  </si>
  <si>
    <t>Cheese, fresh, semi-skimmed milk</t>
  </si>
  <si>
    <t>Queso, fresco, light</t>
  </si>
  <si>
    <t>Cheese, fresh, low-fat</t>
  </si>
  <si>
    <t>Queso, fresco, semi-mature,
Fedac</t>
  </si>
  <si>
    <t>Cheese, fresh, semi maduro,
Fedac</t>
  </si>
  <si>
    <t>Queso, gouda</t>
  </si>
  <si>
    <t>Cheese, gouda</t>
  </si>
  <si>
    <t>Queso, gouda, Castillo de Holanda</t>
  </si>
  <si>
    <t>Cheese, gouda, Castillo de Holanda</t>
  </si>
  <si>
    <t>Queso, holandés</t>
  </si>
  <si>
    <t>Cheese, edam</t>
  </si>
  <si>
    <t>Queso, holandés, gouda, Alpina</t>
  </si>
  <si>
    <t>Cheese, dutch, gouda, Alpina</t>
  </si>
  <si>
    <t>Queso, laminado, mantecoso, chanco, San Rafael</t>
  </si>
  <si>
    <t>Cheese, laminated, buttery, chanco, San Rafael</t>
  </si>
  <si>
    <t>Queso, maduro, gouda, Castillo de Holanda</t>
  </si>
  <si>
    <t>Cheese, gouda, ripe, Castillo de Holanda</t>
  </si>
  <si>
    <t>Queso, manchego</t>
  </si>
  <si>
    <t>Cheese, manchego</t>
  </si>
  <si>
    <t>Queso, mozarella, bajo en grasa</t>
  </si>
  <si>
    <t>Cheese, mozzarella, part skim milk</t>
  </si>
  <si>
    <t>Queso, mozarella, leche descremada, bajo en grasa</t>
  </si>
  <si>
    <t>Cheese, mozzarella, skim milk, low-fat</t>
  </si>
  <si>
    <t>Queso, mozarella, leche entera</t>
  </si>
  <si>
    <t>Cheese, mozzarella, whole milk</t>
  </si>
  <si>
    <t>Queso, parmesano, duro</t>
  </si>
  <si>
    <t>Cheese, parmesan, hard</t>
  </si>
  <si>
    <t>Queso, ricotta, leche descremada, bajo en grasa</t>
  </si>
  <si>
    <t>Cheese, ricotta, skim milk, low-fat</t>
  </si>
  <si>
    <t>Queso, ricotta, leche entera</t>
  </si>
  <si>
    <t>Cheese, ricotta, whole milk</t>
  </si>
  <si>
    <t>Queso, roquefort</t>
  </si>
  <si>
    <t>Cheese, roquefort</t>
  </si>
  <si>
    <t>Queso, suizo</t>
  </si>
  <si>
    <t>Cheese, swiss</t>
  </si>
  <si>
    <t>Queso, tipo cuajada, fresco, tierno</t>
  </si>
  <si>
    <t>Cheese, fresh, immature</t>
  </si>
  <si>
    <t>Queso, tipo requesón, promedio</t>
  </si>
  <si>
    <t>Cheese, curd type, average</t>
  </si>
  <si>
    <t>Yogurt con cereal, sabor frutilla, hojuelas de maíz, Toni</t>
  </si>
  <si>
    <t>Yogurt, with cereal, strawberry flavor, corn flakes, Toni</t>
  </si>
  <si>
    <t>Yogurt, con mermelada, yougourmet, Toni</t>
  </si>
  <si>
    <t>Yogurt, with mermelade, yogourmet, Toni</t>
  </si>
  <si>
    <t>Yogurt, de fruta, bajo en grasa</t>
  </si>
  <si>
    <t>Yogurt, fruit, low-fat</t>
  </si>
  <si>
    <t>Yogurt, leche descremada, sabor de fruta</t>
  </si>
  <si>
    <t>Yogurt, skim milk, fruit flavor</t>
  </si>
  <si>
    <t>Yogurt, leche entera, sabor a mora, Toni</t>
  </si>
  <si>
    <t>Yogurt, whole milk, blackberry flavor, Toni</t>
  </si>
  <si>
    <t>Yogurt, leche semi-descremada</t>
  </si>
  <si>
    <t>Yogurt, semi-skimmed milk</t>
  </si>
  <si>
    <t>Yogurt, natural, leche descremada, bajo en grasa</t>
  </si>
  <si>
    <t>Yogurt, plain, skim milk, low-fat</t>
  </si>
  <si>
    <t>Yogurt, natural, leche entera</t>
  </si>
  <si>
    <t>Yogurt, plain, whole milk</t>
  </si>
  <si>
    <t>Yogurt, semi-descremado,
Dulac’s</t>
  </si>
  <si>
    <t>Yogurt, semi-skimmed, Dulac’s</t>
  </si>
  <si>
    <t>Yogurt, tipo griego, Toni</t>
  </si>
  <si>
    <t>Yogurt, greek type, Toni</t>
  </si>
  <si>
    <t>Yougurt, semi-descremado, con trozos de mora, Regeneris</t>
  </si>
  <si>
    <t>Yogurt, semi-skimmed, with pieces of blackberry, Regeneris</t>
  </si>
  <si>
    <t>Aceite, de aguacate</t>
  </si>
  <si>
    <t>Oil, avocado</t>
  </si>
  <si>
    <t>Aceite, de ajonjolí</t>
  </si>
  <si>
    <t>Oil, sesame</t>
  </si>
  <si>
    <t>Aceite, de almendra</t>
  </si>
  <si>
    <t>Oil, almond</t>
  </si>
  <si>
    <t>Aceite, de canola</t>
  </si>
  <si>
    <t>Oil, canola</t>
  </si>
  <si>
    <t>Aceite, de coco</t>
  </si>
  <si>
    <t>Oil, coconut</t>
  </si>
  <si>
    <t>Aceite, de girasol</t>
  </si>
  <si>
    <t>Oil, sunflower</t>
  </si>
  <si>
    <t>Aceite, de maíz</t>
  </si>
  <si>
    <t>Oil, corn</t>
  </si>
  <si>
    <t>Aceite, de nuez</t>
  </si>
  <si>
    <t>Oil, walnut</t>
  </si>
  <si>
    <t>Aceite, de oliva</t>
  </si>
  <si>
    <t>Oil, olive</t>
  </si>
  <si>
    <t>Aceite, de palma</t>
  </si>
  <si>
    <t>Oil, palm</t>
  </si>
  <si>
    <t>Aceite, de soya</t>
  </si>
  <si>
    <t>Oil, soya bean</t>
  </si>
  <si>
    <t>Aceitunas, negras, envasada,
Mallorca</t>
  </si>
  <si>
    <t>Olives, black, ripe, canned,
Mallorca</t>
  </si>
  <si>
    <t>Aceitunas, verdes, envasada, promedio</t>
  </si>
  <si>
    <t>Olives, green, ripe, canned, average</t>
  </si>
  <si>
    <t>Almendra, seca</t>
  </si>
  <si>
    <t>Almonds, dry</t>
  </si>
  <si>
    <t>Avellana, sin cáscara</t>
  </si>
  <si>
    <t>Nuts, hazelnuts, filberts, peeled</t>
  </si>
  <si>
    <t>Castaña, china, sin cáscara, cruda</t>
  </si>
  <si>
    <t>Chestnuts, chinese, peeled, raw</t>
  </si>
  <si>
    <t>Castaña, europea seca pelada</t>
  </si>
  <si>
    <t>Chestnuts, european, dried, peeled</t>
  </si>
  <si>
    <t>Chocolate, para untar, Nucita</t>
  </si>
  <si>
    <t>Chocolate, to spread, Nucita</t>
  </si>
  <si>
    <t>Crema, de almendras y cacao,
Choco-almond</t>
  </si>
  <si>
    <t>Cream, almond cream with cocoa, Choco-almond</t>
  </si>
  <si>
    <t>Crema, de avellana, con cacao y leche, Delilu</t>
  </si>
  <si>
    <t>Cream, Hazelnut, with cocoa and milk, Delilu</t>
  </si>
  <si>
    <t>Crema, de avellana, leche y chocolate, Nusco</t>
  </si>
  <si>
    <t>Cream, hazelnut, milk and chocolate, Nusco</t>
  </si>
  <si>
    <t>Crema, de avellanas, con cacao, Nutella</t>
  </si>
  <si>
    <t>Cream, hazelnut with cocoa,
Nutella</t>
  </si>
  <si>
    <t>Crema, de avellanas, con cacao, Supermaxi</t>
  </si>
  <si>
    <t>Cream, hazelnut with cocoa,
Supermaxi</t>
  </si>
  <si>
    <t>Crema, de cacao y avellana, sin azucar añadida, Natures Heart</t>
  </si>
  <si>
    <t>Cream, cocoa and hazelnut, non added sugar, Natures Heart</t>
  </si>
  <si>
    <t>Crema, de chocolate, negro,
Nusco</t>
  </si>
  <si>
    <t>Cream, dark chocolate, Nusco</t>
  </si>
  <si>
    <t>Macadamia, sin cáscara, cruda</t>
  </si>
  <si>
    <t>Macadamia nuts, peeled, raw</t>
  </si>
  <si>
    <t>Maní, horneado, con sal, promedio</t>
  </si>
  <si>
    <t>Peanuts, baked, with salt, average</t>
  </si>
  <si>
    <t>Maní, regular, crudo</t>
  </si>
  <si>
    <t>Peanuts, ordinary, raw</t>
  </si>
  <si>
    <t>Maní, tostado, con aceite y sal</t>
  </si>
  <si>
    <t>Peanuts, toasted, oil-roasted, with salt</t>
  </si>
  <si>
    <t>Maní, tostado, con sal</t>
  </si>
  <si>
    <t>Peanuts, toasted, with salt</t>
  </si>
  <si>
    <t>Manteca de cerdo</t>
  </si>
  <si>
    <t>Lard</t>
  </si>
  <si>
    <t>Mantequilla, baja en grasa, con sal</t>
  </si>
  <si>
    <t>Butter, low-fat, with salt</t>
  </si>
  <si>
    <t>Mantequilla, con sal</t>
  </si>
  <si>
    <t>Butter, with salt</t>
  </si>
  <si>
    <t>Mantequilla, de almendras, natural, Del Sur</t>
  </si>
  <si>
    <t>Almond butter, natural, Del Sur</t>
  </si>
  <si>
    <t>Mantequilla, de maní y miel, para untar, Peter-Pan</t>
  </si>
  <si>
    <t>Peanut butter, peanut &amp; honey, to spread, Peter-Pan</t>
  </si>
  <si>
    <t>Mantequilla, de maní, baja en grasa</t>
  </si>
  <si>
    <t>Peanut butter, reduced fat</t>
  </si>
  <si>
    <t>Mantequilla, de maní, cashew,
Natures Heart</t>
  </si>
  <si>
    <t>Cashew butter, Natures Heart</t>
  </si>
  <si>
    <t>Mantequilla, de maní, con sal</t>
  </si>
  <si>
    <t>Peanut butter, with salt</t>
  </si>
  <si>
    <t>Mantequilla, de maní, Jif</t>
  </si>
  <si>
    <t>Penaut butter, Jif</t>
  </si>
  <si>
    <t>Mantequilla, de maní, kokawa</t>
  </si>
  <si>
    <t>Penaut butter, Kokawa</t>
  </si>
  <si>
    <t>Mantequilla, de maní, Schullo</t>
  </si>
  <si>
    <t>Penaut butter, Schullo</t>
  </si>
  <si>
    <t>Mantequilla, sin sal</t>
  </si>
  <si>
    <t>Butter, without salt</t>
  </si>
  <si>
    <t>Margarina, 20% grasa, con sal</t>
  </si>
  <si>
    <t>Margarine, spread, with salt</t>
  </si>
  <si>
    <t>Margarina, reducida en grasa,
Miraflores</t>
  </si>
  <si>
    <t>Margarine, reduced fat,
Miraflores</t>
  </si>
  <si>
    <t>Margarina, regular, 80% grasa, con sal</t>
  </si>
  <si>
    <t>Margarine, regular, 80% fat, with salt</t>
  </si>
  <si>
    <t>Mayonesa, regular, con sal</t>
  </si>
  <si>
    <t>Mayonnaise, regular, with salt</t>
  </si>
  <si>
    <t>Nuez, de nogal, seca</t>
  </si>
  <si>
    <t>Walnuts, english, dry</t>
  </si>
  <si>
    <t>Pistacho, tostado, sin sal</t>
  </si>
  <si>
    <t>Pistachio nuts, toasted, without salt</t>
  </si>
  <si>
    <t>Semilla, de chía, seca</t>
  </si>
  <si>
    <t>Chia seeds, dry</t>
  </si>
  <si>
    <t>Semilla, de linaza, seca</t>
  </si>
  <si>
    <t>Flaxseed, dry</t>
  </si>
  <si>
    <t>Semillas, de ajonjolí, enteras, secas</t>
  </si>
  <si>
    <t>Sesame seeds, whole, dried</t>
  </si>
  <si>
    <t>Semillas, de chía, blanca,
Kunachia</t>
  </si>
  <si>
    <t>Chia seeds, white, Kunachia</t>
  </si>
  <si>
    <t>Semillas, de girasol, con sal, secas</t>
  </si>
  <si>
    <t>Sunflower seeds, plain, salted</t>
  </si>
  <si>
    <t>Semillas, de girasol, sin sal, secas</t>
  </si>
  <si>
    <t>Sunflower seeds, unsalted, dried</t>
  </si>
  <si>
    <t>Semillas, de hinojo</t>
  </si>
  <si>
    <t>Fennel seed</t>
  </si>
  <si>
    <t>Semillas, de hinojo pelada,
Camari</t>
  </si>
  <si>
    <t>Sunflower seed, toasted, with salt, Camari</t>
  </si>
  <si>
    <t>Semillas, de pistacho, tostada con sal</t>
  </si>
  <si>
    <t>Pistachio nuts, toasted, with salt</t>
  </si>
  <si>
    <t>Semillas, de sambo, enteras,
Camari</t>
  </si>
  <si>
    <t>Sambo seed, Camari</t>
  </si>
  <si>
    <t>Semillas, de zapallo, enteras, tostadas, con sal</t>
  </si>
  <si>
    <t>Pumpkin seeds, whole, roasted, with salt</t>
  </si>
  <si>
    <t>Arrope de mora, Grand Mother</t>
  </si>
  <si>
    <t>Syrup, blackberry, Grand Mother</t>
  </si>
  <si>
    <t>Azúcar, blanca, con stevia,
Valdez</t>
  </si>
  <si>
    <t>White sugar, with stevia, Valdez</t>
  </si>
  <si>
    <t>Azúcar, blanca, granulada</t>
  </si>
  <si>
    <t>White sugar, grainy</t>
  </si>
  <si>
    <t>Azúcar, con stevia, con omega 3, Sugar Lite</t>
  </si>
  <si>
    <t>Sugar, with stevia, with omega 3, Sugar Lite</t>
  </si>
  <si>
    <t>Azúcar, de coco, orgánico,
Valdez</t>
  </si>
  <si>
    <t>Coconut sugar, organic, Valdez</t>
  </si>
  <si>
    <t>Azúcar, morena, granulada</t>
  </si>
  <si>
    <t>Brown sugar, grainy</t>
  </si>
  <si>
    <t>Azúcar, morena, granulada,
San Carlos</t>
  </si>
  <si>
    <t>Brown sugar, granulated, San Carlos</t>
  </si>
  <si>
    <t>Azúcar, morena, La Troncal</t>
  </si>
  <si>
    <t>Brown sugar, La Troncal</t>
  </si>
  <si>
    <t>Azúcar, morena, sin sulfitar,
Schullo</t>
  </si>
  <si>
    <t>Brown sugar, unsulphited,
Schullo</t>
  </si>
  <si>
    <t>Azúcar, morena, Supermaxi</t>
  </si>
  <si>
    <t>Brown sugar, Supermaxi</t>
  </si>
  <si>
    <t>Caña de azúcar</t>
  </si>
  <si>
    <t>Sugarcane</t>
  </si>
  <si>
    <t>Caña de azúcar, jugo</t>
  </si>
  <si>
    <t>Sugarcane, juice</t>
  </si>
  <si>
    <t>Caramelo, confites duros, promedio</t>
  </si>
  <si>
    <t>Candy, hard, average</t>
  </si>
  <si>
    <t>Caramelo, confites suaves, promedio</t>
  </si>
  <si>
    <t>Candy, soft, average</t>
  </si>
  <si>
    <t>Caramelo, sabor a chocolate,
Bianchi</t>
  </si>
  <si>
    <t>Candy, chocolate flavor, Bianchi</t>
  </si>
  <si>
    <t>Chocolate en polvo, Chocolisto</t>
  </si>
  <si>
    <t>Powder chocolate, Chocolisto</t>
  </si>
  <si>
    <t>Chocolate en polvo, Cocoa</t>
  </si>
  <si>
    <t>Powder chocolate, Cocoa</t>
  </si>
  <si>
    <t>Chocolate en polvo, Milo</t>
  </si>
  <si>
    <t>Powder chocolate, Milo</t>
  </si>
  <si>
    <t>Dulce de guayaba, promedio</t>
  </si>
  <si>
    <t>Guava sweet, average</t>
  </si>
  <si>
    <t>Dulce de leche, majar, promedio</t>
  </si>
  <si>
    <t>Milk delicacy, average</t>
  </si>
  <si>
    <t>Dulce de leche, manjar, Alpen Swiss</t>
  </si>
  <si>
    <t>Milk delicacy, Alpen Swiss</t>
  </si>
  <si>
    <t>Dulce de leche, manjar, arequipe, Alpina</t>
  </si>
  <si>
    <t>Milk delicacy, arequipe, Alpina</t>
  </si>
  <si>
    <t>Dulce de leche, manjar,
Cachafaz</t>
  </si>
  <si>
    <t>Milk delicacy, Cachafaz</t>
  </si>
  <si>
    <t>Dulce de leche, manjar, con coco, Pucuhuaico</t>
  </si>
  <si>
    <t>Milk delicacy with coconut,
Pucuhuaico</t>
  </si>
  <si>
    <t>Dulce de leche, manjar, Agricola Pucuhaico</t>
  </si>
  <si>
    <t>Milk delicacy, Agricola Pucuhaico</t>
  </si>
  <si>
    <t>Dulce de leche, manjar, Toni</t>
  </si>
  <si>
    <t>Milk delicacy, Toni</t>
  </si>
  <si>
    <t>Edulzante, en polvo, con extracto de fruta del monje, Monk Fruit</t>
  </si>
  <si>
    <t>Sweetner, powder, mon fruit extract, Monk Fruit</t>
  </si>
  <si>
    <t>Edulzante, splenda, original</t>
  </si>
  <si>
    <t>Sweetner, splenda, original</t>
  </si>
  <si>
    <t>Edulzante, stevia, Stevia Life</t>
  </si>
  <si>
    <t>Sweetner, stevia, Stevia Life</t>
  </si>
  <si>
    <t>Endulzante, de panela, y edulcorante Natural, Valdez</t>
  </si>
  <si>
    <t>Sweetener, of panela and natural sweetener, Valdez</t>
  </si>
  <si>
    <t>Endulzante, de stevia balanceada con sucralosa, Dulcevia</t>
  </si>
  <si>
    <t>Sweetener, stevia, balanced with sucralose, Dulcevia</t>
  </si>
  <si>
    <t>Endulzante, stevia con azúcar,
Valdez</t>
  </si>
  <si>
    <t>Stevia, with sugar, Valdez</t>
  </si>
  <si>
    <t>Endulzante, stevia, en gotas</t>
  </si>
  <si>
    <t>Sweetner, stevia, drops</t>
  </si>
  <si>
    <t>Endulzante, stevia, natural,
Sanna</t>
  </si>
  <si>
    <t>Sweetner, stevia, natural,
Sanna</t>
  </si>
  <si>
    <t>Endulzante, sucralosa, sin calorías, en gotas, Edulmax</t>
  </si>
  <si>
    <t>Sweetner, sucralose, no calories, drops, Edulmax</t>
  </si>
  <si>
    <t>Endulzante, sucralosa, sin calorías, Supermaxi</t>
  </si>
  <si>
    <t>Sweetner, sucralose, no calories, Supermaxi</t>
  </si>
  <si>
    <t>Espumilla, (clara de huevos, batidos, con guayaba), crudos, comercialmente preparado</t>
  </si>
  <si>
    <t>Espumilla, comercial recipe</t>
  </si>
  <si>
    <t>Espumilla, receta traditional</t>
  </si>
  <si>
    <t>Espumilla, traditional recipe</t>
  </si>
  <si>
    <t>Flan, de vainilla, preparado con leche , promedio</t>
  </si>
  <si>
    <t>Custard, vanilla flavor, prepared with milk, average</t>
  </si>
  <si>
    <t>Gelatina, con azúcar, preparada con agua, todo sabor, promedio</t>
  </si>
  <si>
    <t>Yelly, with sugar, prepared with water, all flavors, average</t>
  </si>
  <si>
    <t>Goma de mascar, chicle, con azúcar, Bubbaloo fresa</t>
  </si>
  <si>
    <t>Chewing gum, with sugar,
Strawberry Bubbaloo</t>
  </si>
  <si>
    <t>Goma de mascar, chicle, con azúcar, promedio</t>
  </si>
  <si>
    <t>Chewing gum, with sugar, average</t>
  </si>
  <si>
    <t>Helado de agua , nieve, tipo paila, distintas frutas, artesanal</t>
  </si>
  <si>
    <t>Water ice cream, paila type, diferent fruits, handmade, average</t>
  </si>
  <si>
    <t>Helado de agua, frozen, duo,
Topsy</t>
  </si>
  <si>
    <t>Ice cream, frozen duo, Topsy</t>
  </si>
  <si>
    <t>Helado de agua, nieve, sabor artificial, promedio</t>
  </si>
  <si>
    <t>Water ice cream, artificial flavor, average</t>
  </si>
  <si>
    <t>Helado de crema, alfajor, Topsy</t>
  </si>
  <si>
    <t>Ice cream, alfajor, Topsy</t>
  </si>
  <si>
    <t>Helado de crema, big bar, Topsy</t>
  </si>
  <si>
    <t>Ice cream, big bar, Topsy</t>
  </si>
  <si>
    <t>Helado de crema, bombon,
Topsy</t>
  </si>
  <si>
    <t>Ice cream, Bombon, Topsy</t>
  </si>
  <si>
    <t>Helado de crema, bugy gum,
Topsy</t>
  </si>
  <si>
    <t>Ice cream, bugy gum, Topsy</t>
  </si>
  <si>
    <t>Helado de crema, choc, Topsy</t>
  </si>
  <si>
    <t>Ice cream, choc, Topsy</t>
  </si>
  <si>
    <t>Helado de crema, cono flama,
Topsy</t>
  </si>
  <si>
    <t>Ice cream, flame cone, Topsy</t>
  </si>
  <si>
    <t>Helado de crema, crocante, Topsy</t>
  </si>
  <si>
    <t>Ice cream, crispy, Topsy</t>
  </si>
  <si>
    <t>Helado de crema, galletopsy,
Topsy</t>
  </si>
  <si>
    <t>Ice cream, galletopsy, Topsy</t>
  </si>
  <si>
    <t>Helado de crema, leche con cholate, Los Coqueiros</t>
  </si>
  <si>
    <t>Ice cream, milk with chocolate,
Los Coqueiros</t>
  </si>
  <si>
    <t>Helado de crema, m&amp;m’s, Topsy</t>
  </si>
  <si>
    <t>Ice cream, m&amp;m’s, Topsy</t>
  </si>
  <si>
    <t>Helado de crema, majestik,
Topsy</t>
  </si>
  <si>
    <t>Ice cream, majestik, Topsy</t>
  </si>
  <si>
    <t>Helado de crema, tipo paila, 5ta generación, Rosalia Suárez</t>
  </si>
  <si>
    <t>Ice cream, paila type, 5th generation, Rosalia Suárez</t>
  </si>
  <si>
    <t>Helado de crema, Tony frutilla,
Topsy</t>
  </si>
  <si>
    <t>Ice cream, Tony strawberry,
Topsy</t>
  </si>
  <si>
    <t>Helado de crema, torta imperial,
Topsy</t>
  </si>
  <si>
    <t>Ice cream, imperial cake, Topsy</t>
  </si>
  <si>
    <t>Helado de crema, Tu y yo, Topsy</t>
  </si>
  <si>
    <t>Ice cream, you and me, Topsy</t>
  </si>
  <si>
    <t>Jarabe, de frutilla, Snob</t>
  </si>
  <si>
    <t>Syrup, strawberry, Snob</t>
  </si>
  <si>
    <t>Jarabe, sabor a maple, La Quiteña</t>
  </si>
  <si>
    <t>Syrup, maple, La Quiteña</t>
  </si>
  <si>
    <t>Jarabe, sirope, sabor a caramelo, Hersheys</t>
  </si>
  <si>
    <t>Syrup, caramel flavored,
Hersheys</t>
  </si>
  <si>
    <t>Jarabe, sirope, sabor a chicle,
Milano</t>
  </si>
  <si>
    <t>Syrup, chewing gum flavored,
Milano</t>
  </si>
  <si>
    <t>Jarabe, sirope, sabor a chocolate, Milano</t>
  </si>
  <si>
    <t>Syrup, chocolate flavored,
Milano</t>
  </si>
  <si>
    <t>Leche, condensada, con azúcar, enlatada</t>
  </si>
  <si>
    <t>Milk, condensed, with sugar, canned</t>
  </si>
  <si>
    <t>Mermelada, de arándano, Extra
Helios</t>
  </si>
  <si>
    <t>Marmalade, cramberry, Extra
Helios</t>
  </si>
  <si>
    <t>Mermelada, de arándano, silvestre, Bonne Maman</t>
  </si>
  <si>
    <t>Marmalade, wild cramberry,
Bonne Maman</t>
  </si>
  <si>
    <t>Mermelada, de cereza, sin azúcar</t>
  </si>
  <si>
    <t>Marmalade, cherry, sugar-free</t>
  </si>
  <si>
    <t>Mermelada, de fruti-mora,
Facundo</t>
  </si>
  <si>
    <t>Marmalade, strawberry- blackberry, Facundo</t>
  </si>
  <si>
    <t>Mermelada, de mora, frutilla y mortiño, Muyu Kawsay</t>
  </si>
  <si>
    <t>Marmalade, blackberry, strawberry and wild blueberry, Muyu kawsay</t>
  </si>
  <si>
    <t>Mermelada, de mora, Snob</t>
  </si>
  <si>
    <t>Marmalade, blackberry, Snob</t>
  </si>
  <si>
    <t>Mermelada, de piña, Gustadina</t>
  </si>
  <si>
    <t>Marmalade, pineapple,
Gustadina</t>
  </si>
  <si>
    <t>Mermelada, de uvilla, Sierra Negra</t>
  </si>
  <si>
    <t>Marmalade, goldenberry, Sierra Negra</t>
  </si>
  <si>
    <t>Mermelada, toda variedad</t>
  </si>
  <si>
    <t>Marmalade, all varieties</t>
  </si>
  <si>
    <t>Miel de abeja, class 1, Bachita</t>
  </si>
  <si>
    <t>Honey Bee, class 1, Bachita</t>
  </si>
  <si>
    <t>Miel de abeja, promedio</t>
  </si>
  <si>
    <t>Honey bee</t>
  </si>
  <si>
    <t>Miel de abeja, Supermaxi</t>
  </si>
  <si>
    <t>Honey bee, Supermaxi</t>
  </si>
  <si>
    <t>Miel de maple, orgánico,
Schullo</t>
  </si>
  <si>
    <t>Syrup, maple, organic, Schullo</t>
  </si>
  <si>
    <t>Miel de maple, para pancakes</t>
  </si>
  <si>
    <t>Syrup, maple, for pancakes</t>
  </si>
  <si>
    <t>Miel de panela, Gustadina</t>
  </si>
  <si>
    <t>Honey, of panela, Gustadina</t>
  </si>
  <si>
    <t>Panela, raspadura, regular</t>
  </si>
  <si>
    <t>Panela, regular</t>
  </si>
  <si>
    <t>Penela, orgánica, granulada,
Supermaxi</t>
  </si>
  <si>
    <t>Panela, organic, grainy,
Supermaxi</t>
  </si>
  <si>
    <t>Penela, orgánica, instantánea,
La Abeja Kapira</t>
  </si>
  <si>
    <t>Panela, organica, instant, La Abeja Kapira</t>
  </si>
  <si>
    <t>Premezcla para preparar torta,
Betty crocker</t>
  </si>
  <si>
    <t>Powder mix, to prepare cake,
Betty Crocker</t>
  </si>
  <si>
    <t>Premezcla, polvo, para crema chantilly, Royal</t>
  </si>
  <si>
    <t>Powder mix, to prepare chantilly cream, Royal</t>
  </si>
  <si>
    <t>Premezcla, polvo, para crema chantilly, Yá</t>
  </si>
  <si>
    <t>Powder mix, to prepare chantilly cream, Yá</t>
  </si>
  <si>
    <t>Premezcla, polvo, para preparar torta, de vainilla, promedio</t>
  </si>
  <si>
    <t>Powder mix, to prepare white cake, vanilla, average</t>
  </si>
  <si>
    <t>Premezcla, polvo, para preparar torta, sabor a chocolate, Royal</t>
  </si>
  <si>
    <t>Powder mix, to prepare cake, chocolate flavor, Royal</t>
  </si>
  <si>
    <t>Chocolate, en barra, chocolate con leche, Golosina</t>
  </si>
  <si>
    <t>Chocolate, bar, milk chocolate,
Golosina</t>
  </si>
  <si>
    <t>Pastel, de chocolate, promedio</t>
  </si>
  <si>
    <t>Cake, chocolate, average</t>
  </si>
  <si>
    <t>Aros de cebolla, de papa y trigo, sabor cebolla, Yupi</t>
  </si>
  <si>
    <t>Onions rings, from wheat and potatoe, onions flavor, Yupi</t>
  </si>
  <si>
    <t>Bocaditos de harina de trigo, crocantes, Tostachos</t>
  </si>
  <si>
    <t>Wheat flour bites, crispy,
Tostachos</t>
  </si>
  <si>
    <t>Bocaditos de maíz , naturales, doritos, Dippas</t>
  </si>
  <si>
    <t>Corn bites, natural, doritos,
Dippas</t>
  </si>
  <si>
    <t>Bocaditos de maíz y quinua, con semillas de ajanjolí, Andean Chips</t>
  </si>
  <si>
    <t>Corn and quinua bites, with sesame seeds, Andean Chips</t>
  </si>
  <si>
    <t>Bocaditos de maíz y quinua, con semillas de chia, Andean Chips</t>
  </si>
  <si>
    <t>Corn and quinua bites, with chia seeds, Andean Chips</t>
  </si>
  <si>
    <t>Bocaditos de maíz y quinua, con semillas de linaza, Andean Chips</t>
  </si>
  <si>
    <t>Corn and quinua bites, with flaxseeds, Andean Chips</t>
  </si>
  <si>
    <t>Bocaditos de maíz, ácido y picante, lemon remix, Doritos</t>
  </si>
  <si>
    <t>Corn bites, acid and spicy, lemon remix, Doritos</t>
  </si>
  <si>
    <t>Bocaditos de maíz, Botanas, con tomate, espinaca y fréjol, Maxipan</t>
  </si>
  <si>
    <t>Corn Bites, Botanas, with tomatoe, spinach and beans, Maxipan</t>
  </si>
  <si>
    <t>Bocaditos de maíz, con quinoa, y sal marina negra ahumada, Highland Farm</t>
  </si>
  <si>
    <t>Corn bites, with quinua, and sea salt, Highland Farm</t>
  </si>
  <si>
    <t>Bocaditos de maíz, con quinua y chocolate, Highland Farm</t>
  </si>
  <si>
    <t>Corn bites, with quinoa and chocolate, Highland Farm</t>
  </si>
  <si>
    <t>Bocaditos de maíz, cubiertos de caramelo, con sabor artificial a caramelo y arequipo, Palomitas Yupi</t>
  </si>
  <si>
    <t>Corn bites, cover with caramel, with artificial flavor of caramel and arequipe, Palomitas Yupi</t>
  </si>
  <si>
    <t>Bocaditos de maíz, frutitas,
Carli Snacks</t>
  </si>
  <si>
    <t>Corn bites, fruits, Carli Snacks</t>
  </si>
  <si>
    <t>Bocaditos de maíz, horneados, sabor a queso, Cheetos, FritoLay</t>
  </si>
  <si>
    <t>Corn bites, baked, cheese flavor, Cheetos, Fritolay</t>
  </si>
  <si>
    <t>Bocaditos de maíz, originales, K-chitos, Fritolay</t>
  </si>
  <si>
    <t>Corn snack, original, K-chitos,
FritoLay</t>
  </si>
  <si>
    <t>Bocaditos de maíz, panchitos, naturales, Carli Snacks</t>
  </si>
  <si>
    <t>Corn snack, panchitos, natural,
Carli Snacks</t>
  </si>
  <si>
    <t>Bocaditos de maíz, picantes, K-chitos, Fritolay</t>
  </si>
  <si>
    <t>Corn snack, spicy, K-chitos,
FritoLay</t>
  </si>
  <si>
    <t>Bocaditos de maíz, redonditos, natural, Supermaxi</t>
  </si>
  <si>
    <t>Corn bites, around, natural,
Supermaxi</t>
  </si>
  <si>
    <t>Bocaditos de maíz, rojo, amarillo y verde, Gudiz, Frito Lay</t>
  </si>
  <si>
    <t>Corn bites, red, yellow and green color, Gudiz, Frito Lay</t>
  </si>
  <si>
    <t>Bocaditos de maíz, sabor a queso, picante, Ryskos</t>
  </si>
  <si>
    <t>Corn bites, cheese flavor, spicy,
Ryskos</t>
  </si>
  <si>
    <t>Bocaditos de maíz, sabor a queso, Ryskos</t>
  </si>
  <si>
    <t>Corn bites, cheese flavor,
Ryskos</t>
  </si>
  <si>
    <t>Bocaditos de maíz, sabor a queso, Supermaxi</t>
  </si>
  <si>
    <t>Corn bites, triangles, cheese flavor, Supermaxi</t>
  </si>
  <si>
    <t>Bocaditos de maíz, sabor a queso, Tornaditos</t>
  </si>
  <si>
    <t>Corn bites, cheese flavor,
Tornaditos</t>
  </si>
  <si>
    <t>Bocaditos de maíz, triángulos, natural, Supermaxi</t>
  </si>
  <si>
    <t>Corn bites, triangles, natural,
Supermaxi</t>
  </si>
  <si>
    <t>Bocaditos de maíz, triángulos, originales, natural, Tostitos</t>
  </si>
  <si>
    <t>Corn bites, triangular, original, natural, Tostitos</t>
  </si>
  <si>
    <t>Bocaditos de maíz, triángulos, picantes, jalapeños, Tostitos</t>
  </si>
  <si>
    <t>Corn bites, triangular, crispy, spicy, jalapeños, Tostitos</t>
  </si>
  <si>
    <t>Bocaditos de maíz, triángulos,
Totopos</t>
  </si>
  <si>
    <t>Corn bites, triangles, Totopos</t>
  </si>
  <si>
    <t>Bocaditos de trigo, expandido, sabor a tocino, Fred Yupi</t>
  </si>
  <si>
    <t>Wheat bites, expanded, bacon flavor, Fred Yupi</t>
  </si>
  <si>
    <t>Chicharrones, crocantes y doraditos, cueritos, Cronquis</t>
  </si>
  <si>
    <t>Cronquis greaves</t>
  </si>
  <si>
    <t>Chicharrones, crocantes y doraditos, cueritos, Kikos</t>
  </si>
  <si>
    <t>Pork rinds, crispy and golden, cueritos, Kikos</t>
  </si>
  <si>
    <t>Chicharrones, crocantes y doraditos, cueritos, Supermaxi</t>
  </si>
  <si>
    <t>Pork rinds, crispy and golden, cueritos, Supermaxi</t>
  </si>
  <si>
    <t>Chicharrones, crocantes,
Inalecsa</t>
  </si>
  <si>
    <t>Pork rinds, crispy Inalecsa</t>
  </si>
  <si>
    <t>Chicharrones, sabor natural, FritoLay</t>
  </si>
  <si>
    <t>Pork rinds, natural flavor, FritoLay</t>
  </si>
  <si>
    <t>Chifles, tostones, plátano frito, con sal, El Maqueñito</t>
  </si>
  <si>
    <t>Fried plantain, tostones, with salt, El Maqueñito</t>
  </si>
  <si>
    <t>Chifles, tostones, plátano frito, largos, Supermaxi</t>
  </si>
  <si>
    <t>Fried plantain, tostones, long type, Supermaxi</t>
  </si>
  <si>
    <t>Chifles, tostones, plátano frito, picantes, Tortolines</t>
  </si>
  <si>
    <t>Fried plantain, tostones, spicy,
Tortolines</t>
  </si>
  <si>
    <t>Chips de pita, integrales, al horno, Pita Chips</t>
  </si>
  <si>
    <t>Pita chips, whole, baked, Pita Chips</t>
  </si>
  <si>
    <t>Chips de pita, originales, al horno, Pita Chips</t>
  </si>
  <si>
    <t>Pita chips, original, baked, Pita Chips</t>
  </si>
  <si>
    <t>Chips de pita, sabor a canela, Pita Chips</t>
  </si>
  <si>
    <t>Pita chips, cinnamon flavor,
Pita Chips</t>
  </si>
  <si>
    <t>Chocolate, en barra, chocolate blanco con leche y arroz, crocante, Galak Nestlé</t>
  </si>
  <si>
    <t>Chocolate, bar, milk white chocolate with rice, Galak Nestlé</t>
  </si>
  <si>
    <t>Chocolate, en barra, chocolate con leche y maní, Manicho Nestlé</t>
  </si>
  <si>
    <t>Chocolate, bar, peanut milk chocolate, Manicho Nestlé</t>
  </si>
  <si>
    <t>Confite, semillas de ajonjolí, ajonjolito, Nutrial</t>
  </si>
  <si>
    <t>Sweet, Baked sesame seed confit, ajonjolito, Nutrial</t>
  </si>
  <si>
    <t>Garbanzo frito, saladito, Lanher Snacks</t>
  </si>
  <si>
    <t>Fried chickpea, salty, Lanher Snacks</t>
  </si>
  <si>
    <t>Habas fritas, Multigoods</t>
  </si>
  <si>
    <t>Fried haba beans, Multigoods</t>
  </si>
  <si>
    <t>Habas fritas, picante,
Multigoods</t>
  </si>
  <si>
    <t>Fried haba beans, spicy,
Multigoods</t>
  </si>
  <si>
    <t>Habas fritas, saladitas, Uyanza</t>
  </si>
  <si>
    <t>Fried haba beans, salty, Uyanza</t>
  </si>
  <si>
    <t>Hojuela de maíz, con sabor a limón, Takitos</t>
  </si>
  <si>
    <t>Corn flakes, lemon flavored,
Takitos</t>
  </si>
  <si>
    <t>Maní, con cobertura crocante, Mani Cris</t>
  </si>
  <si>
    <t>Peanut, with crispy coverage,
Mani Cris</t>
  </si>
  <si>
    <t>Mix (papas, chifles, chicharrones y tocinetas), Farreros Full 4D</t>
  </si>
  <si>
    <t>Mix (potatoes, plantain, chicharrones and bacon), Farreros Full 4D</t>
  </si>
  <si>
    <t>Mix (papas, chifles, yucas y chicharrón), El Maqueñito</t>
  </si>
  <si>
    <t>Mix (potatoes, plantain, cassava and chicharrón), El Maqueñito</t>
  </si>
  <si>
    <t>Mix, (papas con cuero), Kikos</t>
  </si>
  <si>
    <t>Mix (potatoes and chicharrón),
Kikos</t>
  </si>
  <si>
    <t>Mix, (papas, chifles y chicharrón), spicy, De Todito</t>
  </si>
  <si>
    <t>Mix (potatoes, plantainand chicharrón), spicy, De Todito</t>
  </si>
  <si>
    <t>Mix, (quinua, arroz y chía), con tomate, albahaca y moringa, Cereales Andinos</t>
  </si>
  <si>
    <t>Mix (quinua, rice and chia), with tomatoe, basil and moringa, Cereales Andinos</t>
  </si>
  <si>
    <t>Mix, (quinua, arroz y chía), sabor BBQ, Cereales Andinos</t>
  </si>
  <si>
    <t>Mix (quinua, rice and chia), BBQ Flavor, Cereales Andinos</t>
  </si>
  <si>
    <t>Mix, vegetales fritos, (zanahoria blanca, yuca, camote, remolacha and plantano), Kiwa</t>
  </si>
  <si>
    <t>Mix, fried vegetable, (white carrot, cassava, sweet potato, beet and plantain), Kiwa</t>
  </si>
  <si>
    <t>Nachos, originales, sin gluten,
Taconazo</t>
  </si>
  <si>
    <t>Nachos, orginal, gluten free,
Taconazo</t>
  </si>
  <si>
    <t>Nachos, sabor a queso, Tostitos</t>
  </si>
  <si>
    <t>Nachos, cheese flavor, Tostitos</t>
  </si>
  <si>
    <t>Palitos de maíz, sabor a queso,
Cheese Trix</t>
  </si>
  <si>
    <t>Corn sticks, cheese flavored,
Cheese Trix</t>
  </si>
  <si>
    <t>Palitos de maíz, sabor artificial a  queso, Yupi</t>
  </si>
  <si>
    <t>Corn sticks, artificial cheese flavored, Yupi</t>
  </si>
  <si>
    <t>Palomitas de maíz, canguil, con caramelo, Popetas</t>
  </si>
  <si>
    <t>Pop corn, canguil, caramel flavor, Popetas</t>
  </si>
  <si>
    <t>Palomitas de maíz, canguil, sabor limón picante, Popetas</t>
  </si>
  <si>
    <t>Pop corn, canguil, hot lemon flavor, Popetas</t>
  </si>
  <si>
    <t>Palomitas de maíz, canguil, sabor mantequilla, Popetas</t>
  </si>
  <si>
    <t>Pop corn, canguil, butter flavor,
Popetas</t>
  </si>
  <si>
    <t>Palomitas de maíz, sabor a mantequilla, Planet Pop</t>
  </si>
  <si>
    <t>Pop corn, butter flavor, Planet Pop</t>
  </si>
  <si>
    <t>Palomitas de maíz, sabor a queso queddar, Planet Pop</t>
  </si>
  <si>
    <t>Pop corn, cheddar cheese flavor, Planet Pop</t>
  </si>
  <si>
    <t>Palomitas de maíz, sabor a sal marina, Planet Pop</t>
  </si>
  <si>
    <t>Pop corn, sea salt flavor, Planet Pop</t>
  </si>
  <si>
    <t>Papas fritas, sabor a queso cheddar, Lay´s</t>
  </si>
  <si>
    <t>French fries, cheddar cheese flavor, Lay´s</t>
  </si>
  <si>
    <t>Papas fritas, con sal, rizadas, El Maqueñito</t>
  </si>
  <si>
    <t>French fries, with salt, curly, El Maqueñito</t>
  </si>
  <si>
    <t>Papas fritas, originales, Alexander</t>
  </si>
  <si>
    <t>French fries, original, Alexander</t>
  </si>
  <si>
    <t>Papas fritas, palito, Supermaxi</t>
  </si>
  <si>
    <t>French fries, stick, Supermaxi</t>
  </si>
  <si>
    <t>Papas fritas, picantes, Ruffles</t>
  </si>
  <si>
    <t>French fries, spicy, Ruffles</t>
  </si>
  <si>
    <t>Papas fritas, sabor a crema y cebolla, rizadas, Sarita</t>
  </si>
  <si>
    <t>French fries, cream and onions flavor, curly, Sarita</t>
  </si>
  <si>
    <t>Papas fritas, sabor a crema y cebolla, Ruffles</t>
  </si>
  <si>
    <t>French fries, cream and onions flavor, Ruffles</t>
  </si>
  <si>
    <t>Papas fritas, sabor a queso,
Pringles</t>
  </si>
  <si>
    <t>French fries, cheese flavor,
Pringles</t>
  </si>
  <si>
    <t>Pastel, Torta con helado de vainilla y chocolate, cobertura de chocolate y maní, Capricho, Pinguino</t>
  </si>
  <si>
    <t>Cake with vanilla and chocolate ice cream,coverage with chocolate and peanuts, Capricho, Pinguino</t>
  </si>
  <si>
    <t>Patacones, tostones, plátano frito, sabor a ajo, Chiflar</t>
  </si>
  <si>
    <t>Fried plantain, tostones, garlic flavor, Chiflar</t>
  </si>
  <si>
    <t>Patacones, tostones, plátano frito, sabor a cebolla, Chiflar</t>
  </si>
  <si>
    <t>Fried plantain, tostones, onion flavor, Chiflar</t>
  </si>
  <si>
    <t>Patacones, tostones, plátano frito, sabor a jalapeño, Chiflar</t>
  </si>
  <si>
    <t>Fried plantain, tostones, jalapeño flavor, Chiflar</t>
  </si>
  <si>
    <t>Rosquitas, de almidón de yuca y queso, Inalecsa</t>
  </si>
  <si>
    <t>Starch donuts, cassava and cheese, Inalecsa</t>
  </si>
  <si>
    <t>Snack, jalapeño poppers, cheddar cheese flavos, TGI Fridays</t>
  </si>
  <si>
    <t>Snack, jalapeño poppers, cheddar cheese flavor, TGI Fridays</t>
  </si>
  <si>
    <t>Snack, mozzarella sticks, original, TGI Fridays</t>
  </si>
  <si>
    <t>Soya, tostada, con sal de mar,
Schullo</t>
  </si>
  <si>
    <t>Soybean, toasted, with sea salt,
Schullo</t>
  </si>
  <si>
    <t>Tostadas de maíz, botanas, sabor a limón, Sobolyba</t>
  </si>
  <si>
    <t>Corn bites, botanas, lemon flavor, Sobolyba</t>
  </si>
  <si>
    <t>Tostadas de maíz, botanas, sabor BBQ, de Sobolyba</t>
  </si>
  <si>
    <t>Corn bites, botanas, BBQ flavor, de Sobolyba</t>
  </si>
  <si>
    <t>Jugos instántaneos</t>
  </si>
  <si>
    <t>Bebida, en polvo, intantánea, baja en calorias, limón, Sanna</t>
  </si>
  <si>
    <t>Lemon juice, powder, instant, low calories, Sanna</t>
  </si>
  <si>
    <t>Bebida, en polvo, intantánea, mandarina, Supermaxi</t>
  </si>
  <si>
    <t>Mandarine juice, powder, instant, Supermaxi</t>
  </si>
  <si>
    <t>Bebida, en polvo, intantánea, manzana verde, Clight</t>
  </si>
  <si>
    <t>Green apple juice, powder, instant, Clight</t>
  </si>
  <si>
    <t>Bebida, en polvo, intantánea, sabor a naranja, fresa y maracuyá, baja en calorias, Tang</t>
  </si>
  <si>
    <t>Artificial juice, powder, instant, orange, strawberry and passion fruit flavor, low calories, Tang</t>
  </si>
  <si>
    <t>Bebida, en polvo, jugo de naranja, Naranjayá</t>
  </si>
  <si>
    <t>Orange juice, powder, instant,
Naranjayá</t>
  </si>
  <si>
    <t>Bebida, en polvo, limonada rosa, Alme</t>
  </si>
  <si>
    <t>Pink lemonade, powder, Alme</t>
  </si>
  <si>
    <t>Bebida, en polvo, té negro, instantaneo, sabor a limón, Legz</t>
  </si>
  <si>
    <t>Black tea, powder, instant, lemon flavor, Legz</t>
  </si>
  <si>
    <t>Bebida, en polvo, té, sabor a maracuyá, Suntea</t>
  </si>
  <si>
    <t>Passion fruit tea, powder, instant, lemon flavor, Suntea</t>
  </si>
  <si>
    <t>Bebidas locales del Ecuador</t>
  </si>
  <si>
    <t>Chaguarmishky o mishqui (agua de penco), dulce, crudo</t>
  </si>
  <si>
    <t>Chaguarmishky o mishqui, sweet water, raw</t>
  </si>
  <si>
    <t>Chicha,de jora, maiz</t>
  </si>
  <si>
    <t>Chicha, yellow corn</t>
  </si>
  <si>
    <t>Chicha, de yuca</t>
  </si>
  <si>
    <t>Chicha, cassave</t>
  </si>
  <si>
    <t>Café, sin azúcar</t>
  </si>
  <si>
    <t>Coffee, without sugar</t>
  </si>
  <si>
    <t>Salsas y adherezos</t>
  </si>
  <si>
    <t>Salsa, base de tomate y vegetales, Pacose</t>
  </si>
  <si>
    <t>Sausage, tomatoe base with vegetables, Pacose</t>
  </si>
  <si>
    <t>Salsa, de tomate, regular</t>
  </si>
  <si>
    <t>Ketchup, regular</t>
  </si>
  <si>
    <t>Salsa, picante, Pacose</t>
  </si>
  <si>
    <t>Hot sauce, Pacose</t>
  </si>
  <si>
    <t>Salsa, sabor a queso, Gustadina</t>
  </si>
  <si>
    <t>Sauce, cheese flavored,
Gustadina</t>
  </si>
  <si>
    <t>Salsa, sabor a queso, Nacho</t>
  </si>
  <si>
    <t>Cheese sauce, Nacho</t>
  </si>
  <si>
    <t>Salsa, sabor a tocino, amarilla,
Cooking Choice</t>
  </si>
  <si>
    <t>Sauce, flavor bacon, yellow,
Cooking Choice</t>
  </si>
  <si>
    <t>Salsa, tipo guacamole, Ole</t>
  </si>
  <si>
    <t>Sauce, guacamole type, Ole</t>
  </si>
  <si>
    <t>Aceite, de canola, en Spray,
PAM original</t>
  </si>
  <si>
    <t>Oil, canola, spray, PAM original</t>
  </si>
  <si>
    <t>Aceite, vegetal, con achiote,
Supermaxi</t>
  </si>
  <si>
    <t>Vegetable Oil, with achiote,
Supermaxi</t>
  </si>
  <si>
    <t>Achiote, aceite, Alesol</t>
  </si>
  <si>
    <t>Achiote, oil, Alesol</t>
  </si>
  <si>
    <t>Agua de coco, sin azúcar adicionada, Natures Heart</t>
  </si>
  <si>
    <t>Coconut water, without sugar added, Natures Heart</t>
  </si>
  <si>
    <t>Bebida energizante, con guayusa, sabor a maracuyá y mango, Waykana</t>
  </si>
  <si>
    <t>Energizing drink, with guayusa, mango and passion fruit flavor, Waykana</t>
  </si>
  <si>
    <t>Bebida energizante, original,
V220</t>
  </si>
  <si>
    <t>Energy drink, original, V220</t>
  </si>
  <si>
    <t>Bebida energizante, Red Bull</t>
  </si>
  <si>
    <t>Energy drink, Red Bull</t>
  </si>
  <si>
    <t>Bebida gaseosa, clásica, con jugo de mora, Orangine</t>
  </si>
  <si>
    <t>Carbonated drink, soda, clasic, with blackberry juice, Orangine</t>
  </si>
  <si>
    <t>Bebida gaseosa, con frambuesa, Kión</t>
  </si>
  <si>
    <t>Carbonated drink, soda, with raspberry, Kión</t>
  </si>
  <si>
    <t>Bebida gaseosa, con guaraná,
Cult</t>
  </si>
  <si>
    <t>Energy drink, with guaraná,
Cult</t>
  </si>
  <si>
    <t>Bebida gaseosa, con jengibre,
Ginger Ale</t>
  </si>
  <si>
    <t>Carbonated drink, soda, with ginger, Ginger Ale</t>
  </si>
  <si>
    <t>Bebida gaseosa, de guaraná, baja en calorías, Antarctica</t>
  </si>
  <si>
    <t>Carbonated drink, of guaraná, low calories, Antarctica</t>
  </si>
  <si>
    <t>Bebida gaseosa, de guaraná, con sabor a guaraná, Antarctica</t>
  </si>
  <si>
    <t>Carbonated drink, of guaraná, with guraná flavor, Antarctica</t>
  </si>
  <si>
    <t>Bebida gaseosa, de guayusa, frutos rojos, Misha</t>
  </si>
  <si>
    <t>Carbonated drink, of guayusa, berries, Misha</t>
  </si>
  <si>
    <t>Bebida gaseosa, de guayusa, sabor a limón, Misha</t>
  </si>
  <si>
    <t>Carbonated drink, of guayusa, lemon flavor, Misha</t>
  </si>
  <si>
    <t>Bebida gaseosa, libre de calorías, sin azúcar, Coca Cola Zero</t>
  </si>
  <si>
    <t>Carbonated drink, soda, free calories, without sugar, Coca Cola Zero</t>
  </si>
  <si>
    <t>Bebida gaseosa, limonada,
Imperial</t>
  </si>
  <si>
    <t>Carbonated water, lemonade flavor, Imperial</t>
  </si>
  <si>
    <t>Bebida gaseosa, original,
Fioravanti</t>
  </si>
  <si>
    <t>Carbonated drink, soda, original, Fioravanti</t>
  </si>
  <si>
    <t>Bebida gaseosa, original, Pepsi</t>
  </si>
  <si>
    <t>Carbonated drink, soda, original, Pepsi</t>
  </si>
  <si>
    <t>Bebida gaseosa, sabor a cola,
Big Cola</t>
  </si>
  <si>
    <t>Carbonated drink, soda, cola flavor, Big Cola</t>
  </si>
  <si>
    <t>Bebida gaseosa, sabor a cola,
Colombiana</t>
  </si>
  <si>
    <t>Carbonated drink, soda, cola flavor, Colombiana</t>
  </si>
  <si>
    <t>Bebida gaseosa, sabor a fresa,
Fruit</t>
  </si>
  <si>
    <t>Carbonated drink, soda, strawberry flavor, Fruit</t>
  </si>
  <si>
    <t>Bebida gaseosa, sabor a jengibre, Seagrams</t>
  </si>
  <si>
    <t>Carbonated drink, soda, Ginger flavored, Seagrams</t>
  </si>
  <si>
    <t>Bebida gaseosa, sabor a lima limón, baja en calorías, Buzz</t>
  </si>
  <si>
    <t>Carbonated drink, soda, lima and lemon flavor, Low calorie, Buzz</t>
  </si>
  <si>
    <t>Bebida gaseosa, sabor a limón,
Fruit</t>
  </si>
  <si>
    <t>Carbonated drink, soda, lemon flavor, Fruit</t>
  </si>
  <si>
    <t>Bebida gaseosa, sabor a manzana, Postobon</t>
  </si>
  <si>
    <t>Carbonated drink, soda, apple flavor, Postobon</t>
  </si>
  <si>
    <t>Bebida gaseosa, sabor a naranja, Fruit</t>
  </si>
  <si>
    <t>Carbonated drink, soda, orange flavor, Fruit</t>
  </si>
  <si>
    <t>Bebida gaseosa, sabor a uva,
Postobon</t>
  </si>
  <si>
    <t>Carbonated drink, soda, grape flavor, Postobon</t>
  </si>
  <si>
    <t>Bebida gaseosa, sabor artificial, uva, C&amp;C</t>
  </si>
  <si>
    <t>Carbonated drink, soda, artificial flavor, C&amp;C</t>
  </si>
  <si>
    <t>Bebida gaseosa, sabor cítrico,
Mountain Dew</t>
  </si>
  <si>
    <t>Carbonated drink, soda, citrus flavor, Mountain Dew</t>
  </si>
  <si>
    <t>Bebida gaseosa, sin azúcar, con jugo de mora, Orangine</t>
  </si>
  <si>
    <t>Carbonated drink, soda, sugar free, with blackberry juice, Orangine</t>
  </si>
  <si>
    <t>Bebida gaseosa, sin azúcar, sabor a manzana, Fioravanti</t>
  </si>
  <si>
    <t>Carbonated drink, soda, sugar free, apple flavor, Fioravanti</t>
  </si>
  <si>
    <t>Bebida gaseosa, sin calorías, sabor ligero, light, Coca Cola</t>
  </si>
  <si>
    <t>Carbonated drink, soda, free calories, light taste, Coca Cola Light</t>
  </si>
  <si>
    <t>Bebida gaseosa, sin calorías,
Sprite</t>
  </si>
  <si>
    <t>Carbonated drink, soda, free calories, Sprite</t>
  </si>
  <si>
    <t>Bebida gaseosa, sin colorantes, sabor a piña, Quintuple</t>
  </si>
  <si>
    <t>Carbonated drink, soda, without colorante, pineapple flavor, Quintuple</t>
  </si>
  <si>
    <t>Bebida gaseosa, sin colorantes,
Tropical</t>
  </si>
  <si>
    <t>Carbonated drink, without colorants, Tropical</t>
  </si>
  <si>
    <t>Bebida gaseosa, soda energética, (guayusa, jengibre, panela, energía y burbujas), Wá</t>
  </si>
  <si>
    <t>Carbonated drink, energetic soda, (guayusa, ginger, panela, energy and bubbles), Wá</t>
  </si>
  <si>
    <t>Bebida gaseosa, te con guayusa, con jugo de caña y limón, Liv tea</t>
  </si>
  <si>
    <t>Carbonated drink, tea with guayusa, juice of sugarcane and lemon, Liv tea</t>
  </si>
  <si>
    <t>Bebida gaseosa, with blackberry juice, burbujeante, Orangine</t>
  </si>
  <si>
    <t>Carbonated drink, soda, with blackberry juice, bubbly, Orangine</t>
  </si>
  <si>
    <t>Bebida gaseosa,original, Inca Kola</t>
  </si>
  <si>
    <t>Carbonated drink, soda, original, Inca Kola</t>
  </si>
  <si>
    <t>Bebida hidratante, bebida deportiva, con electrolitos, sabor a manzana, Sporade</t>
  </si>
  <si>
    <t>Hydrating drink, sports drink, with electrolytes, apple flavor, Sporade</t>
  </si>
  <si>
    <t>Bebida hidratante, bebida deportiva, con electrolitos, sabor a uva, Sporade</t>
  </si>
  <si>
    <t>Hydrating drink, sports drink, with electrolytes, grape flavor, Sporade</t>
  </si>
  <si>
    <t>Bebida hidratante, bebida deportiva, con electrolitos, sabor frutas tropicales, Sporade</t>
  </si>
  <si>
    <t>Hydrating drink, sports drink, with electrolytes, tropical fuirts flavor, Sporade</t>
  </si>
  <si>
    <t>Bebida hidratante, bebida deportiva, Powerade</t>
  </si>
  <si>
    <t>Hydrating drink, sports drink, (sodium, potassium, calcium, magnesium ), Powerade</t>
  </si>
  <si>
    <t>Bebida hidratante, bebida deportiva, sabor a limón, G Active</t>
  </si>
  <si>
    <t>Hydrating drink, sports drink, (water + electrolytes and vitamins), lemon flavor, G Active</t>
  </si>
  <si>
    <t>Bebida hidratante, bebida deportiva, sabor frutas tropicales, Gatorade Perform</t>
  </si>
  <si>
    <t>Hydrating drink, sports drink, tropical fruits flavor, Gatorade Perform</t>
  </si>
  <si>
    <t>Bebida láctea, con avena, sabor a canela, Toni</t>
  </si>
  <si>
    <t>Milk drink, with oatmeal, cinnamon flavor, Toni</t>
  </si>
  <si>
    <t>Bebida, artificial, néctar de durazno, Pulp</t>
  </si>
  <si>
    <t>Artificial drink, peach nectar,
Pulp</t>
  </si>
  <si>
    <t>Bebida, con jugo concentrado de uva, Snapple</t>
  </si>
  <si>
    <t>Drink, with grape juice concentrated; Snapple</t>
  </si>
  <si>
    <t>Bebida, con néctar de uva, Huesitos, Nestlé</t>
  </si>
  <si>
    <t>Drink, with grape nectar, Huesitos, Nestlé</t>
  </si>
  <si>
    <t>Bebida, de aloe, sávila, con fibra, Saviloe</t>
  </si>
  <si>
    <t>Aloe drink, with fiber, Saviloe</t>
  </si>
  <si>
    <t>Bebida, de aloe, sávila, pasteurizada, sabor a fresa, Houssy</t>
  </si>
  <si>
    <t>Aloe drink, pasteurized, strawberry flavor, Houssy</t>
  </si>
  <si>
    <t>Bebida, de aloe, sávila, sabor a piña, Aloe Vera King</t>
  </si>
  <si>
    <t>Aloe drink, pineapple flavor,
Aloe Vera King</t>
  </si>
  <si>
    <t>Bebida, de arándano, seleccionado, Natura, Nestlé</t>
  </si>
  <si>
    <t>Drink, of selected cramberry, Natura, Nestlé</t>
  </si>
  <si>
    <t>Bebida, de arándanos, Refresh</t>
  </si>
  <si>
    <t>Cranberry drink, Refresh</t>
  </si>
  <si>
    <t>Bebida, de arroz o quinua, sin azúcar, Natures Heart</t>
  </si>
  <si>
    <t>Beverage, rice or quinoa, sugarfree, Natures Heart</t>
  </si>
  <si>
    <t>Bebida, de avena, con maracuyá, sabor naranjilla, with vitamins A and D, Toni</t>
  </si>
  <si>
    <t>Oatmeal drink, with passion fruit, naranjilla flavor, with vitamins A and D, Toni</t>
  </si>
  <si>
    <t>Bebida, de avena, tradicional, sabor naranjilla, Toni</t>
  </si>
  <si>
    <t>Oatmeal drink, traditional, naranjilla flavor, Toni</t>
  </si>
  <si>
    <t>Bebida, de chía, frutos rojos y jamaica, Liv</t>
  </si>
  <si>
    <t>Chia drink, berries and jamaica, Liv</t>
  </si>
  <si>
    <t>Bebida, de chía, manzana y pitahaya, Liv</t>
  </si>
  <si>
    <t>Chia drink, apple and pitahaya,
Liv</t>
  </si>
  <si>
    <t>Bebida, de coco, Coconut</t>
  </si>
  <si>
    <t>Coconut drink, Coconut</t>
  </si>
  <si>
    <t>Bebida, de coco, Oriental</t>
  </si>
  <si>
    <t>Coconut drink, Oriental</t>
  </si>
  <si>
    <t>Bebida, de coco, sabor a vainilla, con vitaminas, Natures Heart</t>
  </si>
  <si>
    <t>Coconut beverage, vanilla flavor, with vitamins, Natures Heart</t>
  </si>
  <si>
    <t>Bebida, de jamaica, sabor frutos rojos, endulzada con stevia, Tippy Tea</t>
  </si>
  <si>
    <t>Jamaica drink, berries flavor, sweetened with stevia, Tippy Tea</t>
  </si>
  <si>
    <t>Bebida, de jenjibre, Ginger Ale</t>
  </si>
  <si>
    <t>Ginger soft drink, Ginger Ale</t>
  </si>
  <si>
    <t>Bebida, de maíz morado, frutas y especies, Purple Maize</t>
  </si>
  <si>
    <t>Drink, purple corn, fruits and spices, Purple Maize</t>
  </si>
  <si>
    <t>Bebida, de malta, sin alcohol,
Pony Malta</t>
  </si>
  <si>
    <t>Malt drink, without alcohol,
Pony Malta</t>
  </si>
  <si>
    <t>Bebida, de naranja, con vitaminas A and zinc, Natura, Nestlé</t>
  </si>
  <si>
    <t>Drink, orange, with vitamins A and zinc, Natura, Nestlé</t>
  </si>
  <si>
    <t>Bebida, de naranja, con vitaminas A, C y zinc, Natura, Nestlé</t>
  </si>
  <si>
    <t>Drink, orange, with vitamins A, C and zinc, Natura, Nestlé</t>
  </si>
  <si>
    <t>Bebida, de rooibos, sabor a mango, endulzado con stevia, Tippy Tea</t>
  </si>
  <si>
    <t>Rooibos drink, mango flavor, sweetened with stevia, Tippy Tea</t>
  </si>
  <si>
    <t>Bebida, de soya, melocotón y soya, Vive Soy</t>
  </si>
  <si>
    <t>Soya drink, peach and soy juice, Vive Soy</t>
  </si>
  <si>
    <t>Bebida, infusión natural, endulzada con stevia, no contiene colorantes, Aqua Live</t>
  </si>
  <si>
    <t>Drink, natural infusion, sweetened with stevia, without colorants, Aqua Live</t>
  </si>
  <si>
    <t>Bebida, jugo de uva, Welchito</t>
  </si>
  <si>
    <t>Drink, Grape juice, Welchito</t>
  </si>
  <si>
    <t>Bebida, libre de calorías, sabor a limón, Tesalia Ice</t>
  </si>
  <si>
    <t>Calorie free drink, lemon flavor,
Tesalia Ice</t>
  </si>
  <si>
    <t>Bebida, libre de calorías, sabor a naranjilla, Tesalia Ice</t>
  </si>
  <si>
    <t>Calorie free drink, naranjilla flavor, Tesalia Ice</t>
  </si>
  <si>
    <t>Bebida, limonada, All Natural</t>
  </si>
  <si>
    <t>Drink, lemonade, All Natural</t>
  </si>
  <si>
    <t>Bebida, mezcla de jugos concentrados, kiwi y fresa, Snapple</t>
  </si>
  <si>
    <t>Drink, concentrated mix juices, Kiwi and Strawberry, Snapple</t>
  </si>
  <si>
    <t>Bebida, nectar de durazno,
Nutri</t>
  </si>
  <si>
    <t>Drink, peach nectar, Nutri</t>
  </si>
  <si>
    <t>Bebida, nectar de durazno, VVK</t>
  </si>
  <si>
    <t>Drink, peach nectar, VVK</t>
  </si>
  <si>
    <t>Bebida, nectar de mango,
Sunny</t>
  </si>
  <si>
    <t>Drink, mangos nectar, Sunny</t>
  </si>
  <si>
    <t>Bebida, nectar de manzana, con vitamina C, Natura, Nestlé</t>
  </si>
  <si>
    <t>Drink, apple nectar, with vitamin C, Natura, Nestlé</t>
  </si>
  <si>
    <t>Bebida, nectar de naranja, con vitaminas A, C y zinc, Natura, Nestlé</t>
  </si>
  <si>
    <t>Drink, orange nectar, with vitamins A, C and zinc, Natura, Nestlé</t>
  </si>
  <si>
    <t>Bebida, nectar mixto, de mango, naranja, manzana y uvilla, Natura, Nestlé</t>
  </si>
  <si>
    <t>Drink, nectar mixed, of mango, orange, apple and goldenberry, Natura, Nestlé</t>
  </si>
  <si>
    <t>Bebida, nectar mixto, de mora, coco y manzana, Natura, Nestlé</t>
  </si>
  <si>
    <t>Drink, nectar mixed, of blackberry, coconut and apple, Natura, Nestlé</t>
  </si>
  <si>
    <t>Bebida, nectar, nutridefensas de durazno, Del Valle</t>
  </si>
  <si>
    <t>Drink, peach nectar, nutridefense, Del Valle</t>
  </si>
  <si>
    <t>Bebida, ponche de fruta, Fruit Juice Red</t>
  </si>
  <si>
    <t>Drink, fruit punch, Fruit Juice Red</t>
  </si>
  <si>
    <t>Bebida, sabor mezcla tropical, 5 jugos y puré de mango, Splash</t>
  </si>
  <si>
    <t>Drink, tropical blend splash, 5 juices and mango puree, Splash</t>
  </si>
  <si>
    <t>Bebida, sin gas, sabor a manzana verde, Vivant Storm</t>
  </si>
  <si>
    <t>Drink, flavored with green apple, Vivant Storm</t>
  </si>
  <si>
    <t>Bebida, sin gas, sabor a mora y arándanos, Vivant Storm</t>
  </si>
  <si>
    <t>Drink, flavored with blackberry and cranberries, Vivant Storm</t>
  </si>
  <si>
    <t>Bebida, sin gas, sabor a naranja, bajo en calorías, Del Valle</t>
  </si>
  <si>
    <t>Drink, flavored with orange, low calories, Del Valle</t>
  </si>
  <si>
    <t>Bebida, sin gas, sabor a naranja, mandarina y limón, citrus punch, Tampico</t>
  </si>
  <si>
    <t>Drink, flavored with orange, mandarine, lemon, citrus punch, Tampico</t>
  </si>
  <si>
    <t>Bebida, sin gas, sabor a naranja, Pura Crema</t>
  </si>
  <si>
    <t>Drink, flavored with orange,
Pura Crema</t>
  </si>
  <si>
    <t>Bedida proteíca, proteína de suero, Gofit</t>
  </si>
  <si>
    <t>Protein drink, whey protein,
Gofit</t>
  </si>
  <si>
    <t>Jugo de fruta, dragonfruit juice, con prebióticos, Liv Juice</t>
  </si>
  <si>
    <t>Fruit juice, dragonfruit juice, with prebiotics, Liv Juice</t>
  </si>
  <si>
    <t>Jugo, de 8 verduras, Herdez</t>
  </si>
  <si>
    <t>Juice, of 8 vegetables, Herdez</t>
  </si>
  <si>
    <t>Jugo, de arándanos, Natures Heart</t>
  </si>
  <si>
    <t>Cranberry juice, Natures Heart</t>
  </si>
  <si>
    <t>Jugo, de manzana Citric</t>
  </si>
  <si>
    <t>Apple juice, Citric</t>
  </si>
  <si>
    <t>Jugo, de naranja, con pulpa,
Citric</t>
  </si>
  <si>
    <t>Orange juice, with pulp, Citric</t>
  </si>
  <si>
    <t>Jugo, de piña, pasteurizado,
Scorpii</t>
  </si>
  <si>
    <t>Pineapple juice, pasteurized,
Scorpii</t>
  </si>
  <si>
    <t>Jugo, de tomate, Bar Helper</t>
  </si>
  <si>
    <t>Tomatoe juice, Bar Helper</t>
  </si>
  <si>
    <t>Jugo, de tomate, mezcla para coctel, Britvic</t>
  </si>
  <si>
    <t>Tomatoe juice, cocktail mix,
Britvic</t>
  </si>
  <si>
    <t>Jugo, de tomate, para cocktail,
Clamato</t>
  </si>
  <si>
    <t>Tomatoe juice, for cocktail,
Clamato</t>
  </si>
  <si>
    <t>Jugo, de uvilla, Natures Heart</t>
  </si>
  <si>
    <t>Golden-berry juice, Natures Heart</t>
  </si>
  <si>
    <t>Jugo, procesado, sabor naranja,
Del Valle</t>
  </si>
  <si>
    <t>Juice, processed, orange flavor,
Del Valle</t>
  </si>
  <si>
    <t>Té, blanco, sabor a carambolo y flor de loto, sin azúcar, sin colorantes, Hatsu Tea</t>
  </si>
  <si>
    <t>White tea, flavored with carambolo &amp; lotus flower, without sugar, without coloring, Hatsu Tea</t>
  </si>
  <si>
    <t>Té, blanco, sabor a flor de cerezo, sin azúcar, sin colorantes, Hatsu Tea</t>
  </si>
  <si>
    <t>White tea, flavored with cherry blosson, without sugar, without coloring, Hatsu Tea</t>
  </si>
  <si>
    <t>Té, hiervas aromáticas, horchata, Forestea</t>
  </si>
  <si>
    <t>Tea, aromatic herb drink, horchata, Forestea</t>
  </si>
  <si>
    <t>Té, infusión natural, Eco B, cedron, Verbena de Indias</t>
  </si>
  <si>
    <t>Herbal tea, Eco B, cedar,
Verbena de Indias</t>
  </si>
  <si>
    <t>Té, negro, sabor a limón, Fuze Tea</t>
  </si>
  <si>
    <t>Tea, black, lemon flavor, Fuze Tea</t>
  </si>
  <si>
    <t>Té, negro, sabor a limón, nicetea, Vivant</t>
  </si>
  <si>
    <t>Tea, black, lemon flavor, nicetea, Vivant</t>
  </si>
  <si>
    <t>Té, sabor a manzana limonaria,
Fuze Tea</t>
  </si>
  <si>
    <t>Tea, lemon and apple flavor,
Fuze Tea</t>
  </si>
  <si>
    <t>Energía calculada (Kcal)</t>
  </si>
  <si>
    <t>Proteína (g)</t>
  </si>
  <si>
    <t>Grasa total (g)</t>
  </si>
  <si>
    <t>Carbohidratos (g)</t>
  </si>
  <si>
    <t>Fibra (g)</t>
  </si>
  <si>
    <t>AGS (g)</t>
  </si>
  <si>
    <t>AGM (g)</t>
  </si>
  <si>
    <t>AGPI (g)</t>
  </si>
  <si>
    <t>Colesterol (mg)</t>
  </si>
  <si>
    <t>Calcio (mg)</t>
  </si>
  <si>
    <t>Fósforo (mg)</t>
  </si>
  <si>
    <t>Hierro (mg)</t>
  </si>
  <si>
    <t>Potasio (mg)</t>
  </si>
  <si>
    <t>Sodio (mg)</t>
  </si>
  <si>
    <t>Zinc (mg)</t>
  </si>
  <si>
    <t>Vitamina C (mg)</t>
  </si>
  <si>
    <t>Vitamina A (µg ERE)</t>
  </si>
  <si>
    <t>Folatos (µg)</t>
  </si>
  <si>
    <t>Vitamina B12 (µg)</t>
  </si>
  <si>
    <t>Cereales</t>
  </si>
  <si>
    <t>Frutas</t>
  </si>
  <si>
    <t>Vegetales</t>
  </si>
  <si>
    <t>Leguminosas</t>
  </si>
  <si>
    <t>Carnes y embutidos</t>
  </si>
  <si>
    <t>Pescados y mariscos</t>
  </si>
  <si>
    <t>Lácteos</t>
  </si>
  <si>
    <t>Grasas y frutos secos</t>
  </si>
  <si>
    <t>Azúcares</t>
  </si>
  <si>
    <t>Snacks</t>
  </si>
  <si>
    <t>Alimentos expresados en 100 ml</t>
  </si>
  <si>
    <t>Gramos</t>
  </si>
  <si>
    <t>DESAYUNO</t>
  </si>
  <si>
    <t>FAO/OMS</t>
  </si>
  <si>
    <t>MUJER</t>
  </si>
  <si>
    <t>HOMBRE</t>
  </si>
  <si>
    <t>Peso kg</t>
  </si>
  <si>
    <t xml:space="preserve">Talla </t>
  </si>
  <si>
    <t>IMC</t>
  </si>
  <si>
    <t>Edad</t>
  </si>
  <si>
    <t>NOTA: DEPENDIENDO DE MB CAMBIAR LA CELDA</t>
  </si>
  <si>
    <t>Mujer</t>
  </si>
  <si>
    <t>Hombre</t>
  </si>
  <si>
    <t>owen</t>
  </si>
  <si>
    <t>ACTIVIDAD FÍSICA</t>
  </si>
  <si>
    <t>GET -- Oxford y OMS</t>
  </si>
  <si>
    <t>valencia</t>
  </si>
  <si>
    <t>Sedentario</t>
  </si>
  <si>
    <t>mifflin</t>
  </si>
  <si>
    <t>Activo</t>
  </si>
  <si>
    <t>harris &amp; b</t>
  </si>
  <si>
    <t>Muy activo</t>
  </si>
  <si>
    <t>cunnigham</t>
  </si>
  <si>
    <t xml:space="preserve">GET </t>
  </si>
  <si>
    <t>livingston</t>
  </si>
  <si>
    <t>TA</t>
  </si>
  <si>
    <t xml:space="preserve">estimación rápida </t>
  </si>
  <si>
    <t>LBM (cunnigham)</t>
  </si>
  <si>
    <t>C BRAZO</t>
  </si>
  <si>
    <t>c CINTURA</t>
  </si>
  <si>
    <t>C pantorilla</t>
  </si>
  <si>
    <t>formula</t>
  </si>
  <si>
    <t>Formula de oxford</t>
  </si>
  <si>
    <t>10-18 años</t>
  </si>
  <si>
    <t>0-3 años</t>
  </si>
  <si>
    <t>18-30</t>
  </si>
  <si>
    <t>4-10 años</t>
  </si>
  <si>
    <t>30-60</t>
  </si>
  <si>
    <t>11-18 años</t>
  </si>
  <si>
    <t>&gt;60</t>
  </si>
  <si>
    <t>19-30 años</t>
  </si>
  <si>
    <t>31-60 años</t>
  </si>
  <si>
    <t>Otro</t>
  </si>
  <si>
    <t>Formulas</t>
  </si>
  <si>
    <t>REE</t>
  </si>
  <si>
    <t>Distribucción energética</t>
  </si>
  <si>
    <t>CHO</t>
  </si>
  <si>
    <t>55-60%</t>
  </si>
  <si>
    <t>Proteínas</t>
  </si>
  <si>
    <t>10-15%</t>
  </si>
  <si>
    <t>Grasas</t>
  </si>
  <si>
    <t>25-35%</t>
  </si>
  <si>
    <t>Proteína g/kg/día</t>
  </si>
  <si>
    <t>Hipoproteico (g)</t>
  </si>
  <si>
    <t>Normoproteico (g)</t>
  </si>
  <si>
    <t>Hiperproteico (g)</t>
  </si>
  <si>
    <t>Nutrimento</t>
  </si>
  <si>
    <t>%</t>
  </si>
  <si>
    <t>Energía Kcal</t>
  </si>
  <si>
    <t>Lípidos</t>
  </si>
  <si>
    <t>Total</t>
  </si>
  <si>
    <t xml:space="preserve">Deficit calorico </t>
  </si>
  <si>
    <t>Obj en meses</t>
  </si>
  <si>
    <t>Semanas</t>
  </si>
  <si>
    <t>% de pérdida</t>
  </si>
  <si>
    <t>¿? Kg pierde</t>
  </si>
  <si>
    <t>Peso ideal</t>
  </si>
  <si>
    <t>Kcal para def</t>
  </si>
  <si>
    <t>MESES</t>
  </si>
  <si>
    <t>Distribución de Alimentos</t>
  </si>
  <si>
    <t>Tiempos de comida</t>
  </si>
  <si>
    <t>Desayuno</t>
  </si>
  <si>
    <t>Media mañana</t>
  </si>
  <si>
    <t>Almuerzo</t>
  </si>
  <si>
    <t>Media tarde</t>
  </si>
  <si>
    <t>Merienda</t>
  </si>
  <si>
    <t>TOTAL</t>
  </si>
  <si>
    <t>Kcal recomend</t>
  </si>
  <si>
    <t>Cotenido nutricional de la porción de intercambio</t>
  </si>
  <si>
    <t>Grupo de alimento</t>
  </si>
  <si>
    <t>CHO (g)</t>
  </si>
  <si>
    <t>Prot (g)</t>
  </si>
  <si>
    <t>Grasas (g)</t>
  </si>
  <si>
    <t>Cereales, tuberculos y plátanos</t>
  </si>
  <si>
    <t>Altos en CHO y bajos en grasas</t>
  </si>
  <si>
    <t>Medios en CHO y bajos en grasas</t>
  </si>
  <si>
    <t>Medios en CHO y medios en grasas</t>
  </si>
  <si>
    <t>Medias en CHO</t>
  </si>
  <si>
    <t>Bajas en CHO</t>
  </si>
  <si>
    <t>Deshidratadas</t>
  </si>
  <si>
    <t>Bajos en CHO</t>
  </si>
  <si>
    <t>Libre consumo</t>
  </si>
  <si>
    <t>Lacteos</t>
  </si>
  <si>
    <t>Enteros - altos en grasas</t>
  </si>
  <si>
    <t>Semidescremados - medios en grasas</t>
  </si>
  <si>
    <t>Descremados - bajos en grasas</t>
  </si>
  <si>
    <t>Descremados y altos en CHO</t>
  </si>
  <si>
    <t>Quesos</t>
  </si>
  <si>
    <t>Carnes, pescados y huevos</t>
  </si>
  <si>
    <t>Altos en grasas</t>
  </si>
  <si>
    <t>Medios en grasas</t>
  </si>
  <si>
    <t>Bajos en grasas</t>
  </si>
  <si>
    <t>Embutidos</t>
  </si>
  <si>
    <t>Altos en grasas y bajos en CHO</t>
  </si>
  <si>
    <t>Medios en grasas y bajor en CHO</t>
  </si>
  <si>
    <t>Azucares y alimentos azucarados</t>
  </si>
  <si>
    <t>Proteinas (g)</t>
  </si>
  <si>
    <t>Lipidos (g)</t>
  </si>
  <si>
    <t># de fraccionamiento</t>
  </si>
  <si>
    <t>Fraccion</t>
  </si>
  <si>
    <t>Subgrupo</t>
  </si>
  <si>
    <t># de raciones de intercambio</t>
  </si>
  <si>
    <t>Azúcares y alimentos azucarados</t>
  </si>
  <si>
    <t>BALANCE</t>
  </si>
  <si>
    <t>MEDIA MAÑANA</t>
  </si>
  <si>
    <t>ALMUERZO</t>
  </si>
  <si>
    <t>MERIENDA</t>
  </si>
  <si>
    <t>PRIMER</t>
  </si>
  <si>
    <t>SEGUNDO</t>
  </si>
  <si>
    <t>TERCERO</t>
  </si>
  <si>
    <t>CUARTO</t>
  </si>
  <si>
    <t>CEREALES 50% CHO</t>
  </si>
  <si>
    <t>PROTEINAS</t>
  </si>
  <si>
    <t>GRASAS</t>
  </si>
  <si>
    <t>CHO FALTANTES</t>
  </si>
  <si>
    <t>DISTRIBUCION DE ALIMENTOS</t>
  </si>
  <si>
    <t>Kcal Extra</t>
  </si>
  <si>
    <t>Teorico</t>
  </si>
  <si>
    <t>Real</t>
  </si>
  <si>
    <t>Descripción (alimento)</t>
  </si>
  <si>
    <t>Cantidad</t>
  </si>
  <si>
    <t>Ratio (Fos/Prot)</t>
  </si>
  <si>
    <t>LUNES</t>
  </si>
  <si>
    <t>MARTES</t>
  </si>
  <si>
    <t>MIERCOLES</t>
  </si>
  <si>
    <t>JUEVES</t>
  </si>
  <si>
    <t>VIERNES</t>
  </si>
  <si>
    <t>% Adecuacion</t>
  </si>
  <si>
    <t>Tiempos</t>
  </si>
  <si>
    <t>50% Cereales</t>
  </si>
  <si>
    <t>10% Azucar</t>
  </si>
  <si>
    <t xml:space="preserve"># </t>
  </si>
  <si>
    <t>Cena</t>
  </si>
  <si>
    <t>CENA</t>
  </si>
  <si>
    <t>DETALLES</t>
  </si>
  <si>
    <t>KCAL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</si>
</sst>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1C2A3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2" fillId="0" borderId="0" xfId="0" applyFont="1"/>
    <xf numFmtId="0" fontId="2" fillId="15" borderId="1" xfId="0" applyFont="1" applyFill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2" fillId="16" borderId="1" xfId="0" applyFont="1" applyFill="1" applyBorder="1"/>
    <xf numFmtId="2" fontId="0" fillId="0" borderId="1" xfId="0" applyNumberFormat="1" applyBorder="1"/>
    <xf numFmtId="0" fontId="2" fillId="0" borderId="1" xfId="0" applyFont="1" applyBorder="1"/>
    <xf numFmtId="0" fontId="2" fillId="17" borderId="1" xfId="0" applyFont="1" applyFill="1" applyBorder="1"/>
    <xf numFmtId="2" fontId="0" fillId="0" borderId="0" xfId="0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" fillId="13" borderId="1" xfId="0" applyFont="1" applyFill="1" applyBorder="1"/>
    <xf numFmtId="0" fontId="0" fillId="17" borderId="1" xfId="0" applyFill="1" applyBorder="1"/>
    <xf numFmtId="0" fontId="0" fillId="0" borderId="3" xfId="0" applyBorder="1"/>
    <xf numFmtId="164" fontId="0" fillId="0" borderId="1" xfId="0" applyNumberFormat="1" applyBorder="1"/>
    <xf numFmtId="0" fontId="0" fillId="0" borderId="6" xfId="0" applyBorder="1"/>
    <xf numFmtId="0" fontId="2" fillId="16" borderId="1" xfId="0" applyFont="1" applyFill="1" applyBorder="1" applyAlignment="1">
      <alignment horizontal="center"/>
    </xf>
    <xf numFmtId="0" fontId="4" fillId="0" borderId="1" xfId="0" applyFont="1" applyBorder="1"/>
    <xf numFmtId="9" fontId="0" fillId="0" borderId="1" xfId="1" applyFont="1" applyBorder="1"/>
    <xf numFmtId="0" fontId="0" fillId="14" borderId="1" xfId="0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0" fillId="14" borderId="1" xfId="0" applyFill="1" applyBorder="1"/>
    <xf numFmtId="0" fontId="0" fillId="0" borderId="1" xfId="1" applyNumberFormat="1" applyFont="1" applyBorder="1"/>
    <xf numFmtId="0" fontId="2" fillId="25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left"/>
    </xf>
    <xf numFmtId="9" fontId="2" fillId="16" borderId="1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horizontal="right"/>
    </xf>
    <xf numFmtId="2" fontId="0" fillId="0" borderId="1" xfId="1" applyNumberFormat="1" applyFont="1" applyBorder="1"/>
    <xf numFmtId="2" fontId="0" fillId="0" borderId="1" xfId="0" applyNumberFormat="1" applyBorder="1" applyAlignment="1">
      <alignment horizontal="center" vertical="center"/>
    </xf>
    <xf numFmtId="2" fontId="0" fillId="0" borderId="9" xfId="0" applyNumberFormat="1" applyBorder="1"/>
    <xf numFmtId="2" fontId="0" fillId="0" borderId="9" xfId="1" applyNumberFormat="1" applyFont="1" applyBorder="1"/>
    <xf numFmtId="0" fontId="2" fillId="10" borderId="10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8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2" fillId="19" borderId="10" xfId="0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0" fontId="2" fillId="19" borderId="12" xfId="0" applyFont="1" applyFill="1" applyBorder="1" applyAlignment="1">
      <alignment horizontal="center" vertical="center"/>
    </xf>
    <xf numFmtId="0" fontId="2" fillId="19" borderId="7" xfId="0" applyFont="1" applyFill="1" applyBorder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9" borderId="5" xfId="0" applyFont="1" applyFill="1" applyBorder="1" applyAlignment="1">
      <alignment horizontal="center" vertical="center"/>
    </xf>
    <xf numFmtId="0" fontId="2" fillId="19" borderId="13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19" borderId="14" xfId="0" applyFont="1" applyFill="1" applyBorder="1" applyAlignment="1">
      <alignment horizontal="center" vertical="center"/>
    </xf>
    <xf numFmtId="0" fontId="2" fillId="24" borderId="6" xfId="0" applyFont="1" applyFill="1" applyBorder="1" applyAlignment="1">
      <alignment horizontal="center"/>
    </xf>
    <xf numFmtId="0" fontId="2" fillId="24" borderId="8" xfId="0" applyFont="1" applyFill="1" applyBorder="1" applyAlignment="1">
      <alignment horizontal="center"/>
    </xf>
    <xf numFmtId="0" fontId="2" fillId="24" borderId="9" xfId="0" applyFont="1" applyFill="1" applyBorder="1" applyAlignment="1">
      <alignment horizontal="center"/>
    </xf>
    <xf numFmtId="0" fontId="2" fillId="23" borderId="10" xfId="0" applyFont="1" applyFill="1" applyBorder="1" applyAlignment="1">
      <alignment horizontal="center" vertical="center"/>
    </xf>
    <xf numFmtId="0" fontId="2" fillId="23" borderId="11" xfId="0" applyFont="1" applyFill="1" applyBorder="1" applyAlignment="1">
      <alignment horizontal="center" vertical="center"/>
    </xf>
    <xf numFmtId="0" fontId="2" fillId="23" borderId="12" xfId="0" applyFont="1" applyFill="1" applyBorder="1" applyAlignment="1">
      <alignment horizontal="center" vertical="center"/>
    </xf>
    <xf numFmtId="0" fontId="2" fillId="23" borderId="7" xfId="0" applyFont="1" applyFill="1" applyBorder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23" borderId="5" xfId="0" applyFont="1" applyFill="1" applyBorder="1" applyAlignment="1">
      <alignment horizontal="center" vertical="center"/>
    </xf>
    <xf numFmtId="0" fontId="2" fillId="23" borderId="13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/>
    </xf>
    <xf numFmtId="0" fontId="2" fillId="23" borderId="14" xfId="0" applyFont="1" applyFill="1" applyBorder="1" applyAlignment="1">
      <alignment horizontal="center" vertical="center"/>
    </xf>
    <xf numFmtId="0" fontId="2" fillId="17" borderId="10" xfId="0" applyFont="1" applyFill="1" applyBorder="1" applyAlignment="1">
      <alignment horizontal="center" vertical="center"/>
    </xf>
    <xf numFmtId="0" fontId="2" fillId="17" borderId="11" xfId="0" applyFont="1" applyFill="1" applyBorder="1" applyAlignment="1">
      <alignment horizontal="center" vertical="center"/>
    </xf>
    <xf numFmtId="0" fontId="2" fillId="17" borderId="12" xfId="0" applyFont="1" applyFill="1" applyBorder="1" applyAlignment="1">
      <alignment horizontal="center" vertical="center"/>
    </xf>
    <xf numFmtId="0" fontId="2" fillId="17" borderId="13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17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19" borderId="2" xfId="0" applyFont="1" applyFill="1" applyBorder="1" applyAlignment="1">
      <alignment horizontal="center"/>
    </xf>
    <xf numFmtId="164" fontId="2" fillId="20" borderId="1" xfId="0" applyNumberFormat="1" applyFont="1" applyFill="1" applyBorder="1" applyAlignment="1">
      <alignment horizontal="center"/>
    </xf>
    <xf numFmtId="0" fontId="3" fillId="21" borderId="6" xfId="0" applyFont="1" applyFill="1" applyBorder="1" applyAlignment="1">
      <alignment horizontal="center"/>
    </xf>
    <xf numFmtId="0" fontId="3" fillId="21" borderId="8" xfId="0" applyFont="1" applyFill="1" applyBorder="1" applyAlignment="1">
      <alignment horizontal="center"/>
    </xf>
    <xf numFmtId="0" fontId="3" fillId="21" borderId="9" xfId="0" applyFont="1" applyFill="1" applyBorder="1" applyAlignment="1">
      <alignment horizontal="center"/>
    </xf>
    <xf numFmtId="0" fontId="2" fillId="21" borderId="6" xfId="0" applyFont="1" applyFill="1" applyBorder="1" applyAlignment="1">
      <alignment horizontal="center"/>
    </xf>
    <xf numFmtId="0" fontId="2" fillId="21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2" borderId="10" xfId="0" applyFont="1" applyFill="1" applyBorder="1" applyAlignment="1">
      <alignment horizontal="center" vertical="center"/>
    </xf>
    <xf numFmtId="0" fontId="2" fillId="22" borderId="11" xfId="0" applyFont="1" applyFill="1" applyBorder="1" applyAlignment="1">
      <alignment horizontal="center" vertical="center"/>
    </xf>
    <xf numFmtId="0" fontId="2" fillId="22" borderId="12" xfId="0" applyFont="1" applyFill="1" applyBorder="1" applyAlignment="1">
      <alignment horizontal="center" vertical="center"/>
    </xf>
    <xf numFmtId="0" fontId="2" fillId="22" borderId="7" xfId="0" applyFont="1" applyFill="1" applyBorder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2" borderId="5" xfId="0" applyFont="1" applyFill="1" applyBorder="1" applyAlignment="1">
      <alignment horizontal="center" vertical="center"/>
    </xf>
    <xf numFmtId="0" fontId="2" fillId="22" borderId="13" xfId="0" applyFont="1" applyFill="1" applyBorder="1" applyAlignment="1">
      <alignment horizontal="center" vertical="center"/>
    </xf>
    <xf numFmtId="0" fontId="2" fillId="22" borderId="2" xfId="0" applyFont="1" applyFill="1" applyBorder="1" applyAlignment="1">
      <alignment horizontal="center" vertical="center"/>
    </xf>
    <xf numFmtId="0" fontId="2" fillId="22" borderId="14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2" fillId="17" borderId="2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1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9" borderId="4" xfId="0" applyFont="1" applyFill="1" applyBorder="1" applyAlignment="1">
      <alignment horizontal="center" vertical="center"/>
    </xf>
    <xf numFmtId="0" fontId="2" fillId="29" borderId="3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2" fillId="2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</cellXfs>
  <cellStyles count="2">
    <cellStyle name="Normal" xfId="0" builtinId="0"/>
    <cellStyle name="Porcentaje" xfId="1" builtinId="5"/>
  </cellStyles>
  <dxfs count="37"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b/>
        <i val="0"/>
        <strike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CC"/>
      <color rgb="FF9900FF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3175</xdr:colOff>
      <xdr:row>10</xdr:row>
      <xdr:rowOff>161925</xdr:rowOff>
    </xdr:from>
    <xdr:ext cx="65" cy="172227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EBF6B480-F7C7-422C-A390-AF93FB0F2ED3}"/>
            </a:ext>
          </a:extLst>
        </xdr:cNvPr>
        <xdr:cNvSpPr txBox="1"/>
      </xdr:nvSpPr>
      <xdr:spPr>
        <a:xfrm>
          <a:off x="1527175" y="2076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C" sz="1100"/>
        </a:p>
      </xdr:txBody>
    </xdr:sp>
    <xdr:clientData/>
  </xdr:oneCellAnchor>
  <xdr:oneCellAnchor>
    <xdr:from>
      <xdr:col>11</xdr:col>
      <xdr:colOff>3175</xdr:colOff>
      <xdr:row>23</xdr:row>
      <xdr:rowOff>161925</xdr:rowOff>
    </xdr:from>
    <xdr:ext cx="65" cy="172227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3720E052-B37D-46F2-B0EE-1C6D17A59B45}"/>
            </a:ext>
          </a:extLst>
        </xdr:cNvPr>
        <xdr:cNvSpPr txBox="1"/>
      </xdr:nvSpPr>
      <xdr:spPr>
        <a:xfrm>
          <a:off x="9147175" y="4562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C" sz="1100"/>
        </a:p>
      </xdr:txBody>
    </xdr:sp>
    <xdr:clientData/>
  </xdr:oneCellAnchor>
  <xdr:oneCellAnchor>
    <xdr:from>
      <xdr:col>11</xdr:col>
      <xdr:colOff>3175</xdr:colOff>
      <xdr:row>22</xdr:row>
      <xdr:rowOff>161925</xdr:rowOff>
    </xdr:from>
    <xdr:ext cx="65" cy="172227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8B53E60E-CE5C-44C6-AF30-699F5E9B5172}"/>
            </a:ext>
          </a:extLst>
        </xdr:cNvPr>
        <xdr:cNvSpPr txBox="1"/>
      </xdr:nvSpPr>
      <xdr:spPr>
        <a:xfrm>
          <a:off x="9147175" y="4371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C" sz="1100"/>
        </a:p>
      </xdr:txBody>
    </xdr:sp>
    <xdr:clientData/>
  </xdr:oneCellAnchor>
  <xdr:oneCellAnchor>
    <xdr:from>
      <xdr:col>1</xdr:col>
      <xdr:colOff>3175</xdr:colOff>
      <xdr:row>34</xdr:row>
      <xdr:rowOff>161925</xdr:rowOff>
    </xdr:from>
    <xdr:ext cx="65" cy="172227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E6FFAC64-97D8-4307-A76C-4EE85D2B8B55}"/>
            </a:ext>
          </a:extLst>
        </xdr:cNvPr>
        <xdr:cNvSpPr txBox="1"/>
      </xdr:nvSpPr>
      <xdr:spPr>
        <a:xfrm>
          <a:off x="3813175" y="5324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C" sz="1100"/>
        </a:p>
      </xdr:txBody>
    </xdr:sp>
    <xdr:clientData/>
  </xdr:oneCellAnchor>
  <xdr:oneCellAnchor>
    <xdr:from>
      <xdr:col>2</xdr:col>
      <xdr:colOff>3175</xdr:colOff>
      <xdr:row>34</xdr:row>
      <xdr:rowOff>161925</xdr:rowOff>
    </xdr:from>
    <xdr:ext cx="65" cy="172227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ED6F18B-D162-44EF-833C-D4C5E7A54B62}"/>
            </a:ext>
          </a:extLst>
        </xdr:cNvPr>
        <xdr:cNvSpPr txBox="1"/>
      </xdr:nvSpPr>
      <xdr:spPr>
        <a:xfrm>
          <a:off x="4575175" y="5324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C" sz="1100"/>
        </a:p>
      </xdr:txBody>
    </xdr:sp>
    <xdr:clientData/>
  </xdr:oneCellAnchor>
  <xdr:oneCellAnchor>
    <xdr:from>
      <xdr:col>2</xdr:col>
      <xdr:colOff>3175</xdr:colOff>
      <xdr:row>33</xdr:row>
      <xdr:rowOff>161925</xdr:rowOff>
    </xdr:from>
    <xdr:ext cx="65" cy="172227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6FFC5D9-F9B4-450C-A672-3317ACF638B6}"/>
            </a:ext>
          </a:extLst>
        </xdr:cNvPr>
        <xdr:cNvSpPr txBox="1"/>
      </xdr:nvSpPr>
      <xdr:spPr>
        <a:xfrm>
          <a:off x="4575175" y="5133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C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2F48-3C0B-4192-98D7-0C1CB4B95FDD}">
  <dimension ref="A1:R57"/>
  <sheetViews>
    <sheetView zoomScale="98" zoomScaleNormal="98" workbookViewId="0">
      <selection activeCell="G4" sqref="G4"/>
    </sheetView>
  </sheetViews>
  <sheetFormatPr baseColWidth="10" defaultRowHeight="15" x14ac:dyDescent="0.25"/>
  <cols>
    <col min="5" max="5" width="10" bestFit="1" customWidth="1"/>
    <col min="7" max="7" width="17.7109375" bestFit="1" customWidth="1"/>
    <col min="8" max="8" width="8.28515625" bestFit="1" customWidth="1"/>
    <col min="9" max="9" width="14.140625" customWidth="1"/>
    <col min="10" max="10" width="22.140625" bestFit="1" customWidth="1"/>
    <col min="15" max="15" width="35" bestFit="1" customWidth="1"/>
  </cols>
  <sheetData>
    <row r="1" spans="1:18" x14ac:dyDescent="0.25">
      <c r="A1" s="92" t="s">
        <v>2039</v>
      </c>
      <c r="B1" s="92"/>
      <c r="D1" s="92" t="s">
        <v>2040</v>
      </c>
      <c r="E1" s="92"/>
    </row>
    <row r="2" spans="1:18" x14ac:dyDescent="0.25">
      <c r="A2" s="16" t="s">
        <v>2041</v>
      </c>
      <c r="B2" s="17">
        <f>MUJER!B2</f>
        <v>82</v>
      </c>
      <c r="C2" s="18"/>
      <c r="D2" s="19" t="s">
        <v>2041</v>
      </c>
      <c r="E2" s="17">
        <f>HOMBRE!B2</f>
        <v>85</v>
      </c>
      <c r="G2" s="122" t="s">
        <v>2045</v>
      </c>
      <c r="H2" s="122"/>
      <c r="I2" s="122"/>
      <c r="J2" s="122"/>
    </row>
    <row r="3" spans="1:18" x14ac:dyDescent="0.25">
      <c r="A3" s="16" t="s">
        <v>2042</v>
      </c>
      <c r="B3" s="17">
        <f>MUJER!B3</f>
        <v>160</v>
      </c>
      <c r="C3" s="18"/>
      <c r="D3" s="19" t="s">
        <v>2042</v>
      </c>
      <c r="E3" s="17">
        <f>HOMBRE!B3</f>
        <v>170</v>
      </c>
    </row>
    <row r="4" spans="1:18" ht="15.75" x14ac:dyDescent="0.25">
      <c r="A4" s="16" t="s">
        <v>2043</v>
      </c>
      <c r="B4" s="48">
        <f>MUJER!B4</f>
        <v>32.031249999999993</v>
      </c>
      <c r="D4" s="19" t="s">
        <v>2043</v>
      </c>
      <c r="E4" s="48">
        <f>HOMBRE!B4</f>
        <v>29.411764705882355</v>
      </c>
      <c r="L4" s="95" t="s">
        <v>2113</v>
      </c>
      <c r="M4" s="96"/>
      <c r="N4" s="96"/>
      <c r="O4" s="96"/>
      <c r="P4" s="96"/>
      <c r="Q4" s="96"/>
      <c r="R4" s="97"/>
    </row>
    <row r="5" spans="1:18" x14ac:dyDescent="0.25">
      <c r="A5" s="16" t="s">
        <v>2044</v>
      </c>
      <c r="B5" s="17">
        <f>MUJER!B5</f>
        <v>42</v>
      </c>
      <c r="D5" s="19" t="s">
        <v>2044</v>
      </c>
      <c r="E5" s="17">
        <f>HOMBRE!B5</f>
        <v>45</v>
      </c>
      <c r="L5" s="98" t="s">
        <v>2114</v>
      </c>
      <c r="M5" s="99"/>
      <c r="N5" s="99"/>
      <c r="O5" s="99"/>
      <c r="P5" s="36" t="s">
        <v>2115</v>
      </c>
      <c r="Q5" s="36" t="s">
        <v>2116</v>
      </c>
      <c r="R5" s="36" t="s">
        <v>2117</v>
      </c>
    </row>
    <row r="6" spans="1:18" x14ac:dyDescent="0.25">
      <c r="A6" s="15"/>
      <c r="L6" s="100" t="s">
        <v>2118</v>
      </c>
      <c r="M6" s="101"/>
      <c r="N6" s="102"/>
      <c r="O6" s="31" t="s">
        <v>2119</v>
      </c>
      <c r="P6" s="3">
        <v>30</v>
      </c>
      <c r="Q6" s="3">
        <v>4</v>
      </c>
      <c r="R6" s="3">
        <v>1</v>
      </c>
    </row>
    <row r="7" spans="1:18" x14ac:dyDescent="0.25">
      <c r="A7" s="92" t="s">
        <v>2079</v>
      </c>
      <c r="B7" s="92"/>
      <c r="C7" s="92"/>
      <c r="L7" s="103"/>
      <c r="M7" s="104"/>
      <c r="N7" s="105"/>
      <c r="O7" s="31" t="s">
        <v>2120</v>
      </c>
      <c r="P7" s="3">
        <v>20</v>
      </c>
      <c r="Q7" s="3">
        <v>3</v>
      </c>
      <c r="R7" s="3">
        <v>1</v>
      </c>
    </row>
    <row r="8" spans="1:18" x14ac:dyDescent="0.25">
      <c r="A8" s="21" t="s">
        <v>2078</v>
      </c>
      <c r="B8" s="21" t="s">
        <v>2046</v>
      </c>
      <c r="C8" s="21" t="s">
        <v>2047</v>
      </c>
      <c r="J8" s="23"/>
      <c r="L8" s="106"/>
      <c r="M8" s="107"/>
      <c r="N8" s="108"/>
      <c r="O8" s="31" t="s">
        <v>2121</v>
      </c>
      <c r="P8" s="3">
        <v>20</v>
      </c>
      <c r="Q8" s="3">
        <v>2</v>
      </c>
      <c r="R8" s="3">
        <v>6</v>
      </c>
    </row>
    <row r="9" spans="1:18" ht="15.75" x14ac:dyDescent="0.25">
      <c r="A9" s="22" t="s">
        <v>2048</v>
      </c>
      <c r="B9" s="20">
        <f>795+(7.18*B2)</f>
        <v>1383.76</v>
      </c>
      <c r="C9" s="20">
        <f>879+(10.2*E2)</f>
        <v>1746</v>
      </c>
      <c r="E9" s="118" t="s">
        <v>2049</v>
      </c>
      <c r="F9" s="118"/>
      <c r="H9" s="119" t="s">
        <v>2050</v>
      </c>
      <c r="I9" s="119"/>
      <c r="L9" s="109" t="s">
        <v>2026</v>
      </c>
      <c r="M9" s="110"/>
      <c r="N9" s="111"/>
      <c r="O9" s="31" t="s">
        <v>2122</v>
      </c>
      <c r="P9" s="3">
        <v>20</v>
      </c>
      <c r="Q9" s="3">
        <v>1</v>
      </c>
      <c r="R9" s="3">
        <v>0</v>
      </c>
    </row>
    <row r="10" spans="1:18" x14ac:dyDescent="0.25">
      <c r="A10" s="22" t="s">
        <v>2051</v>
      </c>
      <c r="B10" s="20">
        <f>(11.02*B2)+679</f>
        <v>1582.6399999999999</v>
      </c>
      <c r="C10" s="20">
        <f>(14.21*E2)+429</f>
        <v>1636.8500000000001</v>
      </c>
      <c r="E10" s="21" t="s">
        <v>2052</v>
      </c>
      <c r="F10" s="3">
        <v>1.2</v>
      </c>
      <c r="H10" s="21" t="s">
        <v>2046</v>
      </c>
      <c r="I10" s="20">
        <f>(B24*F15)+(B24/10)</f>
        <v>2021.2400000000002</v>
      </c>
      <c r="L10" s="112"/>
      <c r="M10" s="113"/>
      <c r="N10" s="114"/>
      <c r="O10" s="31" t="s">
        <v>2123</v>
      </c>
      <c r="P10" s="3">
        <v>10</v>
      </c>
      <c r="Q10" s="3">
        <v>1</v>
      </c>
      <c r="R10" s="3">
        <v>0</v>
      </c>
    </row>
    <row r="11" spans="1:18" x14ac:dyDescent="0.25">
      <c r="A11" s="22" t="s">
        <v>2053</v>
      </c>
      <c r="B11" s="20">
        <f>(10*B2)+(6.25*B3)-(5*B5)-161</f>
        <v>1449</v>
      </c>
      <c r="C11" s="20">
        <f>(10*E2)+(6.25*E3)-(5*E5)+5</f>
        <v>1692.5</v>
      </c>
      <c r="E11" s="21" t="s">
        <v>2054</v>
      </c>
      <c r="F11" s="3">
        <v>1.5</v>
      </c>
      <c r="H11" s="21" t="s">
        <v>2047</v>
      </c>
      <c r="I11" s="20">
        <f>(C25*F15)+(C25/10)</f>
        <v>2277.2099999999996</v>
      </c>
      <c r="L11" s="115"/>
      <c r="M11" s="116"/>
      <c r="N11" s="117"/>
      <c r="O11" s="31" t="s">
        <v>2124</v>
      </c>
      <c r="P11" s="3">
        <v>20</v>
      </c>
      <c r="Q11" s="3">
        <v>1</v>
      </c>
      <c r="R11" s="3">
        <v>0</v>
      </c>
    </row>
    <row r="12" spans="1:18" x14ac:dyDescent="0.25">
      <c r="A12" s="22" t="s">
        <v>2055</v>
      </c>
      <c r="B12" s="20">
        <f>655.0955+(9.5634*B2)+(1.8449*B3)-(4.6756*B5)</f>
        <v>1538.1031</v>
      </c>
      <c r="C12" s="20">
        <f>66.473+(13.7516*E2)+(5.0033*E3)-(6.775*E5)</f>
        <v>1781.0450000000001</v>
      </c>
      <c r="E12" s="21" t="s">
        <v>2056</v>
      </c>
      <c r="F12" s="3">
        <v>1.7250000000000001</v>
      </c>
      <c r="L12" s="86" t="s">
        <v>2027</v>
      </c>
      <c r="M12" s="87"/>
      <c r="N12" s="88"/>
      <c r="O12" s="31" t="s">
        <v>2125</v>
      </c>
      <c r="P12" s="3">
        <v>5</v>
      </c>
      <c r="Q12" s="3">
        <v>1</v>
      </c>
      <c r="R12" s="3">
        <v>0</v>
      </c>
    </row>
    <row r="13" spans="1:18" ht="15.75" x14ac:dyDescent="0.25">
      <c r="A13" s="22" t="s">
        <v>2057</v>
      </c>
      <c r="B13" s="20">
        <f>(500+22*B19)</f>
        <v>1660.7777049180329</v>
      </c>
      <c r="C13" s="20">
        <f>(500+22*C19)</f>
        <v>1411.4491803278688</v>
      </c>
      <c r="E13" s="21" t="s">
        <v>2077</v>
      </c>
      <c r="F13" s="3">
        <v>0</v>
      </c>
      <c r="H13" s="119" t="s">
        <v>2058</v>
      </c>
      <c r="I13" s="119"/>
      <c r="J13" s="119"/>
      <c r="L13" s="89"/>
      <c r="M13" s="90"/>
      <c r="N13" s="91"/>
      <c r="O13" s="31" t="s">
        <v>2126</v>
      </c>
      <c r="P13" s="3">
        <v>3</v>
      </c>
      <c r="Q13" s="3">
        <v>2</v>
      </c>
      <c r="R13" s="3">
        <v>0</v>
      </c>
    </row>
    <row r="14" spans="1:18" x14ac:dyDescent="0.25">
      <c r="A14" s="22" t="s">
        <v>2059</v>
      </c>
      <c r="B14" s="20">
        <f>248*(B2^0.43356)-B5*5.09</f>
        <v>1461.9529707309537</v>
      </c>
      <c r="C14" s="20">
        <f>293*(E2^0.433)-E5*5.92</f>
        <v>1739.4849282189239</v>
      </c>
      <c r="G14" s="15"/>
      <c r="H14" s="21" t="s">
        <v>2046</v>
      </c>
      <c r="I14" s="3" t="str">
        <f>MUJER!B10</f>
        <v>mifflin</v>
      </c>
      <c r="J14" s="20">
        <f>((VLOOKUP(I14,$A$9:$B$15,2,FALSE))*$F$15)+(VLOOKUP(I14,$A$9:$B$15,2,FALSE)*10%)</f>
        <v>1883.7</v>
      </c>
      <c r="L14" s="77" t="s">
        <v>2127</v>
      </c>
      <c r="M14" s="78"/>
      <c r="N14" s="79"/>
      <c r="O14" s="31" t="s">
        <v>2128</v>
      </c>
      <c r="P14" s="3">
        <v>11</v>
      </c>
      <c r="Q14" s="3">
        <v>8</v>
      </c>
      <c r="R14" s="3">
        <v>8</v>
      </c>
    </row>
    <row r="15" spans="1:18" x14ac:dyDescent="0.25">
      <c r="A15" s="22" t="s">
        <v>2061</v>
      </c>
      <c r="B15" s="20">
        <f>16.2*B2</f>
        <v>1328.3999999999999</v>
      </c>
      <c r="C15" s="20">
        <f>17*E2</f>
        <v>1445</v>
      </c>
      <c r="E15" s="16" t="s">
        <v>2060</v>
      </c>
      <c r="F15" s="12">
        <v>1.2</v>
      </c>
      <c r="H15" s="21" t="s">
        <v>2047</v>
      </c>
      <c r="I15" s="3" t="str">
        <f>HOMBRE!B10</f>
        <v>mifflin</v>
      </c>
      <c r="J15" s="20">
        <f>((VLOOKUP(I15,$A$9:$C$15,3,FALSE))*$F$15)+(VLOOKUP(I15,$A$9:$C$15,3,FALSE)*10%)</f>
        <v>2200.25</v>
      </c>
      <c r="L15" s="80"/>
      <c r="M15" s="81"/>
      <c r="N15" s="82"/>
      <c r="O15" s="31" t="s">
        <v>2129</v>
      </c>
      <c r="P15" s="3">
        <v>11</v>
      </c>
      <c r="Q15" s="3">
        <v>8</v>
      </c>
      <c r="R15" s="3">
        <v>4</v>
      </c>
    </row>
    <row r="16" spans="1:18" x14ac:dyDescent="0.25">
      <c r="B16" s="23"/>
      <c r="C16" s="23"/>
      <c r="L16" s="80"/>
      <c r="M16" s="81"/>
      <c r="N16" s="82"/>
      <c r="O16" s="31" t="s">
        <v>2130</v>
      </c>
      <c r="P16" s="3">
        <v>12</v>
      </c>
      <c r="Q16" s="3">
        <v>8</v>
      </c>
      <c r="R16" s="3">
        <v>1</v>
      </c>
    </row>
    <row r="17" spans="1:18" x14ac:dyDescent="0.25">
      <c r="L17" s="80"/>
      <c r="M17" s="81"/>
      <c r="N17" s="82"/>
      <c r="O17" s="31" t="s">
        <v>2131</v>
      </c>
      <c r="P17" s="3">
        <v>25</v>
      </c>
      <c r="Q17" s="3">
        <v>6</v>
      </c>
      <c r="R17" s="3">
        <v>3</v>
      </c>
    </row>
    <row r="18" spans="1:18" x14ac:dyDescent="0.25">
      <c r="B18" s="21" t="s">
        <v>2046</v>
      </c>
      <c r="C18" s="21" t="s">
        <v>2047</v>
      </c>
      <c r="E18" s="21" t="s">
        <v>2063</v>
      </c>
      <c r="F18" s="21" t="s">
        <v>2064</v>
      </c>
      <c r="G18" s="21" t="s">
        <v>2065</v>
      </c>
      <c r="H18" s="21" t="s">
        <v>2066</v>
      </c>
      <c r="L18" s="83"/>
      <c r="M18" s="84"/>
      <c r="N18" s="85"/>
      <c r="O18" s="31" t="s">
        <v>2132</v>
      </c>
      <c r="P18" s="3">
        <v>1</v>
      </c>
      <c r="Q18" s="3">
        <v>7</v>
      </c>
      <c r="R18" s="3">
        <v>7</v>
      </c>
    </row>
    <row r="19" spans="1:18" x14ac:dyDescent="0.25">
      <c r="A19" s="26" t="s">
        <v>2062</v>
      </c>
      <c r="B19" s="20">
        <f>(79.5-(0.24*(B2))-(0.15*(B5))*B2/73.2)</f>
        <v>52.762622950819676</v>
      </c>
      <c r="C19" s="20">
        <f>(69.8-(0.26*E2)-(0.12*E5)*E2/73.2)</f>
        <v>41.429508196721308</v>
      </c>
      <c r="E19" s="3">
        <v>32</v>
      </c>
      <c r="F19" s="3">
        <v>102</v>
      </c>
      <c r="G19" s="3">
        <v>40</v>
      </c>
      <c r="H19" s="3">
        <f>(0.5759*E19)+(0.5263*F19)+(1.2452*G19)-37.793</f>
        <v>84.126400000000018</v>
      </c>
      <c r="L19" s="65" t="s">
        <v>2133</v>
      </c>
      <c r="M19" s="66"/>
      <c r="N19" s="67"/>
      <c r="O19" s="31" t="s">
        <v>2134</v>
      </c>
      <c r="P19" s="3">
        <v>1</v>
      </c>
      <c r="Q19" s="3">
        <v>11</v>
      </c>
      <c r="R19" s="3">
        <v>15</v>
      </c>
    </row>
    <row r="20" spans="1:18" x14ac:dyDescent="0.25">
      <c r="L20" s="68"/>
      <c r="M20" s="69"/>
      <c r="N20" s="70"/>
      <c r="O20" s="31" t="s">
        <v>2135</v>
      </c>
      <c r="P20" s="3">
        <v>0</v>
      </c>
      <c r="Q20" s="3">
        <v>11</v>
      </c>
      <c r="R20" s="3">
        <v>7</v>
      </c>
    </row>
    <row r="21" spans="1:18" x14ac:dyDescent="0.25">
      <c r="A21" s="121" t="s">
        <v>2067</v>
      </c>
      <c r="B21" s="121"/>
      <c r="C21" s="121"/>
      <c r="D21" s="15"/>
      <c r="H21" s="15"/>
      <c r="I21" s="15"/>
      <c r="J21" s="15"/>
      <c r="K21" s="15"/>
      <c r="L21" s="68"/>
      <c r="M21" s="69"/>
      <c r="N21" s="70"/>
      <c r="O21" s="31" t="s">
        <v>2136</v>
      </c>
      <c r="P21" s="3">
        <v>0</v>
      </c>
      <c r="Q21" s="3">
        <v>11</v>
      </c>
      <c r="R21" s="3">
        <v>2</v>
      </c>
    </row>
    <row r="22" spans="1:18" x14ac:dyDescent="0.25">
      <c r="A22" s="3"/>
      <c r="B22" s="21" t="s">
        <v>2046</v>
      </c>
      <c r="C22" s="21" t="s">
        <v>2047</v>
      </c>
      <c r="D22" s="24"/>
      <c r="E22" s="93" t="s">
        <v>2080</v>
      </c>
      <c r="F22" s="93"/>
      <c r="G22" s="94" t="s">
        <v>2087</v>
      </c>
      <c r="H22" s="94"/>
      <c r="I22" s="120" t="s">
        <v>2160</v>
      </c>
      <c r="J22" s="120"/>
      <c r="K22" s="24"/>
      <c r="L22" s="71"/>
      <c r="M22" s="72"/>
      <c r="N22" s="73"/>
      <c r="O22" s="31" t="s">
        <v>2137</v>
      </c>
      <c r="P22" s="3">
        <v>1</v>
      </c>
      <c r="Q22" s="3">
        <v>7</v>
      </c>
      <c r="R22" s="3">
        <v>7</v>
      </c>
    </row>
    <row r="23" spans="1:18" x14ac:dyDescent="0.25">
      <c r="A23" s="25" t="s">
        <v>2068</v>
      </c>
      <c r="B23" s="20">
        <f>(9.4*$B$2)+246*($B$3*0.01)+462</f>
        <v>1626.4</v>
      </c>
      <c r="C23" s="20">
        <f>(15.6*$E$2)+266*($E$3*0.01)+299</f>
        <v>2077.1999999999998</v>
      </c>
      <c r="D23" s="23"/>
      <c r="E23" s="27" t="s">
        <v>2081</v>
      </c>
      <c r="F23" s="31" t="s">
        <v>2082</v>
      </c>
      <c r="G23" s="22" t="s">
        <v>2088</v>
      </c>
      <c r="H23" s="12">
        <v>1</v>
      </c>
      <c r="I23" s="44" t="s">
        <v>2152</v>
      </c>
      <c r="J23" s="3" t="s">
        <v>2156</v>
      </c>
      <c r="K23" s="23"/>
      <c r="L23" s="74" t="s">
        <v>2028</v>
      </c>
      <c r="M23" s="75"/>
      <c r="N23" s="76"/>
      <c r="O23" s="31" t="s">
        <v>2028</v>
      </c>
      <c r="P23" s="3">
        <v>20</v>
      </c>
      <c r="Q23" s="3">
        <v>9</v>
      </c>
      <c r="R23" s="3">
        <v>1</v>
      </c>
    </row>
    <row r="24" spans="1:18" x14ac:dyDescent="0.25">
      <c r="A24" s="25" t="s">
        <v>2070</v>
      </c>
      <c r="B24" s="20">
        <f>(10.4*$B$2)+615*($B$3*0.01)-282</f>
        <v>1554.8000000000002</v>
      </c>
      <c r="C24" s="20">
        <f>(14.4*$E$2)+313*($E$3*0.01)+113</f>
        <v>1869.1</v>
      </c>
      <c r="D24" s="23"/>
      <c r="E24" s="27" t="s">
        <v>2083</v>
      </c>
      <c r="F24" s="31" t="s">
        <v>2084</v>
      </c>
      <c r="G24" s="22" t="s">
        <v>2089</v>
      </c>
      <c r="H24" s="12">
        <v>1.2</v>
      </c>
      <c r="I24" s="44" t="s">
        <v>2153</v>
      </c>
      <c r="J24" s="3" t="s">
        <v>2157</v>
      </c>
      <c r="L24" s="53" t="s">
        <v>2032</v>
      </c>
      <c r="M24" s="54"/>
      <c r="N24" s="55"/>
      <c r="O24" s="31" t="s">
        <v>2134</v>
      </c>
      <c r="P24" s="3">
        <v>1</v>
      </c>
      <c r="Q24" s="3">
        <v>1</v>
      </c>
      <c r="R24" s="3">
        <v>12</v>
      </c>
    </row>
    <row r="25" spans="1:18" x14ac:dyDescent="0.25">
      <c r="A25" s="25" t="s">
        <v>2072</v>
      </c>
      <c r="B25" s="20">
        <f>(8.18*$B$2)+502*($B$3*0.01)-11.6</f>
        <v>1462.3600000000001</v>
      </c>
      <c r="C25" s="20">
        <f>(11.4*$E$2)+541*($E$3*0.01)-137</f>
        <v>1751.6999999999998</v>
      </c>
      <c r="E25" s="27" t="s">
        <v>2085</v>
      </c>
      <c r="F25" s="31" t="s">
        <v>2086</v>
      </c>
      <c r="G25" s="22" t="s">
        <v>2090</v>
      </c>
      <c r="H25" s="12">
        <v>1.5</v>
      </c>
      <c r="I25" s="44" t="s">
        <v>2154</v>
      </c>
      <c r="J25" s="3" t="s">
        <v>2158</v>
      </c>
      <c r="L25" s="56"/>
      <c r="M25" s="57"/>
      <c r="N25" s="58"/>
      <c r="O25" s="31" t="s">
        <v>2135</v>
      </c>
      <c r="P25" s="3">
        <v>2</v>
      </c>
      <c r="Q25" s="3">
        <v>1</v>
      </c>
      <c r="R25" s="3">
        <v>7</v>
      </c>
    </row>
    <row r="26" spans="1:18" x14ac:dyDescent="0.25">
      <c r="A26" s="25" t="s">
        <v>2074</v>
      </c>
      <c r="B26" s="20">
        <f>(8.52*$B$2)+421*($B$3*0.01)-10.7</f>
        <v>1361.54</v>
      </c>
      <c r="C26" s="20">
        <f>(11.4*$E$2)+541*($E$3*0.01)-256</f>
        <v>1632.6999999999998</v>
      </c>
      <c r="G26" s="22" t="s">
        <v>2077</v>
      </c>
      <c r="H26" s="3"/>
      <c r="I26" s="44" t="s">
        <v>2155</v>
      </c>
      <c r="J26" s="3" t="s">
        <v>2159</v>
      </c>
      <c r="L26" s="56"/>
      <c r="M26" s="57"/>
      <c r="N26" s="58"/>
      <c r="O26" s="31" t="s">
        <v>2138</v>
      </c>
      <c r="P26" s="3">
        <v>8</v>
      </c>
      <c r="Q26" s="3">
        <v>4</v>
      </c>
      <c r="R26" s="3">
        <v>10</v>
      </c>
    </row>
    <row r="27" spans="1:18" x14ac:dyDescent="0.25">
      <c r="L27" s="59"/>
      <c r="M27" s="60"/>
      <c r="N27" s="61"/>
      <c r="O27" s="31" t="s">
        <v>2139</v>
      </c>
      <c r="P27" s="3">
        <v>12</v>
      </c>
      <c r="Q27" s="3">
        <v>2</v>
      </c>
      <c r="R27" s="3">
        <v>7</v>
      </c>
    </row>
    <row r="28" spans="1:18" x14ac:dyDescent="0.25">
      <c r="A28" s="121" t="s">
        <v>2038</v>
      </c>
      <c r="B28" s="121"/>
      <c r="C28" s="121"/>
      <c r="L28" s="62" t="s">
        <v>2140</v>
      </c>
      <c r="M28" s="63"/>
      <c r="N28" s="64"/>
      <c r="O28" s="31" t="s">
        <v>2140</v>
      </c>
      <c r="P28" s="3">
        <v>10</v>
      </c>
      <c r="Q28" s="3">
        <v>0</v>
      </c>
      <c r="R28" s="3">
        <v>0</v>
      </c>
    </row>
    <row r="29" spans="1:18" x14ac:dyDescent="0.25">
      <c r="A29" s="3"/>
      <c r="B29" s="21" t="s">
        <v>2046</v>
      </c>
      <c r="C29" s="21" t="s">
        <v>2047</v>
      </c>
    </row>
    <row r="30" spans="1:18" x14ac:dyDescent="0.25">
      <c r="A30" s="25" t="s">
        <v>2069</v>
      </c>
      <c r="B30" s="20">
        <f>(61*$B$2)-51</f>
        <v>4951</v>
      </c>
      <c r="C30" s="20">
        <f>(60.9*$E$2)-54</f>
        <v>5122.5</v>
      </c>
    </row>
    <row r="31" spans="1:18" x14ac:dyDescent="0.25">
      <c r="A31" s="25" t="s">
        <v>2071</v>
      </c>
      <c r="B31" s="3">
        <f>(22.5*$B$2)+499</f>
        <v>2344</v>
      </c>
      <c r="C31" s="3">
        <f>(22.7*$E$2)+495</f>
        <v>2424.5</v>
      </c>
    </row>
    <row r="32" spans="1:18" x14ac:dyDescent="0.25">
      <c r="A32" s="25" t="s">
        <v>2073</v>
      </c>
      <c r="B32" s="3">
        <f>(12.2*$B$2)+746</f>
        <v>1746.4</v>
      </c>
      <c r="C32" s="3">
        <f>(17.5*$E$2)+651</f>
        <v>2138.5</v>
      </c>
    </row>
    <row r="33" spans="1:3" x14ac:dyDescent="0.25">
      <c r="A33" s="25" t="s">
        <v>2075</v>
      </c>
      <c r="B33" s="20">
        <f>(14.7*$B$2)+496</f>
        <v>1701.3999999999999</v>
      </c>
      <c r="C33" s="3">
        <f>(15.3*$E$2)+679</f>
        <v>1979.5</v>
      </c>
    </row>
    <row r="34" spans="1:3" x14ac:dyDescent="0.25">
      <c r="A34" s="25" t="s">
        <v>2076</v>
      </c>
      <c r="B34" s="3">
        <f>(8.7*$B$2)+829</f>
        <v>1542.4</v>
      </c>
      <c r="C34" s="3">
        <f>(11.6*$E$2)+879</f>
        <v>1865</v>
      </c>
    </row>
    <row r="35" spans="1:3" x14ac:dyDescent="0.25">
      <c r="A35" s="25" t="s">
        <v>2074</v>
      </c>
      <c r="B35" s="3">
        <f>(10.5*$B$2)+596</f>
        <v>1457</v>
      </c>
      <c r="C35" s="20">
        <f>(13.5*$E$2)+487</f>
        <v>1634.5</v>
      </c>
    </row>
    <row r="38" spans="1:3" x14ac:dyDescent="0.25">
      <c r="A38" s="28" t="s">
        <v>2088</v>
      </c>
      <c r="B38" s="28" t="s">
        <v>2089</v>
      </c>
      <c r="C38" s="28" t="s">
        <v>2090</v>
      </c>
    </row>
    <row r="39" spans="1:3" x14ac:dyDescent="0.25">
      <c r="A39" s="29">
        <v>0.8</v>
      </c>
      <c r="B39" s="29">
        <v>1</v>
      </c>
      <c r="C39" s="29">
        <v>1.3</v>
      </c>
    </row>
    <row r="40" spans="1:3" x14ac:dyDescent="0.25">
      <c r="A40" s="3">
        <v>0.9</v>
      </c>
      <c r="B40" s="30">
        <v>1.1000000000000001</v>
      </c>
      <c r="C40" s="3">
        <v>1.4</v>
      </c>
    </row>
    <row r="41" spans="1:3" x14ac:dyDescent="0.25">
      <c r="A41" s="3">
        <v>1</v>
      </c>
      <c r="B41" s="3">
        <v>1.2</v>
      </c>
      <c r="C41" s="3">
        <v>1.5</v>
      </c>
    </row>
    <row r="42" spans="1:3" x14ac:dyDescent="0.25">
      <c r="C42" s="3">
        <v>1.6</v>
      </c>
    </row>
    <row r="43" spans="1:3" x14ac:dyDescent="0.25">
      <c r="C43" s="3">
        <v>1.7</v>
      </c>
    </row>
    <row r="44" spans="1:3" x14ac:dyDescent="0.25">
      <c r="C44" s="3">
        <v>1.8</v>
      </c>
    </row>
    <row r="45" spans="1:3" x14ac:dyDescent="0.25">
      <c r="C45" s="3">
        <v>1.9</v>
      </c>
    </row>
    <row r="46" spans="1:3" x14ac:dyDescent="0.25">
      <c r="C46" s="3">
        <v>2</v>
      </c>
    </row>
    <row r="49" spans="1:2" x14ac:dyDescent="0.25">
      <c r="A49" s="3" t="s">
        <v>2092</v>
      </c>
      <c r="B49" s="3" t="s">
        <v>2103</v>
      </c>
    </row>
    <row r="50" spans="1:2" x14ac:dyDescent="0.25">
      <c r="A50" s="34">
        <v>0.05</v>
      </c>
      <c r="B50" s="3">
        <v>3</v>
      </c>
    </row>
    <row r="51" spans="1:2" x14ac:dyDescent="0.25">
      <c r="A51" s="34">
        <v>0.1</v>
      </c>
      <c r="B51" s="3">
        <v>4</v>
      </c>
    </row>
    <row r="52" spans="1:2" x14ac:dyDescent="0.25">
      <c r="A52" s="34">
        <v>0.15</v>
      </c>
      <c r="B52" s="3">
        <v>5</v>
      </c>
    </row>
    <row r="53" spans="1:2" x14ac:dyDescent="0.25">
      <c r="A53" s="34">
        <v>0.2</v>
      </c>
      <c r="B53" s="3">
        <v>6</v>
      </c>
    </row>
    <row r="54" spans="1:2" x14ac:dyDescent="0.25">
      <c r="A54" s="34">
        <v>0.25</v>
      </c>
    </row>
    <row r="55" spans="1:2" x14ac:dyDescent="0.25">
      <c r="A55" s="34">
        <v>0.3</v>
      </c>
    </row>
    <row r="56" spans="1:2" x14ac:dyDescent="0.25">
      <c r="A56" s="34">
        <v>0.35</v>
      </c>
    </row>
    <row r="57" spans="1:2" x14ac:dyDescent="0.25">
      <c r="A57" s="34">
        <v>0.4</v>
      </c>
    </row>
  </sheetData>
  <mergeCells count="22">
    <mergeCell ref="A28:C28"/>
    <mergeCell ref="A21:C21"/>
    <mergeCell ref="A7:C7"/>
    <mergeCell ref="G2:J2"/>
    <mergeCell ref="A1:B1"/>
    <mergeCell ref="L12:N13"/>
    <mergeCell ref="D1:E1"/>
    <mergeCell ref="E22:F22"/>
    <mergeCell ref="G22:H22"/>
    <mergeCell ref="L4:R4"/>
    <mergeCell ref="L5:O5"/>
    <mergeCell ref="L6:N8"/>
    <mergeCell ref="L9:N11"/>
    <mergeCell ref="E9:F9"/>
    <mergeCell ref="H9:I9"/>
    <mergeCell ref="H13:J13"/>
    <mergeCell ref="I22:J22"/>
    <mergeCell ref="L24:N27"/>
    <mergeCell ref="L28:N28"/>
    <mergeCell ref="L19:N22"/>
    <mergeCell ref="L23:N23"/>
    <mergeCell ref="L14:N18"/>
  </mergeCells>
  <conditionalFormatting sqref="O6:O14 O27:O28">
    <cfRule type="duplicateValues" dxfId="36" priority="7"/>
  </conditionalFormatting>
  <dataValidations count="4">
    <dataValidation type="list" allowBlank="1" showInputMessage="1" showErrorMessage="1" sqref="F15" xr:uid="{27B4FC87-5E2D-4A1E-8D58-FD2944B3CA5C}">
      <formula1>$F$10:$F$13</formula1>
    </dataValidation>
    <dataValidation type="list" allowBlank="1" showInputMessage="1" showErrorMessage="1" sqref="H25" xr:uid="{8CB21813-949B-4D59-9D4E-7DF58D3F268E}">
      <formula1>$C$39:$C$46</formula1>
    </dataValidation>
    <dataValidation type="list" allowBlank="1" showInputMessage="1" showErrorMessage="1" sqref="H24" xr:uid="{E82C90C7-4DC2-44EE-983C-B4C10962687A}">
      <formula1>$B$39:$B$41</formula1>
    </dataValidation>
    <dataValidation type="list" allowBlank="1" showInputMessage="1" showErrorMessage="1" sqref="H23" xr:uid="{C787249C-E68C-4103-B24A-A41C9200E4A1}">
      <formula1>$A$39:$A$41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B7E-217D-40D2-BF4F-006AF5269C69}">
  <dimension ref="A1:W1015"/>
  <sheetViews>
    <sheetView zoomScale="84" zoomScaleNormal="84" workbookViewId="0">
      <pane ySplit="1" topLeftCell="A438" activePane="bottomLeft" state="frozen"/>
      <selection pane="bottomLeft"/>
    </sheetView>
  </sheetViews>
  <sheetFormatPr baseColWidth="10" defaultRowHeight="15" x14ac:dyDescent="0.25"/>
  <cols>
    <col min="1" max="1" width="26.140625" bestFit="1" customWidth="1"/>
    <col min="2" max="2" width="93.5703125" bestFit="1" customWidth="1"/>
    <col min="4" max="4" width="81.5703125" bestFit="1" customWidth="1"/>
    <col min="5" max="5" width="15.5703125" bestFit="1" customWidth="1"/>
    <col min="6" max="6" width="8.42578125" bestFit="1" customWidth="1"/>
    <col min="7" max="7" width="10.7109375" bestFit="1" customWidth="1"/>
    <col min="8" max="8" width="13.7109375" bestFit="1" customWidth="1"/>
    <col min="9" max="12" width="6" bestFit="1" customWidth="1"/>
    <col min="13" max="13" width="9.85546875" bestFit="1" customWidth="1"/>
    <col min="14" max="14" width="7" bestFit="1" customWidth="1"/>
    <col min="15" max="15" width="7.7109375" bestFit="1" customWidth="1"/>
    <col min="16" max="16" width="6.42578125" bestFit="1" customWidth="1"/>
    <col min="17" max="18" width="8" bestFit="1" customWidth="1"/>
    <col min="19" max="19" width="7" bestFit="1" customWidth="1"/>
    <col min="20" max="21" width="10.5703125" bestFit="1" customWidth="1"/>
    <col min="22" max="22" width="7.5703125" bestFit="1" customWidth="1"/>
    <col min="23" max="23" width="12.5703125" bestFit="1" customWidth="1"/>
  </cols>
  <sheetData>
    <row r="1" spans="1:23" s="1" customFormat="1" ht="36.75" customHeight="1" x14ac:dyDescent="0.25">
      <c r="A1" s="2" t="s">
        <v>402</v>
      </c>
      <c r="B1" s="2" t="s">
        <v>0</v>
      </c>
      <c r="C1" s="2">
        <v>100</v>
      </c>
      <c r="D1" s="2" t="s">
        <v>1</v>
      </c>
      <c r="E1" s="2" t="s">
        <v>2006</v>
      </c>
      <c r="F1" s="2" t="s">
        <v>2007</v>
      </c>
      <c r="G1" s="2" t="s">
        <v>2008</v>
      </c>
      <c r="H1" s="2" t="s">
        <v>2009</v>
      </c>
      <c r="I1" s="2" t="s">
        <v>2010</v>
      </c>
      <c r="J1" s="2" t="s">
        <v>2011</v>
      </c>
      <c r="K1" s="2" t="s">
        <v>2012</v>
      </c>
      <c r="L1" s="2" t="s">
        <v>2013</v>
      </c>
      <c r="M1" s="2" t="s">
        <v>2014</v>
      </c>
      <c r="N1" s="2" t="s">
        <v>2015</v>
      </c>
      <c r="O1" s="2" t="s">
        <v>2016</v>
      </c>
      <c r="P1" s="2" t="s">
        <v>2017</v>
      </c>
      <c r="Q1" s="2" t="s">
        <v>2018</v>
      </c>
      <c r="R1" s="2" t="s">
        <v>2019</v>
      </c>
      <c r="S1" s="2" t="s">
        <v>2020</v>
      </c>
      <c r="T1" s="2" t="s">
        <v>2021</v>
      </c>
      <c r="U1" s="2" t="s">
        <v>2022</v>
      </c>
      <c r="V1" s="2" t="s">
        <v>2023</v>
      </c>
      <c r="W1" s="2" t="s">
        <v>2024</v>
      </c>
    </row>
    <row r="2" spans="1:2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25">
      <c r="A3" s="3" t="s">
        <v>2025</v>
      </c>
      <c r="B3" s="3" t="s">
        <v>2</v>
      </c>
      <c r="C3" s="3"/>
      <c r="D3" s="3" t="s">
        <v>3</v>
      </c>
      <c r="E3" s="3">
        <v>381.07</v>
      </c>
      <c r="F3" s="3">
        <v>14.45</v>
      </c>
      <c r="G3" s="3">
        <v>6.51</v>
      </c>
      <c r="H3" s="3">
        <v>66.17</v>
      </c>
      <c r="I3" s="3">
        <v>9.3000000000000007</v>
      </c>
      <c r="J3" s="3">
        <v>1.66</v>
      </c>
      <c r="K3" s="3">
        <v>1.43</v>
      </c>
      <c r="L3" s="3">
        <v>2.89</v>
      </c>
      <c r="M3" s="3">
        <v>0</v>
      </c>
      <c r="N3" s="3">
        <v>153</v>
      </c>
      <c r="O3" s="3">
        <v>455</v>
      </c>
      <c r="P3" s="3">
        <v>7.59</v>
      </c>
      <c r="Q3" s="3">
        <v>366</v>
      </c>
      <c r="R3" s="3">
        <v>21</v>
      </c>
      <c r="S3" s="3">
        <v>3.18</v>
      </c>
      <c r="T3" s="3">
        <v>4</v>
      </c>
      <c r="U3" s="3">
        <v>0</v>
      </c>
      <c r="V3" s="3">
        <v>49</v>
      </c>
      <c r="W3" s="3">
        <v>0</v>
      </c>
    </row>
    <row r="4" spans="1:23" x14ac:dyDescent="0.25">
      <c r="A4" s="3" t="s">
        <v>2025</v>
      </c>
      <c r="B4" s="3" t="s">
        <v>4</v>
      </c>
      <c r="C4" s="3"/>
      <c r="D4" s="3" t="s">
        <v>5</v>
      </c>
      <c r="E4" s="3">
        <v>125.96</v>
      </c>
      <c r="F4" s="3">
        <v>2.69</v>
      </c>
      <c r="G4" s="3">
        <v>0.28000000000000003</v>
      </c>
      <c r="H4" s="3">
        <v>28.17</v>
      </c>
      <c r="I4" s="3">
        <v>0.4</v>
      </c>
      <c r="J4" s="3">
        <v>0.08</v>
      </c>
      <c r="K4" s="3">
        <v>0.09</v>
      </c>
      <c r="L4" s="3">
        <v>0.08</v>
      </c>
      <c r="M4" s="3">
        <v>0</v>
      </c>
      <c r="N4" s="3">
        <v>10</v>
      </c>
      <c r="O4" s="3">
        <v>43</v>
      </c>
      <c r="P4" s="3">
        <v>0.2</v>
      </c>
      <c r="Q4" s="3">
        <v>35</v>
      </c>
      <c r="R4" s="3">
        <v>382</v>
      </c>
      <c r="S4" s="3">
        <v>0.49</v>
      </c>
      <c r="T4" s="3">
        <v>0</v>
      </c>
      <c r="U4" s="3">
        <v>0</v>
      </c>
      <c r="V4" s="3">
        <v>3</v>
      </c>
      <c r="W4" s="3">
        <v>0</v>
      </c>
    </row>
    <row r="5" spans="1:23" x14ac:dyDescent="0.25">
      <c r="A5" s="3" t="s">
        <v>2025</v>
      </c>
      <c r="B5" s="3" t="s">
        <v>6</v>
      </c>
      <c r="C5" s="3"/>
      <c r="D5" s="3" t="s">
        <v>7</v>
      </c>
      <c r="E5" s="3">
        <v>347.28</v>
      </c>
      <c r="F5" s="3">
        <v>6.5</v>
      </c>
      <c r="G5" s="3">
        <v>0.52</v>
      </c>
      <c r="H5" s="3">
        <v>79.150000000000006</v>
      </c>
      <c r="I5" s="3"/>
      <c r="J5" s="3">
        <v>0.14000000000000001</v>
      </c>
      <c r="K5" s="3">
        <v>0.16</v>
      </c>
      <c r="L5" s="3">
        <v>0.14000000000000001</v>
      </c>
      <c r="M5" s="3">
        <v>0</v>
      </c>
      <c r="N5" s="3">
        <v>3</v>
      </c>
      <c r="O5" s="3">
        <v>95</v>
      </c>
      <c r="P5" s="3">
        <v>0.8</v>
      </c>
      <c r="Q5" s="3">
        <v>76</v>
      </c>
      <c r="R5" s="3">
        <v>1</v>
      </c>
      <c r="S5" s="3">
        <v>1.1000000000000001</v>
      </c>
      <c r="T5" s="3">
        <v>0</v>
      </c>
      <c r="U5" s="3"/>
      <c r="V5" s="3">
        <v>6</v>
      </c>
      <c r="W5" s="3">
        <v>0</v>
      </c>
    </row>
    <row r="6" spans="1:23" x14ac:dyDescent="0.25">
      <c r="A6" s="3" t="s">
        <v>2025</v>
      </c>
      <c r="B6" s="3" t="s">
        <v>8</v>
      </c>
      <c r="C6" s="3"/>
      <c r="D6" s="3" t="s">
        <v>9</v>
      </c>
      <c r="E6" s="3">
        <v>126.07</v>
      </c>
      <c r="F6" s="3">
        <v>2.36</v>
      </c>
      <c r="G6" s="3">
        <v>0.19</v>
      </c>
      <c r="H6" s="3">
        <v>28.73</v>
      </c>
      <c r="I6" s="3"/>
      <c r="J6" s="3">
        <v>0.05</v>
      </c>
      <c r="K6" s="3">
        <v>0.06</v>
      </c>
      <c r="L6" s="3">
        <v>0.05</v>
      </c>
      <c r="M6" s="3">
        <v>0</v>
      </c>
      <c r="N6" s="3">
        <v>1</v>
      </c>
      <c r="O6" s="3">
        <v>33</v>
      </c>
      <c r="P6" s="3">
        <v>0.2</v>
      </c>
      <c r="Q6" s="3">
        <v>26</v>
      </c>
      <c r="R6" s="3">
        <v>0</v>
      </c>
      <c r="S6" s="3">
        <v>0.4</v>
      </c>
      <c r="T6" s="3">
        <v>0</v>
      </c>
      <c r="U6" s="3"/>
      <c r="V6" s="3">
        <v>2</v>
      </c>
      <c r="W6" s="3">
        <v>0</v>
      </c>
    </row>
    <row r="7" spans="1:23" x14ac:dyDescent="0.25">
      <c r="A7" s="3" t="s">
        <v>2025</v>
      </c>
      <c r="B7" s="3" t="s">
        <v>10</v>
      </c>
      <c r="C7" s="3"/>
      <c r="D7" s="3" t="s">
        <v>11</v>
      </c>
      <c r="E7" s="3">
        <v>354.26</v>
      </c>
      <c r="F7" s="3">
        <v>7.13</v>
      </c>
      <c r="G7" s="3">
        <v>0.66</v>
      </c>
      <c r="H7" s="3">
        <v>79.95</v>
      </c>
      <c r="I7" s="3">
        <v>1.3</v>
      </c>
      <c r="J7" s="3">
        <v>0.18</v>
      </c>
      <c r="K7" s="3">
        <v>0.21</v>
      </c>
      <c r="L7" s="3">
        <v>0.18</v>
      </c>
      <c r="M7" s="3">
        <v>0</v>
      </c>
      <c r="N7" s="3">
        <v>28</v>
      </c>
      <c r="O7" s="3">
        <v>115</v>
      </c>
      <c r="P7" s="3">
        <v>0.8</v>
      </c>
      <c r="Q7" s="3">
        <v>115</v>
      </c>
      <c r="R7" s="3">
        <v>5</v>
      </c>
      <c r="S7" s="3">
        <v>1.0900000000000001</v>
      </c>
      <c r="T7" s="3">
        <v>0</v>
      </c>
      <c r="U7" s="3">
        <v>0</v>
      </c>
      <c r="V7" s="3">
        <v>8</v>
      </c>
      <c r="W7" s="3">
        <v>0</v>
      </c>
    </row>
    <row r="8" spans="1:23" x14ac:dyDescent="0.25">
      <c r="A8" s="3" t="s">
        <v>2025</v>
      </c>
      <c r="B8" s="3" t="s">
        <v>12</v>
      </c>
      <c r="C8" s="3"/>
      <c r="D8" s="3" t="s">
        <v>13</v>
      </c>
      <c r="E8" s="3">
        <v>119.17</v>
      </c>
      <c r="F8" s="3">
        <v>2.91</v>
      </c>
      <c r="G8" s="3">
        <v>0.37</v>
      </c>
      <c r="H8" s="3">
        <v>26.05</v>
      </c>
      <c r="I8" s="3">
        <v>0.9</v>
      </c>
      <c r="J8" s="3">
        <v>7.0000000000000007E-2</v>
      </c>
      <c r="K8" s="3">
        <v>7.0000000000000007E-2</v>
      </c>
      <c r="L8" s="3">
        <v>0.09</v>
      </c>
      <c r="M8" s="3">
        <v>0</v>
      </c>
      <c r="N8" s="3">
        <v>19</v>
      </c>
      <c r="O8" s="3">
        <v>55</v>
      </c>
      <c r="P8" s="3">
        <v>0.24</v>
      </c>
      <c r="Q8" s="3">
        <v>56</v>
      </c>
      <c r="R8" s="3">
        <v>2</v>
      </c>
      <c r="S8" s="3">
        <v>0.37</v>
      </c>
      <c r="T8" s="3">
        <v>0</v>
      </c>
      <c r="U8" s="3"/>
      <c r="V8" s="3">
        <v>3</v>
      </c>
      <c r="W8" s="3">
        <v>0</v>
      </c>
    </row>
    <row r="9" spans="1:23" x14ac:dyDescent="0.25">
      <c r="A9" s="3" t="s">
        <v>2025</v>
      </c>
      <c r="B9" s="3" t="s">
        <v>14</v>
      </c>
      <c r="C9" s="3"/>
      <c r="D9" s="3" t="s">
        <v>15</v>
      </c>
      <c r="E9" s="3">
        <v>362.87</v>
      </c>
      <c r="F9" s="3">
        <v>7.51</v>
      </c>
      <c r="G9" s="3">
        <v>1.03</v>
      </c>
      <c r="H9" s="3">
        <v>80.89</v>
      </c>
      <c r="I9" s="3">
        <v>1.8</v>
      </c>
      <c r="J9" s="3">
        <v>0.28999999999999998</v>
      </c>
      <c r="K9" s="3">
        <v>0.26</v>
      </c>
      <c r="L9" s="3">
        <v>0.32</v>
      </c>
      <c r="M9" s="3">
        <v>0</v>
      </c>
      <c r="N9" s="3">
        <v>71</v>
      </c>
      <c r="O9" s="3">
        <v>153</v>
      </c>
      <c r="P9" s="3">
        <v>0.74</v>
      </c>
      <c r="Q9" s="3">
        <v>174</v>
      </c>
      <c r="R9" s="3">
        <v>2</v>
      </c>
      <c r="S9" s="3">
        <v>1.02</v>
      </c>
      <c r="T9" s="3">
        <v>0</v>
      </c>
      <c r="U9" s="3">
        <v>0</v>
      </c>
      <c r="V9" s="3">
        <v>8</v>
      </c>
      <c r="W9" s="3">
        <v>0</v>
      </c>
    </row>
    <row r="10" spans="1:23" x14ac:dyDescent="0.25">
      <c r="A10" s="3" t="s">
        <v>2025</v>
      </c>
      <c r="B10" s="3" t="s">
        <v>16</v>
      </c>
      <c r="C10" s="3"/>
      <c r="D10" s="3" t="s">
        <v>17</v>
      </c>
      <c r="E10" s="3">
        <v>125.77</v>
      </c>
      <c r="F10" s="3">
        <v>2.38</v>
      </c>
      <c r="G10" s="3">
        <v>0.21</v>
      </c>
      <c r="H10" s="3">
        <v>28.59</v>
      </c>
      <c r="I10" s="3"/>
      <c r="J10" s="3">
        <v>0.06</v>
      </c>
      <c r="K10" s="3">
        <v>7.0000000000000007E-2</v>
      </c>
      <c r="L10" s="3">
        <v>0.06</v>
      </c>
      <c r="M10" s="3">
        <v>0</v>
      </c>
      <c r="N10" s="3">
        <v>3</v>
      </c>
      <c r="O10" s="3">
        <v>37</v>
      </c>
      <c r="P10" s="3">
        <v>0.2</v>
      </c>
      <c r="Q10" s="3">
        <v>29</v>
      </c>
      <c r="R10" s="3">
        <v>0</v>
      </c>
      <c r="S10" s="3">
        <v>0.42</v>
      </c>
      <c r="T10" s="3">
        <v>0</v>
      </c>
      <c r="U10" s="3"/>
      <c r="V10" s="3">
        <v>2</v>
      </c>
      <c r="W10" s="3">
        <v>0</v>
      </c>
    </row>
    <row r="11" spans="1:23" x14ac:dyDescent="0.25">
      <c r="A11" s="3" t="s">
        <v>2025</v>
      </c>
      <c r="B11" s="3" t="s">
        <v>18</v>
      </c>
      <c r="C11" s="3"/>
      <c r="D11" s="3" t="s">
        <v>19</v>
      </c>
      <c r="E11" s="3">
        <v>349.02</v>
      </c>
      <c r="F11" s="3">
        <v>6.61</v>
      </c>
      <c r="G11" s="3">
        <v>0.57999999999999996</v>
      </c>
      <c r="H11" s="3">
        <v>79.34</v>
      </c>
      <c r="I11" s="3"/>
      <c r="J11" s="3">
        <v>0.16</v>
      </c>
      <c r="K11" s="3">
        <v>0.18</v>
      </c>
      <c r="L11" s="3">
        <v>0.16</v>
      </c>
      <c r="M11" s="3">
        <v>0</v>
      </c>
      <c r="N11" s="3">
        <v>9</v>
      </c>
      <c r="O11" s="3">
        <v>108</v>
      </c>
      <c r="P11" s="3">
        <v>0.8</v>
      </c>
      <c r="Q11" s="3">
        <v>86</v>
      </c>
      <c r="R11" s="3">
        <v>1</v>
      </c>
      <c r="S11" s="3">
        <v>1.1599999999999999</v>
      </c>
      <c r="T11" s="3">
        <v>0</v>
      </c>
      <c r="U11" s="3"/>
      <c r="V11" s="3">
        <v>9</v>
      </c>
      <c r="W11" s="3">
        <v>0</v>
      </c>
    </row>
    <row r="12" spans="1:23" x14ac:dyDescent="0.25">
      <c r="A12" s="3" t="s">
        <v>2025</v>
      </c>
      <c r="B12" s="3" t="s">
        <v>20</v>
      </c>
      <c r="C12" s="3"/>
      <c r="D12" s="3" t="s">
        <v>21</v>
      </c>
      <c r="E12" s="3">
        <v>369.02</v>
      </c>
      <c r="F12" s="3">
        <v>7.82</v>
      </c>
      <c r="G12" s="3">
        <v>0.94</v>
      </c>
      <c r="H12" s="3">
        <v>82.32</v>
      </c>
      <c r="I12" s="3">
        <v>1.9</v>
      </c>
      <c r="J12" s="3">
        <v>0.15</v>
      </c>
      <c r="K12" s="3">
        <v>0.14000000000000001</v>
      </c>
      <c r="L12" s="3">
        <v>0.22</v>
      </c>
      <c r="M12" s="3">
        <v>0</v>
      </c>
      <c r="N12" s="3">
        <v>22</v>
      </c>
      <c r="O12" s="3">
        <v>118</v>
      </c>
      <c r="P12" s="3">
        <v>6.3</v>
      </c>
      <c r="Q12" s="3">
        <v>27</v>
      </c>
      <c r="R12" s="3">
        <v>10</v>
      </c>
      <c r="S12" s="3">
        <v>1.43</v>
      </c>
      <c r="T12" s="3">
        <v>0</v>
      </c>
      <c r="U12" s="3">
        <v>0</v>
      </c>
      <c r="V12" s="3">
        <v>466</v>
      </c>
      <c r="W12" s="3">
        <v>0</v>
      </c>
    </row>
    <row r="13" spans="1:23" x14ac:dyDescent="0.25">
      <c r="A13" s="3" t="s">
        <v>2025</v>
      </c>
      <c r="B13" s="3" t="s">
        <v>22</v>
      </c>
      <c r="C13" s="3"/>
      <c r="D13" s="3" t="s">
        <v>23</v>
      </c>
      <c r="E13" s="3">
        <v>122.01</v>
      </c>
      <c r="F13" s="3">
        <v>2.74</v>
      </c>
      <c r="G13" s="3">
        <v>0.97</v>
      </c>
      <c r="H13" s="3">
        <v>25.58</v>
      </c>
      <c r="I13" s="3">
        <v>1.6</v>
      </c>
      <c r="J13" s="3">
        <v>0.26</v>
      </c>
      <c r="K13" s="3">
        <v>0.37</v>
      </c>
      <c r="L13" s="3">
        <v>0.37</v>
      </c>
      <c r="M13" s="3">
        <v>0</v>
      </c>
      <c r="N13" s="3">
        <v>3</v>
      </c>
      <c r="O13" s="3">
        <v>103</v>
      </c>
      <c r="P13" s="3">
        <v>0.56000000000000005</v>
      </c>
      <c r="Q13" s="3">
        <v>86</v>
      </c>
      <c r="R13" s="3">
        <v>4</v>
      </c>
      <c r="S13" s="3">
        <v>0.71</v>
      </c>
      <c r="T13" s="3">
        <v>0</v>
      </c>
      <c r="U13" s="3">
        <v>0</v>
      </c>
      <c r="V13" s="3">
        <v>9</v>
      </c>
      <c r="W13" s="3">
        <v>0</v>
      </c>
    </row>
    <row r="14" spans="1:23" x14ac:dyDescent="0.25">
      <c r="A14" s="3" t="s">
        <v>2025</v>
      </c>
      <c r="B14" s="3" t="s">
        <v>24</v>
      </c>
      <c r="C14" s="3"/>
      <c r="D14" s="3" t="s">
        <v>25</v>
      </c>
      <c r="E14" s="3">
        <v>363.96</v>
      </c>
      <c r="F14" s="3">
        <v>7.54</v>
      </c>
      <c r="G14" s="3">
        <v>3.2</v>
      </c>
      <c r="H14" s="3">
        <v>76.25</v>
      </c>
      <c r="I14" s="3">
        <v>3.6</v>
      </c>
      <c r="J14" s="3">
        <v>0.59</v>
      </c>
      <c r="K14" s="3">
        <v>1.05</v>
      </c>
      <c r="L14" s="3">
        <v>1</v>
      </c>
      <c r="M14" s="3">
        <v>0</v>
      </c>
      <c r="N14" s="3">
        <v>9</v>
      </c>
      <c r="O14" s="3">
        <v>311</v>
      </c>
      <c r="P14" s="3">
        <v>1.29</v>
      </c>
      <c r="Q14" s="3">
        <v>250</v>
      </c>
      <c r="R14" s="3">
        <v>5</v>
      </c>
      <c r="S14" s="3">
        <v>2.13</v>
      </c>
      <c r="T14" s="3">
        <v>0</v>
      </c>
      <c r="U14" s="3">
        <v>0</v>
      </c>
      <c r="V14" s="3">
        <v>23</v>
      </c>
      <c r="W14" s="3">
        <v>0</v>
      </c>
    </row>
    <row r="15" spans="1:23" x14ac:dyDescent="0.25">
      <c r="A15" s="3" t="s">
        <v>2025</v>
      </c>
      <c r="B15" s="3" t="s">
        <v>26</v>
      </c>
      <c r="C15" s="3"/>
      <c r="D15" s="3" t="s">
        <v>27</v>
      </c>
      <c r="E15" s="3">
        <v>110.79</v>
      </c>
      <c r="F15" s="3">
        <v>2.3199999999999998</v>
      </c>
      <c r="G15" s="3">
        <v>0.83</v>
      </c>
      <c r="H15" s="3">
        <v>23.51</v>
      </c>
      <c r="I15" s="3">
        <v>1.8</v>
      </c>
      <c r="J15" s="3">
        <v>0.17</v>
      </c>
      <c r="K15" s="3">
        <v>0.3</v>
      </c>
      <c r="L15" s="3">
        <v>0.3</v>
      </c>
      <c r="M15" s="3">
        <v>0</v>
      </c>
      <c r="N15" s="3">
        <v>10</v>
      </c>
      <c r="O15" s="3">
        <v>77</v>
      </c>
      <c r="P15" s="3">
        <v>0.53</v>
      </c>
      <c r="Q15" s="3">
        <v>79</v>
      </c>
      <c r="R15" s="3">
        <v>1</v>
      </c>
      <c r="S15" s="3">
        <v>0.62</v>
      </c>
      <c r="T15" s="3">
        <v>0</v>
      </c>
      <c r="U15" s="3">
        <v>0</v>
      </c>
      <c r="V15" s="3">
        <v>4</v>
      </c>
      <c r="W15" s="3">
        <v>0</v>
      </c>
    </row>
    <row r="16" spans="1:23" x14ac:dyDescent="0.25">
      <c r="A16" s="3" t="s">
        <v>2025</v>
      </c>
      <c r="B16" s="3" t="s">
        <v>28</v>
      </c>
      <c r="C16" s="3"/>
      <c r="D16" s="3" t="s">
        <v>29</v>
      </c>
      <c r="E16" s="3">
        <v>358.8</v>
      </c>
      <c r="F16" s="3">
        <v>7.5</v>
      </c>
      <c r="G16" s="3">
        <v>2.68</v>
      </c>
      <c r="H16" s="3">
        <v>76.17</v>
      </c>
      <c r="I16" s="3">
        <v>3.4</v>
      </c>
      <c r="J16" s="3">
        <v>0.54</v>
      </c>
      <c r="K16" s="3">
        <v>0.97</v>
      </c>
      <c r="L16" s="3">
        <v>0.96</v>
      </c>
      <c r="M16" s="3">
        <v>0</v>
      </c>
      <c r="N16" s="3">
        <v>33</v>
      </c>
      <c r="O16" s="3">
        <v>264</v>
      </c>
      <c r="P16" s="3">
        <v>1.8</v>
      </c>
      <c r="Q16" s="3">
        <v>268</v>
      </c>
      <c r="R16" s="3">
        <v>4</v>
      </c>
      <c r="S16" s="3">
        <v>2.02</v>
      </c>
      <c r="T16" s="3">
        <v>0</v>
      </c>
      <c r="U16" s="3">
        <v>0</v>
      </c>
      <c r="V16" s="3">
        <v>20</v>
      </c>
      <c r="W16" s="3">
        <v>0</v>
      </c>
    </row>
    <row r="17" spans="1:23" x14ac:dyDescent="0.25">
      <c r="A17" s="3" t="s">
        <v>2025</v>
      </c>
      <c r="B17" s="3" t="s">
        <v>30</v>
      </c>
      <c r="C17" s="3"/>
      <c r="D17" s="3" t="s">
        <v>31</v>
      </c>
      <c r="E17" s="3">
        <v>369.02</v>
      </c>
      <c r="F17" s="3">
        <v>7.82</v>
      </c>
      <c r="G17" s="3">
        <v>0.94</v>
      </c>
      <c r="H17" s="3">
        <v>82.32</v>
      </c>
      <c r="I17" s="3">
        <v>1.9</v>
      </c>
      <c r="J17" s="3">
        <v>0.15</v>
      </c>
      <c r="K17" s="3">
        <v>0.14000000000000001</v>
      </c>
      <c r="L17" s="3">
        <v>0.22</v>
      </c>
      <c r="M17" s="3">
        <v>0</v>
      </c>
      <c r="N17" s="3">
        <v>22</v>
      </c>
      <c r="O17" s="3">
        <v>118</v>
      </c>
      <c r="P17" s="3">
        <v>6.3</v>
      </c>
      <c r="Q17" s="3">
        <v>27</v>
      </c>
      <c r="R17" s="3">
        <v>10</v>
      </c>
      <c r="S17" s="3">
        <v>1.43</v>
      </c>
      <c r="T17" s="3">
        <v>0</v>
      </c>
      <c r="U17" s="3">
        <v>0</v>
      </c>
      <c r="V17" s="3">
        <v>275</v>
      </c>
      <c r="W17" s="3">
        <v>0</v>
      </c>
    </row>
    <row r="18" spans="1:23" x14ac:dyDescent="0.25">
      <c r="A18" s="3" t="s">
        <v>2025</v>
      </c>
      <c r="B18" s="3" t="s">
        <v>32</v>
      </c>
      <c r="C18" s="3"/>
      <c r="D18" s="3" t="s">
        <v>33</v>
      </c>
      <c r="E18" s="3">
        <v>354.26</v>
      </c>
      <c r="F18" s="3">
        <v>7.13</v>
      </c>
      <c r="G18" s="3">
        <v>0.66</v>
      </c>
      <c r="H18" s="3">
        <v>79.95</v>
      </c>
      <c r="I18" s="3">
        <v>1.3</v>
      </c>
      <c r="J18" s="3">
        <v>0.18</v>
      </c>
      <c r="K18" s="3">
        <v>0.21</v>
      </c>
      <c r="L18" s="3">
        <v>0.18</v>
      </c>
      <c r="M18" s="3">
        <v>0</v>
      </c>
      <c r="N18" s="3">
        <v>28</v>
      </c>
      <c r="O18" s="3">
        <v>115</v>
      </c>
      <c r="P18" s="3">
        <v>0.8</v>
      </c>
      <c r="Q18" s="3">
        <v>115</v>
      </c>
      <c r="R18" s="3">
        <v>5</v>
      </c>
      <c r="S18" s="3">
        <v>1.0900000000000001</v>
      </c>
      <c r="T18" s="3">
        <v>0</v>
      </c>
      <c r="U18" s="3">
        <v>0</v>
      </c>
      <c r="V18" s="3">
        <v>8</v>
      </c>
      <c r="W18" s="3">
        <v>0</v>
      </c>
    </row>
    <row r="19" spans="1:23" x14ac:dyDescent="0.25">
      <c r="A19" s="3" t="s">
        <v>2025</v>
      </c>
      <c r="B19" s="3" t="s">
        <v>34</v>
      </c>
      <c r="C19" s="3"/>
      <c r="D19" s="3" t="s">
        <v>35</v>
      </c>
      <c r="E19" s="3">
        <v>394.74</v>
      </c>
      <c r="F19" s="3">
        <v>16.89</v>
      </c>
      <c r="G19" s="3">
        <v>6.9</v>
      </c>
      <c r="H19" s="3">
        <v>66.27</v>
      </c>
      <c r="I19" s="3">
        <v>10.6</v>
      </c>
      <c r="J19" s="3">
        <v>1.22</v>
      </c>
      <c r="K19" s="3">
        <v>2.1800000000000002</v>
      </c>
      <c r="L19" s="3">
        <v>2.54</v>
      </c>
      <c r="M19" s="3">
        <v>0</v>
      </c>
      <c r="N19" s="3">
        <v>54</v>
      </c>
      <c r="O19" s="3">
        <v>523</v>
      </c>
      <c r="P19" s="3">
        <v>4.72</v>
      </c>
      <c r="Q19" s="3">
        <v>429</v>
      </c>
      <c r="R19" s="3">
        <v>2</v>
      </c>
      <c r="S19" s="3">
        <v>3.97</v>
      </c>
      <c r="T19" s="3">
        <v>0</v>
      </c>
      <c r="U19" s="3">
        <v>0</v>
      </c>
      <c r="V19" s="3">
        <v>56</v>
      </c>
      <c r="W19" s="3">
        <v>0</v>
      </c>
    </row>
    <row r="20" spans="1:23" x14ac:dyDescent="0.25">
      <c r="A20" s="3" t="s">
        <v>2025</v>
      </c>
      <c r="B20" s="3" t="s">
        <v>36</v>
      </c>
      <c r="C20" s="3"/>
      <c r="D20" s="3" t="s">
        <v>37</v>
      </c>
      <c r="E20" s="3">
        <v>372.9</v>
      </c>
      <c r="F20" s="3">
        <v>15.5</v>
      </c>
      <c r="G20" s="3">
        <v>6.1</v>
      </c>
      <c r="H20" s="3">
        <v>64</v>
      </c>
      <c r="I20" s="3">
        <v>10.9</v>
      </c>
      <c r="J20" s="3">
        <v>1.08</v>
      </c>
      <c r="K20" s="3">
        <v>1.92</v>
      </c>
      <c r="L20" s="3">
        <v>2.23</v>
      </c>
      <c r="M20" s="3">
        <v>0</v>
      </c>
      <c r="N20" s="3">
        <v>357</v>
      </c>
      <c r="O20" s="3">
        <v>357</v>
      </c>
      <c r="P20" s="3">
        <v>28.93</v>
      </c>
      <c r="Q20" s="3">
        <v>354</v>
      </c>
      <c r="R20" s="3">
        <v>286</v>
      </c>
      <c r="S20" s="3">
        <v>3.07</v>
      </c>
      <c r="T20" s="3">
        <v>0</v>
      </c>
      <c r="U20" s="3">
        <v>1072</v>
      </c>
      <c r="V20" s="3">
        <v>464</v>
      </c>
      <c r="W20" s="3">
        <v>0</v>
      </c>
    </row>
    <row r="21" spans="1:23" x14ac:dyDescent="0.25">
      <c r="A21" s="3" t="s">
        <v>2025</v>
      </c>
      <c r="B21" s="3" t="s">
        <v>38</v>
      </c>
      <c r="C21" s="3"/>
      <c r="D21" s="3" t="s">
        <v>39</v>
      </c>
      <c r="E21" s="3">
        <v>231.58</v>
      </c>
      <c r="F21" s="3">
        <v>3.99</v>
      </c>
      <c r="G21" s="3">
        <v>8.18</v>
      </c>
      <c r="H21" s="3">
        <v>35.5</v>
      </c>
      <c r="I21" s="3"/>
      <c r="J21" s="3"/>
      <c r="K21" s="3"/>
      <c r="L21" s="3"/>
      <c r="M21" s="3"/>
      <c r="N21" s="3">
        <v>18</v>
      </c>
      <c r="O21" s="3">
        <v>92</v>
      </c>
      <c r="P21" s="3">
        <v>0.59</v>
      </c>
      <c r="Q21" s="3">
        <v>67</v>
      </c>
      <c r="R21" s="3">
        <v>178</v>
      </c>
      <c r="S21" s="3">
        <v>0.35</v>
      </c>
      <c r="T21" s="3"/>
      <c r="U21" s="3"/>
      <c r="V21" s="3"/>
      <c r="W21" s="3"/>
    </row>
    <row r="22" spans="1:23" x14ac:dyDescent="0.25">
      <c r="A22" s="3" t="s">
        <v>2025</v>
      </c>
      <c r="B22" s="3" t="s">
        <v>40</v>
      </c>
      <c r="C22" s="3"/>
      <c r="D22" s="3" t="s">
        <v>41</v>
      </c>
      <c r="E22" s="3">
        <v>360.96</v>
      </c>
      <c r="F22" s="3">
        <v>9.91</v>
      </c>
      <c r="G22" s="3">
        <v>1.1599999999999999</v>
      </c>
      <c r="H22" s="3">
        <v>77.72</v>
      </c>
      <c r="I22" s="3">
        <v>15.6</v>
      </c>
      <c r="J22" s="3">
        <v>0.24</v>
      </c>
      <c r="K22" s="3">
        <v>0.15</v>
      </c>
      <c r="L22" s="3">
        <v>0.56000000000000005</v>
      </c>
      <c r="M22" s="3">
        <v>0</v>
      </c>
      <c r="N22" s="3">
        <v>29</v>
      </c>
      <c r="O22" s="3">
        <v>221</v>
      </c>
      <c r="P22" s="3">
        <v>2.5</v>
      </c>
      <c r="Q22" s="3">
        <v>280</v>
      </c>
      <c r="R22" s="3">
        <v>9</v>
      </c>
      <c r="S22" s="3">
        <v>213</v>
      </c>
      <c r="T22" s="3">
        <v>0</v>
      </c>
      <c r="U22" s="3">
        <v>1</v>
      </c>
      <c r="V22" s="3">
        <v>23</v>
      </c>
      <c r="W22" s="3">
        <v>0</v>
      </c>
    </row>
    <row r="23" spans="1:23" x14ac:dyDescent="0.25">
      <c r="A23" s="3" t="s">
        <v>2025</v>
      </c>
      <c r="B23" s="3" t="s">
        <v>42</v>
      </c>
      <c r="C23" s="3"/>
      <c r="D23" s="3" t="s">
        <v>43</v>
      </c>
      <c r="E23" s="3">
        <v>364.54</v>
      </c>
      <c r="F23" s="3">
        <v>12.48</v>
      </c>
      <c r="G23" s="3">
        <v>2.2999999999999998</v>
      </c>
      <c r="H23" s="3">
        <v>73.48</v>
      </c>
      <c r="I23" s="3">
        <v>17.3</v>
      </c>
      <c r="J23" s="3">
        <v>0.48</v>
      </c>
      <c r="K23" s="3">
        <v>0.28999999999999998</v>
      </c>
      <c r="L23" s="3">
        <v>1.1100000000000001</v>
      </c>
      <c r="M23" s="3">
        <v>0</v>
      </c>
      <c r="N23" s="3">
        <v>33</v>
      </c>
      <c r="O23" s="3">
        <v>264</v>
      </c>
      <c r="P23" s="3">
        <v>3.6</v>
      </c>
      <c r="Q23" s="3">
        <v>452</v>
      </c>
      <c r="R23" s="3">
        <v>12</v>
      </c>
      <c r="S23" s="3">
        <v>2.77</v>
      </c>
      <c r="T23" s="3">
        <v>0</v>
      </c>
      <c r="U23" s="3">
        <v>1</v>
      </c>
      <c r="V23" s="3">
        <v>19</v>
      </c>
      <c r="W23" s="3">
        <v>0</v>
      </c>
    </row>
    <row r="24" spans="1:23" x14ac:dyDescent="0.25">
      <c r="A24" s="3" t="s">
        <v>2025</v>
      </c>
      <c r="B24" s="3" t="s">
        <v>44</v>
      </c>
      <c r="C24" s="3"/>
      <c r="D24" s="3" t="s">
        <v>45</v>
      </c>
      <c r="E24" s="3">
        <v>364.54</v>
      </c>
      <c r="F24" s="3">
        <v>12.48</v>
      </c>
      <c r="G24" s="3">
        <v>2.2999999999999998</v>
      </c>
      <c r="H24" s="3">
        <v>73.48</v>
      </c>
      <c r="I24" s="3">
        <v>17.3</v>
      </c>
      <c r="J24" s="3">
        <v>0.48</v>
      </c>
      <c r="K24" s="3">
        <v>0.28999999999999998</v>
      </c>
      <c r="L24" s="3">
        <v>1.1100000000000001</v>
      </c>
      <c r="M24" s="3">
        <v>0</v>
      </c>
      <c r="N24" s="3">
        <v>33</v>
      </c>
      <c r="O24" s="3">
        <v>264</v>
      </c>
      <c r="P24" s="3">
        <v>3.6</v>
      </c>
      <c r="Q24" s="3">
        <v>452</v>
      </c>
      <c r="R24" s="3">
        <v>12</v>
      </c>
      <c r="S24" s="3">
        <v>2.77</v>
      </c>
      <c r="T24" s="3">
        <v>0</v>
      </c>
      <c r="U24" s="3">
        <v>1</v>
      </c>
      <c r="V24" s="3">
        <v>19</v>
      </c>
      <c r="W24" s="3">
        <v>0</v>
      </c>
    </row>
    <row r="25" spans="1:23" x14ac:dyDescent="0.25">
      <c r="A25" s="3" t="s">
        <v>2025</v>
      </c>
      <c r="B25" s="3" t="s">
        <v>46</v>
      </c>
      <c r="C25" s="3"/>
      <c r="D25" s="3" t="s">
        <v>47</v>
      </c>
      <c r="E25" s="3">
        <v>355.7</v>
      </c>
      <c r="F25" s="3">
        <v>0.19</v>
      </c>
      <c r="G25" s="3">
        <v>0.02</v>
      </c>
      <c r="H25" s="3">
        <v>88.69</v>
      </c>
      <c r="I25" s="3">
        <v>0.9</v>
      </c>
      <c r="J25" s="3">
        <v>0</v>
      </c>
      <c r="K25" s="3">
        <v>0</v>
      </c>
      <c r="L25" s="3">
        <v>0</v>
      </c>
      <c r="M25" s="3">
        <v>0</v>
      </c>
      <c r="N25" s="3">
        <v>20</v>
      </c>
      <c r="O25" s="3">
        <v>7</v>
      </c>
      <c r="P25" s="3">
        <v>1.58</v>
      </c>
      <c r="Q25" s="3">
        <v>11</v>
      </c>
      <c r="R25" s="3">
        <v>1</v>
      </c>
      <c r="S25" s="3">
        <v>0.12</v>
      </c>
      <c r="T25" s="3">
        <v>0</v>
      </c>
      <c r="U25" s="3">
        <v>0</v>
      </c>
      <c r="V25" s="3">
        <v>4</v>
      </c>
      <c r="W25" s="3">
        <v>0</v>
      </c>
    </row>
    <row r="26" spans="1:23" x14ac:dyDescent="0.25">
      <c r="A26" s="3" t="s">
        <v>2025</v>
      </c>
      <c r="B26" s="3" t="s">
        <v>48</v>
      </c>
      <c r="C26" s="3"/>
      <c r="D26" s="3" t="s">
        <v>49</v>
      </c>
      <c r="E26" s="3">
        <v>360.58</v>
      </c>
      <c r="F26" s="3">
        <v>14.76</v>
      </c>
      <c r="G26" s="3">
        <v>2.5</v>
      </c>
      <c r="H26" s="3">
        <v>69.760000000000005</v>
      </c>
      <c r="I26" s="3">
        <v>14.6</v>
      </c>
      <c r="J26" s="3">
        <v>0.28999999999999998</v>
      </c>
      <c r="K26" s="3">
        <v>0.3</v>
      </c>
      <c r="L26" s="3">
        <v>1.1200000000000001</v>
      </c>
      <c r="M26" s="3">
        <v>0</v>
      </c>
      <c r="N26" s="3">
        <v>33</v>
      </c>
      <c r="O26" s="3">
        <v>374</v>
      </c>
      <c r="P26" s="3">
        <v>2.67</v>
      </c>
      <c r="Q26" s="3">
        <v>264</v>
      </c>
      <c r="R26" s="3">
        <v>6</v>
      </c>
      <c r="S26" s="3">
        <v>3.73</v>
      </c>
      <c r="T26" s="3">
        <v>0</v>
      </c>
      <c r="U26" s="3">
        <v>1</v>
      </c>
      <c r="V26" s="3">
        <v>60</v>
      </c>
      <c r="W26" s="3">
        <v>0</v>
      </c>
    </row>
    <row r="27" spans="1:23" x14ac:dyDescent="0.25">
      <c r="A27" s="3" t="s">
        <v>2025</v>
      </c>
      <c r="B27" s="3" t="s">
        <v>50</v>
      </c>
      <c r="C27" s="3"/>
      <c r="D27" s="3" t="s">
        <v>51</v>
      </c>
      <c r="E27" s="3">
        <v>404.55</v>
      </c>
      <c r="F27" s="3">
        <v>13.64</v>
      </c>
      <c r="G27" s="3">
        <v>4.55</v>
      </c>
      <c r="H27" s="3">
        <v>77.27</v>
      </c>
      <c r="I27" s="3"/>
      <c r="J27" s="3">
        <v>0</v>
      </c>
      <c r="K27" s="3">
        <v>0</v>
      </c>
      <c r="L27" s="3">
        <v>0</v>
      </c>
      <c r="M27" s="3">
        <v>0</v>
      </c>
      <c r="N27" s="3"/>
      <c r="O27" s="3"/>
      <c r="P27" s="3"/>
      <c r="Q27" s="3"/>
      <c r="R27" s="3">
        <v>68.180000000000007</v>
      </c>
      <c r="S27" s="3"/>
      <c r="T27" s="3"/>
      <c r="U27" s="3"/>
      <c r="V27" s="3"/>
      <c r="W27" s="3"/>
    </row>
    <row r="28" spans="1:23" x14ac:dyDescent="0.25">
      <c r="A28" s="3" t="s">
        <v>2025</v>
      </c>
      <c r="B28" s="3" t="s">
        <v>52</v>
      </c>
      <c r="C28" s="3"/>
      <c r="D28" s="3" t="s">
        <v>53</v>
      </c>
      <c r="E28" s="3">
        <v>391.46</v>
      </c>
      <c r="F28" s="3">
        <v>7.32</v>
      </c>
      <c r="G28" s="3">
        <v>1.22</v>
      </c>
      <c r="H28" s="3">
        <v>87.8</v>
      </c>
      <c r="I28" s="3">
        <v>0</v>
      </c>
      <c r="J28" s="3">
        <v>0</v>
      </c>
      <c r="K28" s="3"/>
      <c r="L28" s="3"/>
      <c r="M28" s="3">
        <v>0</v>
      </c>
      <c r="N28" s="3">
        <v>0</v>
      </c>
      <c r="O28" s="3">
        <v>98</v>
      </c>
      <c r="P28" s="3">
        <v>30.73</v>
      </c>
      <c r="Q28" s="3">
        <v>98</v>
      </c>
      <c r="R28" s="3">
        <v>585</v>
      </c>
      <c r="S28" s="3">
        <v>18.29</v>
      </c>
      <c r="T28" s="3">
        <v>14.6</v>
      </c>
      <c r="U28" s="3">
        <v>731.7</v>
      </c>
      <c r="V28" s="3">
        <v>878</v>
      </c>
      <c r="W28" s="3">
        <v>8.7799999999999994</v>
      </c>
    </row>
    <row r="29" spans="1:23" x14ac:dyDescent="0.25">
      <c r="A29" s="3" t="s">
        <v>2025</v>
      </c>
      <c r="B29" s="3" t="s">
        <v>52</v>
      </c>
      <c r="C29" s="3"/>
      <c r="D29" s="3" t="s">
        <v>54</v>
      </c>
      <c r="E29" s="3">
        <v>389.7</v>
      </c>
      <c r="F29" s="3">
        <v>4.8</v>
      </c>
      <c r="G29" s="3">
        <v>1.3</v>
      </c>
      <c r="H29" s="3">
        <v>89.7</v>
      </c>
      <c r="I29" s="3">
        <v>8.4</v>
      </c>
      <c r="J29" s="3">
        <v>0.5</v>
      </c>
      <c r="K29" s="3">
        <v>0.2</v>
      </c>
      <c r="L29" s="3">
        <v>0.5</v>
      </c>
      <c r="M29" s="3">
        <v>0</v>
      </c>
      <c r="N29" s="3">
        <v>7</v>
      </c>
      <c r="O29" s="3">
        <v>52</v>
      </c>
      <c r="P29" s="3">
        <v>6</v>
      </c>
      <c r="Q29" s="3">
        <v>113</v>
      </c>
      <c r="R29" s="3">
        <v>357</v>
      </c>
      <c r="S29" s="3">
        <v>5</v>
      </c>
      <c r="T29" s="3">
        <v>20</v>
      </c>
      <c r="U29" s="3">
        <v>467</v>
      </c>
      <c r="V29" s="3">
        <v>333</v>
      </c>
      <c r="W29" s="3">
        <v>5</v>
      </c>
    </row>
    <row r="30" spans="1:23" x14ac:dyDescent="0.25">
      <c r="A30" s="3" t="s">
        <v>2025</v>
      </c>
      <c r="B30" s="3" t="s">
        <v>55</v>
      </c>
      <c r="C30" s="3"/>
      <c r="D30" s="3" t="s">
        <v>56</v>
      </c>
      <c r="E30" s="3">
        <v>389.97</v>
      </c>
      <c r="F30" s="3">
        <v>3.33</v>
      </c>
      <c r="G30" s="3">
        <v>3.33</v>
      </c>
      <c r="H30" s="3">
        <v>86.67</v>
      </c>
      <c r="I30" s="3">
        <v>1.7</v>
      </c>
      <c r="J30" s="3">
        <v>0</v>
      </c>
      <c r="K30" s="3"/>
      <c r="L30" s="3"/>
      <c r="M30" s="3">
        <v>0</v>
      </c>
      <c r="N30" s="3">
        <v>0</v>
      </c>
      <c r="O30" s="3"/>
      <c r="P30" s="3">
        <v>6</v>
      </c>
      <c r="Q30" s="3"/>
      <c r="R30" s="3">
        <v>300</v>
      </c>
      <c r="S30" s="3">
        <v>5</v>
      </c>
      <c r="T30" s="3">
        <v>0</v>
      </c>
      <c r="U30" s="3">
        <v>500.1</v>
      </c>
      <c r="V30" s="3"/>
      <c r="W30" s="3">
        <v>2</v>
      </c>
    </row>
    <row r="31" spans="1:23" x14ac:dyDescent="0.25">
      <c r="A31" s="3" t="s">
        <v>2025</v>
      </c>
      <c r="B31" s="3" t="s">
        <v>57</v>
      </c>
      <c r="C31" s="3"/>
      <c r="D31" s="3" t="s">
        <v>58</v>
      </c>
      <c r="E31" s="3">
        <v>364.52</v>
      </c>
      <c r="F31" s="3">
        <v>7.72</v>
      </c>
      <c r="G31" s="3">
        <v>2.72</v>
      </c>
      <c r="H31" s="3">
        <v>77.290000000000006</v>
      </c>
      <c r="I31" s="3">
        <v>11.4</v>
      </c>
      <c r="J31" s="3">
        <v>0.48</v>
      </c>
      <c r="K31" s="3">
        <v>0.34</v>
      </c>
      <c r="L31" s="3">
        <v>0.95</v>
      </c>
      <c r="M31" s="3">
        <v>0</v>
      </c>
      <c r="N31" s="3">
        <v>43</v>
      </c>
      <c r="O31" s="3">
        <v>347</v>
      </c>
      <c r="P31" s="3">
        <v>12.33</v>
      </c>
      <c r="Q31" s="3">
        <v>653</v>
      </c>
      <c r="R31" s="3">
        <v>356</v>
      </c>
      <c r="S31" s="3" t="s">
        <v>59</v>
      </c>
      <c r="T31" s="3">
        <v>0</v>
      </c>
      <c r="U31" s="3">
        <v>386</v>
      </c>
      <c r="V31" s="3">
        <v>201</v>
      </c>
      <c r="W31" s="3">
        <v>19</v>
      </c>
    </row>
    <row r="32" spans="1:23" x14ac:dyDescent="0.25">
      <c r="A32" s="3" t="s">
        <v>2025</v>
      </c>
      <c r="B32" s="3" t="s">
        <v>60</v>
      </c>
      <c r="C32" s="3"/>
      <c r="D32" s="3" t="s">
        <v>61</v>
      </c>
      <c r="E32" s="3">
        <v>392.3</v>
      </c>
      <c r="F32" s="3">
        <v>6.8</v>
      </c>
      <c r="G32" s="3">
        <v>1.9</v>
      </c>
      <c r="H32" s="3">
        <v>87</v>
      </c>
      <c r="I32" s="3">
        <v>3.4</v>
      </c>
      <c r="J32" s="3">
        <v>0.3</v>
      </c>
      <c r="K32" s="3">
        <v>1</v>
      </c>
      <c r="L32" s="3">
        <v>0.6</v>
      </c>
      <c r="M32" s="3">
        <v>0</v>
      </c>
      <c r="N32" s="3">
        <v>22</v>
      </c>
      <c r="O32" s="3">
        <v>60</v>
      </c>
      <c r="P32" s="3">
        <v>6.2</v>
      </c>
      <c r="Q32" s="3">
        <v>102</v>
      </c>
      <c r="R32" s="3">
        <v>700</v>
      </c>
      <c r="S32" s="3">
        <v>0.3</v>
      </c>
      <c r="T32" s="3">
        <v>20</v>
      </c>
      <c r="U32" s="3">
        <v>502</v>
      </c>
      <c r="V32" s="3">
        <v>553</v>
      </c>
      <c r="W32" s="3">
        <v>5</v>
      </c>
    </row>
    <row r="33" spans="1:23" x14ac:dyDescent="0.25">
      <c r="A33" s="3" t="s">
        <v>2025</v>
      </c>
      <c r="B33" s="3" t="s">
        <v>62</v>
      </c>
      <c r="C33" s="3"/>
      <c r="D33" s="3" t="s">
        <v>63</v>
      </c>
      <c r="E33" s="3">
        <v>448.57</v>
      </c>
      <c r="F33" s="3">
        <v>8.57</v>
      </c>
      <c r="G33" s="3">
        <v>14.29</v>
      </c>
      <c r="H33" s="3">
        <v>71.430000000000007</v>
      </c>
      <c r="I33" s="3">
        <v>2.86</v>
      </c>
      <c r="J33" s="3">
        <v>2.86</v>
      </c>
      <c r="K33" s="3">
        <v>4.29</v>
      </c>
      <c r="L33" s="3">
        <v>8.57</v>
      </c>
      <c r="M33" s="3">
        <v>0</v>
      </c>
      <c r="N33" s="3"/>
      <c r="O33" s="3"/>
      <c r="P33" s="3"/>
      <c r="Q33" s="3"/>
      <c r="R33" s="3">
        <v>514.29</v>
      </c>
      <c r="S33" s="3"/>
      <c r="T33" s="3"/>
      <c r="U33" s="3"/>
      <c r="V33" s="3"/>
      <c r="W33" s="3"/>
    </row>
    <row r="34" spans="1:23" x14ac:dyDescent="0.25">
      <c r="A34" s="3" t="s">
        <v>2025</v>
      </c>
      <c r="B34" s="3" t="s">
        <v>64</v>
      </c>
      <c r="C34" s="3"/>
      <c r="D34" s="3" t="s">
        <v>65</v>
      </c>
      <c r="E34" s="3">
        <v>397.98</v>
      </c>
      <c r="F34" s="3">
        <v>5.04</v>
      </c>
      <c r="G34" s="3">
        <v>3.1</v>
      </c>
      <c r="H34" s="3">
        <v>87.48</v>
      </c>
      <c r="I34" s="3">
        <v>2.5</v>
      </c>
      <c r="J34" s="3">
        <v>1.52</v>
      </c>
      <c r="K34" s="3">
        <v>0.43</v>
      </c>
      <c r="L34" s="3">
        <v>0.68</v>
      </c>
      <c r="M34" s="3">
        <v>0</v>
      </c>
      <c r="N34" s="3">
        <v>14</v>
      </c>
      <c r="O34" s="3">
        <v>112</v>
      </c>
      <c r="P34" s="3">
        <v>20.399999999999999</v>
      </c>
      <c r="Q34" s="3">
        <v>120</v>
      </c>
      <c r="R34" s="3">
        <v>501</v>
      </c>
      <c r="S34" s="3">
        <v>19</v>
      </c>
      <c r="T34" s="3">
        <v>47</v>
      </c>
      <c r="U34" s="3">
        <v>467</v>
      </c>
      <c r="V34" s="3">
        <v>585</v>
      </c>
      <c r="W34" s="3">
        <v>7.07</v>
      </c>
    </row>
    <row r="35" spans="1:23" x14ac:dyDescent="0.25">
      <c r="A35" s="3" t="s">
        <v>2025</v>
      </c>
      <c r="B35" s="3" t="s">
        <v>66</v>
      </c>
      <c r="C35" s="3"/>
      <c r="D35" s="3" t="s">
        <v>67</v>
      </c>
      <c r="E35" s="3">
        <v>471.11</v>
      </c>
      <c r="F35" s="3">
        <v>15.56</v>
      </c>
      <c r="G35" s="3">
        <v>17.78</v>
      </c>
      <c r="H35" s="3">
        <v>62.22</v>
      </c>
      <c r="I35" s="3">
        <v>8.89</v>
      </c>
      <c r="J35" s="3">
        <v>2.2200000000000002</v>
      </c>
      <c r="K35" s="3">
        <v>11.11</v>
      </c>
      <c r="L35" s="3">
        <v>3.33</v>
      </c>
      <c r="M35" s="3">
        <v>0</v>
      </c>
      <c r="N35" s="3"/>
      <c r="O35" s="3"/>
      <c r="P35" s="3"/>
      <c r="Q35" s="3"/>
      <c r="R35" s="3">
        <v>66.67</v>
      </c>
      <c r="S35" s="3"/>
      <c r="T35" s="3"/>
      <c r="U35" s="3"/>
      <c r="V35" s="3"/>
      <c r="W35" s="3"/>
    </row>
    <row r="36" spans="1:23" x14ac:dyDescent="0.25">
      <c r="A36" s="3" t="s">
        <v>2025</v>
      </c>
      <c r="B36" s="3" t="s">
        <v>68</v>
      </c>
      <c r="C36" s="3"/>
      <c r="D36" s="3" t="s">
        <v>69</v>
      </c>
      <c r="E36" s="3">
        <v>441.38</v>
      </c>
      <c r="F36" s="3">
        <v>10.55</v>
      </c>
      <c r="G36" s="3">
        <v>11.62</v>
      </c>
      <c r="H36" s="3">
        <v>73.650000000000006</v>
      </c>
      <c r="I36" s="3">
        <v>10.199999999999999</v>
      </c>
      <c r="J36" s="3">
        <v>1.24</v>
      </c>
      <c r="K36" s="3">
        <v>6.6</v>
      </c>
      <c r="L36" s="3">
        <v>2.68</v>
      </c>
      <c r="M36" s="3">
        <v>2</v>
      </c>
      <c r="N36" s="3">
        <v>109</v>
      </c>
      <c r="O36" s="3">
        <v>357</v>
      </c>
      <c r="P36" s="3">
        <v>392</v>
      </c>
      <c r="Q36" s="3">
        <v>483</v>
      </c>
      <c r="R36" s="3">
        <v>50</v>
      </c>
      <c r="S36" s="3">
        <v>2.95</v>
      </c>
      <c r="T36" s="3">
        <v>0.2</v>
      </c>
      <c r="U36" s="3">
        <v>2</v>
      </c>
      <c r="V36" s="3">
        <v>37</v>
      </c>
      <c r="W36" s="3">
        <v>0.17</v>
      </c>
    </row>
    <row r="37" spans="1:23" x14ac:dyDescent="0.25">
      <c r="A37" s="3" t="s">
        <v>2025</v>
      </c>
      <c r="B37" s="3" t="s">
        <v>70</v>
      </c>
      <c r="C37" s="3"/>
      <c r="D37" s="3" t="s">
        <v>71</v>
      </c>
      <c r="E37" s="3">
        <v>393.4</v>
      </c>
      <c r="F37" s="3">
        <v>8</v>
      </c>
      <c r="G37" s="3">
        <v>4.5999999999999996</v>
      </c>
      <c r="H37" s="3">
        <v>80</v>
      </c>
      <c r="I37" s="3">
        <v>5</v>
      </c>
      <c r="J37" s="3">
        <v>0.85</v>
      </c>
      <c r="K37" s="3">
        <v>2.12</v>
      </c>
      <c r="L37" s="3">
        <v>1.1399999999999999</v>
      </c>
      <c r="M37" s="3">
        <v>0</v>
      </c>
      <c r="N37" s="3">
        <v>36</v>
      </c>
      <c r="O37" s="3">
        <v>273</v>
      </c>
      <c r="P37" s="3">
        <v>2</v>
      </c>
      <c r="Q37" s="3">
        <v>279</v>
      </c>
      <c r="R37" s="3">
        <v>376</v>
      </c>
      <c r="S37" s="3">
        <v>1.1000000000000001</v>
      </c>
      <c r="T37" s="3">
        <v>0</v>
      </c>
      <c r="U37" s="3">
        <v>0</v>
      </c>
      <c r="V37" s="3">
        <v>13</v>
      </c>
      <c r="W37" s="3">
        <v>0</v>
      </c>
    </row>
    <row r="38" spans="1:23" x14ac:dyDescent="0.25">
      <c r="A38" s="3" t="s">
        <v>2025</v>
      </c>
      <c r="B38" s="3" t="s">
        <v>72</v>
      </c>
      <c r="C38" s="3"/>
      <c r="D38" s="3" t="s">
        <v>73</v>
      </c>
      <c r="E38" s="3">
        <v>488.99</v>
      </c>
      <c r="F38" s="3">
        <v>13.67</v>
      </c>
      <c r="G38" s="3">
        <v>24.31</v>
      </c>
      <c r="H38" s="3">
        <v>53.88</v>
      </c>
      <c r="I38" s="3">
        <v>8.9</v>
      </c>
      <c r="J38" s="3">
        <v>3.96</v>
      </c>
      <c r="K38" s="3">
        <v>10.95</v>
      </c>
      <c r="L38" s="3">
        <v>7.81</v>
      </c>
      <c r="M38" s="3">
        <v>0</v>
      </c>
      <c r="N38" s="3">
        <v>76</v>
      </c>
      <c r="O38" s="3">
        <v>431</v>
      </c>
      <c r="P38" s="3">
        <v>3.95</v>
      </c>
      <c r="Q38" s="3">
        <v>539</v>
      </c>
      <c r="R38" s="3">
        <v>26</v>
      </c>
      <c r="S38" s="3">
        <v>4.17</v>
      </c>
      <c r="T38" s="3">
        <v>1.2</v>
      </c>
      <c r="U38" s="3">
        <v>1</v>
      </c>
      <c r="V38" s="3">
        <v>84</v>
      </c>
      <c r="W38" s="3">
        <v>0</v>
      </c>
    </row>
    <row r="39" spans="1:23" x14ac:dyDescent="0.25">
      <c r="A39" s="3" t="s">
        <v>2025</v>
      </c>
      <c r="B39" s="3" t="s">
        <v>74</v>
      </c>
      <c r="C39" s="3"/>
      <c r="D39" s="3" t="s">
        <v>75</v>
      </c>
      <c r="E39" s="3">
        <v>379.08</v>
      </c>
      <c r="F39" s="3">
        <v>3.3</v>
      </c>
      <c r="G39" s="3">
        <v>0.52</v>
      </c>
      <c r="H39" s="3">
        <v>90.3</v>
      </c>
      <c r="I39" s="3">
        <v>3.2</v>
      </c>
      <c r="J39" s="3">
        <v>0.17</v>
      </c>
      <c r="K39" s="3">
        <v>0.09</v>
      </c>
      <c r="L39" s="3">
        <v>0.3</v>
      </c>
      <c r="M39" s="3">
        <v>0</v>
      </c>
      <c r="N39" s="3">
        <v>5</v>
      </c>
      <c r="O39" s="3">
        <v>34</v>
      </c>
      <c r="P39" s="3">
        <v>14.5</v>
      </c>
      <c r="Q39" s="3">
        <v>73</v>
      </c>
      <c r="R39" s="3">
        <v>479</v>
      </c>
      <c r="S39" s="3">
        <v>0.18</v>
      </c>
      <c r="T39" s="3">
        <v>20</v>
      </c>
      <c r="U39" s="3">
        <v>517</v>
      </c>
      <c r="V39" s="3">
        <v>543</v>
      </c>
      <c r="W39" s="3">
        <v>5</v>
      </c>
    </row>
    <row r="40" spans="1:23" x14ac:dyDescent="0.25">
      <c r="A40" s="3" t="s">
        <v>2025</v>
      </c>
      <c r="B40" s="3" t="s">
        <v>76</v>
      </c>
      <c r="C40" s="3"/>
      <c r="D40" s="3" t="s">
        <v>77</v>
      </c>
      <c r="E40" s="3">
        <v>370</v>
      </c>
      <c r="F40" s="3">
        <v>7.5</v>
      </c>
      <c r="G40" s="3">
        <v>0.4</v>
      </c>
      <c r="H40" s="3">
        <v>84.1</v>
      </c>
      <c r="I40" s="3">
        <v>3.3</v>
      </c>
      <c r="J40" s="3">
        <v>0.12</v>
      </c>
      <c r="K40" s="3">
        <v>7.0000000000000007E-2</v>
      </c>
      <c r="L40" s="3">
        <v>0.2</v>
      </c>
      <c r="M40" s="3">
        <v>0</v>
      </c>
      <c r="N40" s="3">
        <v>5</v>
      </c>
      <c r="O40" s="3">
        <v>102</v>
      </c>
      <c r="P40" s="3">
        <v>28.9</v>
      </c>
      <c r="Q40" s="3">
        <v>168</v>
      </c>
      <c r="R40" s="3">
        <v>729</v>
      </c>
      <c r="S40" s="3">
        <v>1</v>
      </c>
      <c r="T40" s="3">
        <v>21</v>
      </c>
      <c r="U40" s="3">
        <v>490</v>
      </c>
      <c r="V40" s="3">
        <v>34</v>
      </c>
      <c r="W40" s="3">
        <v>357</v>
      </c>
    </row>
    <row r="41" spans="1:23" x14ac:dyDescent="0.25">
      <c r="A41" s="3" t="s">
        <v>2025</v>
      </c>
      <c r="B41" s="3" t="s">
        <v>78</v>
      </c>
      <c r="C41" s="3"/>
      <c r="D41" s="3" t="s">
        <v>79</v>
      </c>
      <c r="E41" s="3">
        <v>393.62</v>
      </c>
      <c r="F41" s="3">
        <v>13.14</v>
      </c>
      <c r="G41" s="3">
        <v>4.9000000000000004</v>
      </c>
      <c r="H41" s="3">
        <v>74.239999999999995</v>
      </c>
      <c r="I41" s="3">
        <v>29.3</v>
      </c>
      <c r="J41" s="3">
        <v>0.64</v>
      </c>
      <c r="K41" s="3">
        <v>0.67</v>
      </c>
      <c r="L41" s="3">
        <v>2.11</v>
      </c>
      <c r="M41" s="3">
        <v>0</v>
      </c>
      <c r="N41" s="3">
        <v>389</v>
      </c>
      <c r="O41" s="3">
        <v>1150</v>
      </c>
      <c r="P41" s="3">
        <v>17.600000000000001</v>
      </c>
      <c r="Q41" s="3">
        <v>1020</v>
      </c>
      <c r="R41" s="3">
        <v>242</v>
      </c>
      <c r="S41" s="3">
        <v>12.4</v>
      </c>
      <c r="T41" s="3">
        <v>20</v>
      </c>
      <c r="U41" s="3">
        <v>525</v>
      </c>
      <c r="V41" s="3">
        <v>2198</v>
      </c>
      <c r="W41" s="3">
        <v>18.8</v>
      </c>
    </row>
    <row r="42" spans="1:23" x14ac:dyDescent="0.25">
      <c r="A42" s="3" t="s">
        <v>2025</v>
      </c>
      <c r="B42" s="3" t="s">
        <v>80</v>
      </c>
      <c r="C42" s="3"/>
      <c r="D42" s="3" t="s">
        <v>81</v>
      </c>
      <c r="E42" s="3">
        <v>408.6</v>
      </c>
      <c r="F42" s="3">
        <v>5</v>
      </c>
      <c r="G42" s="3">
        <v>5.4</v>
      </c>
      <c r="H42" s="3">
        <v>85</v>
      </c>
      <c r="I42" s="3">
        <v>0</v>
      </c>
      <c r="J42" s="3">
        <v>1.3</v>
      </c>
      <c r="K42" s="3"/>
      <c r="L42" s="3"/>
      <c r="M42" s="3">
        <v>0</v>
      </c>
      <c r="N42" s="3">
        <v>333</v>
      </c>
      <c r="O42" s="3">
        <v>133</v>
      </c>
      <c r="P42" s="3">
        <v>15</v>
      </c>
      <c r="Q42" s="3">
        <v>223</v>
      </c>
      <c r="R42" s="3">
        <v>615</v>
      </c>
      <c r="S42" s="3">
        <v>12.5</v>
      </c>
      <c r="T42" s="3">
        <v>20</v>
      </c>
      <c r="U42" s="3">
        <v>501</v>
      </c>
      <c r="V42" s="3">
        <v>553</v>
      </c>
      <c r="W42" s="3">
        <v>5</v>
      </c>
    </row>
    <row r="43" spans="1:23" x14ac:dyDescent="0.25">
      <c r="A43" s="3" t="s">
        <v>2025</v>
      </c>
      <c r="B43" s="3" t="s">
        <v>82</v>
      </c>
      <c r="C43" s="3"/>
      <c r="D43" s="3" t="s">
        <v>83</v>
      </c>
      <c r="E43" s="3">
        <v>381</v>
      </c>
      <c r="F43" s="3">
        <v>17.8</v>
      </c>
      <c r="G43" s="3">
        <v>1.8</v>
      </c>
      <c r="H43" s="3">
        <v>73.400000000000006</v>
      </c>
      <c r="I43" s="3">
        <v>1.4</v>
      </c>
      <c r="J43" s="3">
        <v>0.4</v>
      </c>
      <c r="K43" s="3">
        <v>0.3</v>
      </c>
      <c r="L43" s="3">
        <v>0.4</v>
      </c>
      <c r="M43" s="3">
        <v>0</v>
      </c>
      <c r="N43" s="3">
        <v>23</v>
      </c>
      <c r="O43" s="3">
        <v>48</v>
      </c>
      <c r="P43" s="3">
        <v>28</v>
      </c>
      <c r="Q43" s="3">
        <v>53</v>
      </c>
      <c r="R43" s="3">
        <v>667</v>
      </c>
      <c r="S43" s="3">
        <v>0.7</v>
      </c>
      <c r="T43" s="3">
        <v>68</v>
      </c>
      <c r="U43" s="3">
        <v>500.1</v>
      </c>
      <c r="V43" s="3">
        <v>1290</v>
      </c>
      <c r="W43" s="3">
        <v>19.399999999999999</v>
      </c>
    </row>
    <row r="44" spans="1:23" x14ac:dyDescent="0.25">
      <c r="A44" s="3" t="s">
        <v>2025</v>
      </c>
      <c r="B44" s="3" t="s">
        <v>84</v>
      </c>
      <c r="C44" s="3"/>
      <c r="D44" s="3" t="s">
        <v>85</v>
      </c>
      <c r="E44" s="3">
        <v>413.5</v>
      </c>
      <c r="F44" s="3">
        <v>15</v>
      </c>
      <c r="G44" s="3">
        <v>9.5</v>
      </c>
      <c r="H44" s="3">
        <v>67</v>
      </c>
      <c r="I44" s="3">
        <v>2</v>
      </c>
      <c r="J44" s="3">
        <v>4.26</v>
      </c>
      <c r="K44" s="3">
        <v>3.2</v>
      </c>
      <c r="L44" s="3">
        <v>1.94</v>
      </c>
      <c r="M44" s="3">
        <v>21</v>
      </c>
      <c r="N44" s="3"/>
      <c r="O44" s="3"/>
      <c r="P44" s="3"/>
      <c r="Q44" s="3"/>
      <c r="R44" s="3">
        <v>150</v>
      </c>
      <c r="S44" s="3"/>
      <c r="T44" s="3"/>
      <c r="U44" s="3"/>
      <c r="V44" s="3"/>
      <c r="W44" s="3"/>
    </row>
    <row r="45" spans="1:23" x14ac:dyDescent="0.25">
      <c r="A45" s="3" t="s">
        <v>2025</v>
      </c>
      <c r="B45" s="3" t="s">
        <v>86</v>
      </c>
      <c r="C45" s="3"/>
      <c r="D45" s="3" t="s">
        <v>87</v>
      </c>
      <c r="E45" s="3">
        <v>261.2</v>
      </c>
      <c r="F45" s="3">
        <v>4.54</v>
      </c>
      <c r="G45" s="3">
        <v>17.64</v>
      </c>
      <c r="H45" s="3">
        <v>21.07</v>
      </c>
      <c r="I45" s="3"/>
      <c r="J45" s="3"/>
      <c r="K45" s="3"/>
      <c r="L45" s="3"/>
      <c r="M45" s="3"/>
      <c r="N45" s="3">
        <v>52</v>
      </c>
      <c r="O45" s="3">
        <v>119</v>
      </c>
      <c r="P45" s="3">
        <v>27.99</v>
      </c>
      <c r="Q45" s="3">
        <v>88</v>
      </c>
      <c r="R45" s="3">
        <v>461</v>
      </c>
      <c r="S45" s="3">
        <v>0.92</v>
      </c>
      <c r="T45" s="3"/>
      <c r="U45" s="3"/>
      <c r="V45" s="3"/>
      <c r="W45" s="3"/>
    </row>
    <row r="46" spans="1:23" x14ac:dyDescent="0.25">
      <c r="A46" s="3" t="s">
        <v>2025</v>
      </c>
      <c r="B46" s="3" t="s">
        <v>88</v>
      </c>
      <c r="C46" s="3"/>
      <c r="D46" s="3" t="s">
        <v>89</v>
      </c>
      <c r="E46" s="3">
        <v>349.5</v>
      </c>
      <c r="F46" s="3">
        <v>13</v>
      </c>
      <c r="G46" s="3">
        <v>1.5</v>
      </c>
      <c r="H46" s="3">
        <v>71</v>
      </c>
      <c r="I46" s="3">
        <v>3.4</v>
      </c>
      <c r="J46" s="3">
        <v>0.2</v>
      </c>
      <c r="K46" s="3"/>
      <c r="L46" s="3"/>
      <c r="M46" s="3"/>
      <c r="N46" s="3"/>
      <c r="O46" s="3"/>
      <c r="P46" s="3"/>
      <c r="Q46" s="3"/>
      <c r="R46" s="3">
        <v>0.01</v>
      </c>
      <c r="S46" s="3"/>
      <c r="T46" s="3"/>
      <c r="U46" s="3"/>
      <c r="V46" s="3"/>
      <c r="W46" s="3"/>
    </row>
    <row r="47" spans="1:23" x14ac:dyDescent="0.25">
      <c r="A47" s="3" t="s">
        <v>2025</v>
      </c>
      <c r="B47" s="3" t="s">
        <v>90</v>
      </c>
      <c r="C47" s="3"/>
      <c r="D47" s="3" t="s">
        <v>91</v>
      </c>
      <c r="E47" s="3">
        <v>211.99</v>
      </c>
      <c r="F47" s="3">
        <v>2.42</v>
      </c>
      <c r="G47" s="3">
        <v>7.79</v>
      </c>
      <c r="H47" s="3">
        <v>33.049999999999997</v>
      </c>
      <c r="I47" s="3"/>
      <c r="J47" s="3"/>
      <c r="K47" s="3"/>
      <c r="L47" s="3"/>
      <c r="M47" s="3"/>
      <c r="N47" s="3">
        <v>21</v>
      </c>
      <c r="O47" s="3">
        <v>172</v>
      </c>
      <c r="P47" s="3">
        <v>5.22</v>
      </c>
      <c r="Q47" s="3">
        <v>804</v>
      </c>
      <c r="R47" s="3">
        <v>76</v>
      </c>
      <c r="S47" s="3">
        <v>1.66</v>
      </c>
      <c r="T47" s="3"/>
      <c r="U47" s="3"/>
      <c r="V47" s="3"/>
      <c r="W47" s="3"/>
    </row>
    <row r="48" spans="1:23" x14ac:dyDescent="0.25">
      <c r="A48" s="3" t="s">
        <v>2025</v>
      </c>
      <c r="B48" s="3" t="s">
        <v>92</v>
      </c>
      <c r="C48" s="3"/>
      <c r="D48" s="3" t="s">
        <v>93</v>
      </c>
      <c r="E48" s="3">
        <v>137.5</v>
      </c>
      <c r="F48" s="3">
        <v>6.25</v>
      </c>
      <c r="G48" s="3">
        <v>2.5</v>
      </c>
      <c r="H48" s="3">
        <v>22.5</v>
      </c>
      <c r="I48" s="3">
        <v>0</v>
      </c>
      <c r="J48" s="3">
        <v>0.63</v>
      </c>
      <c r="K48" s="3">
        <v>1.25</v>
      </c>
      <c r="L48" s="3">
        <v>0</v>
      </c>
      <c r="M48" s="3">
        <v>5</v>
      </c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x14ac:dyDescent="0.25">
      <c r="A49" s="3" t="s">
        <v>2025</v>
      </c>
      <c r="B49" s="3" t="s">
        <v>94</v>
      </c>
      <c r="C49" s="3"/>
      <c r="D49" s="3" t="s">
        <v>95</v>
      </c>
      <c r="E49" s="3">
        <v>356.75</v>
      </c>
      <c r="F49" s="3">
        <v>8.7200000000000006</v>
      </c>
      <c r="G49" s="3">
        <v>12.15</v>
      </c>
      <c r="H49" s="3">
        <v>53.13</v>
      </c>
      <c r="I49" s="3"/>
      <c r="J49" s="3"/>
      <c r="K49" s="3"/>
      <c r="L49" s="3"/>
      <c r="M49" s="3"/>
      <c r="N49" s="3">
        <v>16</v>
      </c>
      <c r="O49" s="3">
        <v>145</v>
      </c>
      <c r="P49" s="3">
        <v>1.61</v>
      </c>
      <c r="Q49" s="3">
        <v>61</v>
      </c>
      <c r="R49" s="3"/>
      <c r="S49" s="3">
        <v>0.61</v>
      </c>
      <c r="T49" s="3"/>
      <c r="U49" s="3"/>
      <c r="V49" s="3"/>
      <c r="W49" s="3"/>
    </row>
    <row r="50" spans="1:23" x14ac:dyDescent="0.25">
      <c r="A50" s="3" t="s">
        <v>2025</v>
      </c>
      <c r="B50" s="3" t="s">
        <v>96</v>
      </c>
      <c r="C50" s="3"/>
      <c r="D50" s="3" t="s">
        <v>97</v>
      </c>
      <c r="E50" s="3">
        <v>467.26</v>
      </c>
      <c r="F50" s="3">
        <v>5.95</v>
      </c>
      <c r="G50" s="3">
        <v>14.88</v>
      </c>
      <c r="H50" s="3">
        <v>77.38</v>
      </c>
      <c r="I50" s="3">
        <v>0</v>
      </c>
      <c r="J50" s="3">
        <v>7.44</v>
      </c>
      <c r="K50" s="3">
        <v>5.95</v>
      </c>
      <c r="L50" s="3">
        <v>1.49</v>
      </c>
      <c r="M50" s="3">
        <v>0</v>
      </c>
      <c r="N50" s="3"/>
      <c r="O50" s="3"/>
      <c r="P50" s="3"/>
      <c r="Q50" s="3"/>
      <c r="R50" s="3">
        <v>193.45</v>
      </c>
      <c r="S50" s="3"/>
      <c r="T50" s="3"/>
      <c r="U50" s="3"/>
      <c r="V50" s="3"/>
      <c r="W50" s="3"/>
    </row>
    <row r="51" spans="1:23" x14ac:dyDescent="0.25">
      <c r="A51" s="3" t="s">
        <v>2025</v>
      </c>
      <c r="B51" s="3" t="s">
        <v>98</v>
      </c>
      <c r="C51" s="3"/>
      <c r="D51" s="3" t="s">
        <v>99</v>
      </c>
      <c r="E51" s="3">
        <v>455</v>
      </c>
      <c r="F51" s="3">
        <v>5.8</v>
      </c>
      <c r="G51" s="3">
        <v>15.4</v>
      </c>
      <c r="H51" s="3">
        <v>73.3</v>
      </c>
      <c r="I51" s="3">
        <v>3.6</v>
      </c>
      <c r="J51" s="3">
        <v>3.81</v>
      </c>
      <c r="K51" s="3">
        <v>6.09</v>
      </c>
      <c r="L51" s="3">
        <v>4.6500000000000004</v>
      </c>
      <c r="M51" s="3">
        <v>0</v>
      </c>
      <c r="N51" s="3">
        <v>19</v>
      </c>
      <c r="O51" s="3">
        <v>84</v>
      </c>
      <c r="P51" s="3">
        <v>3.07</v>
      </c>
      <c r="Q51" s="3">
        <v>123</v>
      </c>
      <c r="R51" s="3">
        <v>377</v>
      </c>
      <c r="S51" s="3">
        <v>0.7</v>
      </c>
      <c r="T51" s="3">
        <v>0</v>
      </c>
      <c r="U51" s="3">
        <v>0</v>
      </c>
      <c r="V51" s="3">
        <v>115</v>
      </c>
      <c r="W51" s="3">
        <v>0</v>
      </c>
    </row>
    <row r="52" spans="1:23" x14ac:dyDescent="0.25">
      <c r="A52" s="3" t="s">
        <v>2025</v>
      </c>
      <c r="B52" s="3" t="s">
        <v>100</v>
      </c>
      <c r="C52" s="3"/>
      <c r="D52" s="3" t="s">
        <v>101</v>
      </c>
      <c r="E52" s="3">
        <v>443.8</v>
      </c>
      <c r="F52" s="3">
        <v>6.6</v>
      </c>
      <c r="G52" s="3">
        <v>14.2</v>
      </c>
      <c r="H52" s="3">
        <v>72.400000000000006</v>
      </c>
      <c r="I52" s="3">
        <v>3.4</v>
      </c>
      <c r="J52" s="3">
        <v>4.24</v>
      </c>
      <c r="K52" s="3">
        <v>4.8600000000000003</v>
      </c>
      <c r="L52" s="3">
        <v>4.1500000000000004</v>
      </c>
      <c r="M52" s="3">
        <v>2</v>
      </c>
      <c r="N52" s="3">
        <v>31</v>
      </c>
      <c r="O52" s="3">
        <v>132</v>
      </c>
      <c r="P52" s="3">
        <v>4.01</v>
      </c>
      <c r="Q52" s="3">
        <v>210</v>
      </c>
      <c r="R52" s="3">
        <v>580</v>
      </c>
      <c r="S52" s="3">
        <v>1.0900000000000001</v>
      </c>
      <c r="T52" s="3">
        <v>0</v>
      </c>
      <c r="U52" s="3">
        <v>3</v>
      </c>
      <c r="V52" s="3">
        <v>96</v>
      </c>
      <c r="W52" s="3">
        <v>0.09</v>
      </c>
    </row>
    <row r="53" spans="1:23" x14ac:dyDescent="0.25">
      <c r="A53" s="3" t="s">
        <v>2025</v>
      </c>
      <c r="B53" s="3" t="s">
        <v>102</v>
      </c>
      <c r="C53" s="3"/>
      <c r="D53" s="3" t="s">
        <v>103</v>
      </c>
      <c r="E53" s="3">
        <v>481.9</v>
      </c>
      <c r="F53" s="3">
        <v>5.0999999999999996</v>
      </c>
      <c r="G53" s="3">
        <v>21.1</v>
      </c>
      <c r="H53" s="3">
        <v>67.900000000000006</v>
      </c>
      <c r="I53" s="3">
        <v>0.8</v>
      </c>
      <c r="J53" s="3">
        <v>5.43</v>
      </c>
      <c r="K53" s="3">
        <v>11.84</v>
      </c>
      <c r="L53" s="3">
        <v>2.66</v>
      </c>
      <c r="M53" s="3">
        <v>51</v>
      </c>
      <c r="N53" s="3">
        <v>21</v>
      </c>
      <c r="O53" s="3">
        <v>80</v>
      </c>
      <c r="P53" s="3">
        <v>2.14</v>
      </c>
      <c r="Q53" s="3">
        <v>63</v>
      </c>
      <c r="R53" s="3">
        <v>357</v>
      </c>
      <c r="S53" s="3">
        <v>0.43</v>
      </c>
      <c r="T53" s="3">
        <v>0</v>
      </c>
      <c r="U53" s="3">
        <v>26</v>
      </c>
      <c r="V53" s="3">
        <v>82</v>
      </c>
      <c r="W53" s="3">
        <v>0.19</v>
      </c>
    </row>
    <row r="54" spans="1:23" x14ac:dyDescent="0.25">
      <c r="A54" s="3" t="s">
        <v>2025</v>
      </c>
      <c r="B54" s="3" t="s">
        <v>104</v>
      </c>
      <c r="C54" s="3"/>
      <c r="D54" s="3" t="s">
        <v>105</v>
      </c>
      <c r="E54" s="3">
        <v>515.5</v>
      </c>
      <c r="F54" s="3">
        <v>4.0999999999999996</v>
      </c>
      <c r="G54" s="3">
        <v>24.3</v>
      </c>
      <c r="H54" s="3">
        <v>70.099999999999994</v>
      </c>
      <c r="I54" s="3">
        <v>0.6</v>
      </c>
      <c r="J54" s="3">
        <v>3.62</v>
      </c>
      <c r="K54" s="3">
        <v>10.33</v>
      </c>
      <c r="L54" s="3">
        <v>9.16</v>
      </c>
      <c r="M54" s="3">
        <v>0</v>
      </c>
      <c r="N54" s="3">
        <v>18</v>
      </c>
      <c r="O54" s="3">
        <v>56</v>
      </c>
      <c r="P54" s="3">
        <v>1.95</v>
      </c>
      <c r="Q54" s="3">
        <v>59</v>
      </c>
      <c r="R54" s="3">
        <v>147</v>
      </c>
      <c r="S54" s="3">
        <v>0.35</v>
      </c>
      <c r="T54" s="3">
        <v>0</v>
      </c>
      <c r="U54" s="3">
        <v>0</v>
      </c>
      <c r="V54" s="3">
        <v>84</v>
      </c>
      <c r="W54" s="3">
        <v>0</v>
      </c>
    </row>
    <row r="55" spans="1:23" x14ac:dyDescent="0.25">
      <c r="A55" s="3" t="s">
        <v>2025</v>
      </c>
      <c r="B55" s="3" t="s">
        <v>106</v>
      </c>
      <c r="C55" s="3"/>
      <c r="D55" s="3" t="s">
        <v>107</v>
      </c>
      <c r="E55" s="3">
        <v>422.67</v>
      </c>
      <c r="F55" s="3">
        <v>9.2200000000000006</v>
      </c>
      <c r="G55" s="3">
        <v>11.35</v>
      </c>
      <c r="H55" s="3">
        <v>70.91</v>
      </c>
      <c r="I55" s="3">
        <v>3</v>
      </c>
      <c r="J55" s="3">
        <v>1.66</v>
      </c>
      <c r="K55" s="3">
        <v>7</v>
      </c>
      <c r="L55" s="3">
        <v>1.25</v>
      </c>
      <c r="M55" s="3">
        <v>0</v>
      </c>
      <c r="N55" s="3">
        <v>68</v>
      </c>
      <c r="O55" s="3">
        <v>101</v>
      </c>
      <c r="P55" s="3">
        <v>5.69</v>
      </c>
      <c r="Q55" s="3">
        <v>154</v>
      </c>
      <c r="R55" s="3">
        <v>1072</v>
      </c>
      <c r="S55" s="3">
        <v>0.83</v>
      </c>
      <c r="T55" s="3">
        <v>0</v>
      </c>
      <c r="U55" s="3">
        <v>0</v>
      </c>
      <c r="V55" s="3">
        <v>215</v>
      </c>
      <c r="W55" s="3">
        <v>0</v>
      </c>
    </row>
    <row r="56" spans="1:23" x14ac:dyDescent="0.25">
      <c r="A56" s="3" t="s">
        <v>2025</v>
      </c>
      <c r="B56" s="3" t="s">
        <v>108</v>
      </c>
      <c r="C56" s="3"/>
      <c r="D56" s="3" t="s">
        <v>109</v>
      </c>
      <c r="E56" s="3">
        <v>462.5</v>
      </c>
      <c r="F56" s="3">
        <v>6.2</v>
      </c>
      <c r="G56" s="3">
        <v>18.100000000000001</v>
      </c>
      <c r="H56" s="3">
        <v>68.7</v>
      </c>
      <c r="I56" s="3">
        <v>2.8</v>
      </c>
      <c r="J56" s="3">
        <v>4.5199999999999996</v>
      </c>
      <c r="K56" s="3">
        <v>10.02</v>
      </c>
      <c r="L56" s="3">
        <v>2.54</v>
      </c>
      <c r="M56" s="3">
        <v>0</v>
      </c>
      <c r="N56" s="3">
        <v>37</v>
      </c>
      <c r="O56" s="3">
        <v>138</v>
      </c>
      <c r="P56" s="3">
        <v>2.58</v>
      </c>
      <c r="Q56" s="3">
        <v>142</v>
      </c>
      <c r="R56" s="3">
        <v>383</v>
      </c>
      <c r="S56" s="3">
        <v>0.79</v>
      </c>
      <c r="T56" s="3">
        <v>1</v>
      </c>
      <c r="U56" s="3">
        <v>5</v>
      </c>
      <c r="V56" s="3">
        <v>95</v>
      </c>
      <c r="W56" s="3">
        <v>0</v>
      </c>
    </row>
    <row r="57" spans="1:23" x14ac:dyDescent="0.25">
      <c r="A57" s="3" t="s">
        <v>2025</v>
      </c>
      <c r="B57" s="3" t="s">
        <v>110</v>
      </c>
      <c r="C57" s="3"/>
      <c r="D57" s="3" t="s">
        <v>111</v>
      </c>
      <c r="E57" s="3">
        <v>519.48</v>
      </c>
      <c r="F57" s="3">
        <v>6.66</v>
      </c>
      <c r="G57" s="3">
        <v>26.64</v>
      </c>
      <c r="H57" s="3">
        <v>63.27</v>
      </c>
      <c r="I57" s="3"/>
      <c r="J57" s="3">
        <v>16.649999999999999</v>
      </c>
      <c r="K57" s="3">
        <v>8.33</v>
      </c>
      <c r="L57" s="3">
        <v>3.33</v>
      </c>
      <c r="M57" s="3">
        <v>36.630000000000003</v>
      </c>
      <c r="N57" s="3"/>
      <c r="O57" s="3"/>
      <c r="P57" s="3">
        <v>0.03</v>
      </c>
      <c r="Q57" s="3"/>
      <c r="R57" s="3">
        <v>49.95</v>
      </c>
      <c r="S57" s="3"/>
      <c r="T57" s="3"/>
      <c r="U57" s="3"/>
      <c r="V57" s="3"/>
      <c r="W57" s="3"/>
    </row>
    <row r="58" spans="1:23" x14ac:dyDescent="0.25">
      <c r="A58" s="3" t="s">
        <v>2025</v>
      </c>
      <c r="B58" s="3" t="s">
        <v>112</v>
      </c>
      <c r="C58" s="3"/>
      <c r="D58" s="3" t="s">
        <v>113</v>
      </c>
      <c r="E58" s="3">
        <v>519.48</v>
      </c>
      <c r="F58" s="3">
        <v>6.66</v>
      </c>
      <c r="G58" s="3">
        <v>26.64</v>
      </c>
      <c r="H58" s="3">
        <v>63.27</v>
      </c>
      <c r="I58" s="3"/>
      <c r="J58" s="3">
        <v>13.32</v>
      </c>
      <c r="K58" s="3">
        <v>9.99</v>
      </c>
      <c r="L58" s="3">
        <v>3.33</v>
      </c>
      <c r="M58" s="3">
        <v>29.97</v>
      </c>
      <c r="N58" s="3"/>
      <c r="O58" s="3"/>
      <c r="P58" s="3"/>
      <c r="Q58" s="3"/>
      <c r="R58" s="3">
        <v>299.7</v>
      </c>
      <c r="S58" s="3"/>
      <c r="T58" s="3"/>
      <c r="U58" s="3"/>
      <c r="V58" s="3"/>
      <c r="W58" s="3"/>
    </row>
    <row r="59" spans="1:23" x14ac:dyDescent="0.25">
      <c r="A59" s="3" t="s">
        <v>2025</v>
      </c>
      <c r="B59" s="3" t="s">
        <v>114</v>
      </c>
      <c r="C59" s="3"/>
      <c r="D59" s="3" t="s">
        <v>115</v>
      </c>
      <c r="E59" s="3">
        <v>493.54</v>
      </c>
      <c r="F59" s="3">
        <v>4.78</v>
      </c>
      <c r="G59" s="3">
        <v>21.5</v>
      </c>
      <c r="H59" s="3">
        <v>70.23</v>
      </c>
      <c r="I59" s="3">
        <v>3.2</v>
      </c>
      <c r="J59" s="3">
        <v>4.1399999999999997</v>
      </c>
      <c r="K59" s="3">
        <v>3.17</v>
      </c>
      <c r="L59" s="3">
        <v>0.82</v>
      </c>
      <c r="M59" s="3"/>
      <c r="N59" s="3">
        <v>24</v>
      </c>
      <c r="O59" s="3">
        <v>103</v>
      </c>
      <c r="P59" s="3">
        <v>4.9000000000000004</v>
      </c>
      <c r="Q59" s="3">
        <v>194</v>
      </c>
      <c r="R59" s="3">
        <v>528</v>
      </c>
      <c r="S59" s="3">
        <v>1.23</v>
      </c>
      <c r="T59" s="3"/>
      <c r="U59" s="3">
        <v>3</v>
      </c>
      <c r="V59" s="3">
        <v>30</v>
      </c>
      <c r="W59" s="3">
        <v>0.02</v>
      </c>
    </row>
    <row r="60" spans="1:23" x14ac:dyDescent="0.25">
      <c r="A60" s="3" t="s">
        <v>2025</v>
      </c>
      <c r="B60" s="3" t="s">
        <v>116</v>
      </c>
      <c r="C60" s="3"/>
      <c r="D60" s="3" t="s">
        <v>117</v>
      </c>
      <c r="E60" s="3">
        <v>446.15</v>
      </c>
      <c r="F60" s="3">
        <v>7.69</v>
      </c>
      <c r="G60" s="3">
        <v>15.38</v>
      </c>
      <c r="H60" s="3">
        <v>69.23</v>
      </c>
      <c r="I60" s="3"/>
      <c r="J60" s="3">
        <v>5.77</v>
      </c>
      <c r="K60" s="3">
        <v>7.69</v>
      </c>
      <c r="L60" s="3">
        <v>0</v>
      </c>
      <c r="M60" s="3">
        <v>0</v>
      </c>
      <c r="N60" s="3"/>
      <c r="O60" s="3"/>
      <c r="P60" s="3"/>
      <c r="Q60" s="3"/>
      <c r="R60" s="3">
        <v>769.23</v>
      </c>
      <c r="S60" s="3"/>
      <c r="T60" s="3"/>
      <c r="U60" s="3"/>
      <c r="V60" s="3"/>
      <c r="W60" s="3"/>
    </row>
    <row r="61" spans="1:23" x14ac:dyDescent="0.25">
      <c r="A61" s="3" t="s">
        <v>2025</v>
      </c>
      <c r="B61" s="3" t="s">
        <v>118</v>
      </c>
      <c r="C61" s="3"/>
      <c r="D61" s="3" t="s">
        <v>119</v>
      </c>
      <c r="E61" s="3">
        <v>477.78</v>
      </c>
      <c r="F61" s="3">
        <v>7.41</v>
      </c>
      <c r="G61" s="3">
        <v>18.52</v>
      </c>
      <c r="H61" s="3">
        <v>70.37</v>
      </c>
      <c r="I61" s="3">
        <v>0</v>
      </c>
      <c r="J61" s="3">
        <v>7.41</v>
      </c>
      <c r="K61" s="3">
        <v>7.41</v>
      </c>
      <c r="L61" s="3">
        <v>1.85</v>
      </c>
      <c r="M61" s="3">
        <v>0</v>
      </c>
      <c r="N61" s="3"/>
      <c r="O61" s="3"/>
      <c r="P61" s="3"/>
      <c r="Q61" s="3"/>
      <c r="R61" s="3">
        <v>666.67</v>
      </c>
      <c r="S61" s="3"/>
      <c r="T61" s="3"/>
      <c r="U61" s="3"/>
      <c r="V61" s="3"/>
      <c r="W61" s="3"/>
    </row>
    <row r="62" spans="1:23" x14ac:dyDescent="0.25">
      <c r="A62" s="3" t="s">
        <v>2025</v>
      </c>
      <c r="B62" s="3" t="s">
        <v>120</v>
      </c>
      <c r="C62" s="3"/>
      <c r="D62" s="3" t="s">
        <v>121</v>
      </c>
      <c r="E62" s="3">
        <v>486.67</v>
      </c>
      <c r="F62" s="3">
        <v>10</v>
      </c>
      <c r="G62" s="3">
        <v>20</v>
      </c>
      <c r="H62" s="3">
        <v>66.67</v>
      </c>
      <c r="I62" s="3"/>
      <c r="J62" s="3">
        <v>8.33</v>
      </c>
      <c r="K62" s="3">
        <v>8.33</v>
      </c>
      <c r="L62" s="3">
        <v>1.67</v>
      </c>
      <c r="M62" s="3">
        <v>0</v>
      </c>
      <c r="N62" s="3"/>
      <c r="O62" s="3"/>
      <c r="P62" s="3"/>
      <c r="Q62" s="3"/>
      <c r="R62" s="3">
        <v>800</v>
      </c>
      <c r="S62" s="3"/>
      <c r="T62" s="3"/>
      <c r="U62" s="3"/>
      <c r="V62" s="3"/>
      <c r="W62" s="3"/>
    </row>
    <row r="63" spans="1:23" x14ac:dyDescent="0.25">
      <c r="A63" s="3" t="s">
        <v>2025</v>
      </c>
      <c r="B63" s="3" t="s">
        <v>122</v>
      </c>
      <c r="C63" s="3"/>
      <c r="D63" s="3" t="s">
        <v>123</v>
      </c>
      <c r="E63" s="3">
        <v>484</v>
      </c>
      <c r="F63" s="3">
        <v>4</v>
      </c>
      <c r="G63" s="3">
        <v>20</v>
      </c>
      <c r="H63" s="3">
        <v>72</v>
      </c>
      <c r="I63" s="3">
        <v>4</v>
      </c>
      <c r="J63" s="3">
        <v>12</v>
      </c>
      <c r="K63" s="3"/>
      <c r="L63" s="3"/>
      <c r="M63" s="3">
        <v>0</v>
      </c>
      <c r="N63" s="3"/>
      <c r="O63" s="3"/>
      <c r="P63" s="3"/>
      <c r="Q63" s="3"/>
      <c r="R63" s="3">
        <v>160</v>
      </c>
      <c r="S63" s="3"/>
      <c r="T63" s="3"/>
      <c r="U63" s="3"/>
      <c r="V63" s="3"/>
      <c r="W63" s="3"/>
    </row>
    <row r="64" spans="1:23" x14ac:dyDescent="0.25">
      <c r="A64" s="3" t="s">
        <v>2025</v>
      </c>
      <c r="B64" s="3" t="s">
        <v>124</v>
      </c>
      <c r="C64" s="3"/>
      <c r="D64" s="3" t="s">
        <v>125</v>
      </c>
      <c r="E64" s="3">
        <v>476.2</v>
      </c>
      <c r="F64" s="3">
        <v>10.1</v>
      </c>
      <c r="G64" s="3">
        <v>19.8</v>
      </c>
      <c r="H64" s="3">
        <v>64.400000000000006</v>
      </c>
      <c r="I64" s="3">
        <v>5.3</v>
      </c>
      <c r="J64" s="3">
        <v>2.37</v>
      </c>
      <c r="K64" s="3">
        <v>4.38</v>
      </c>
      <c r="L64" s="3">
        <v>12.05</v>
      </c>
      <c r="M64" s="3">
        <v>0</v>
      </c>
      <c r="N64" s="3">
        <v>61</v>
      </c>
      <c r="O64" s="3">
        <v>277</v>
      </c>
      <c r="P64" s="3">
        <v>2.95</v>
      </c>
      <c r="Q64" s="3">
        <v>336</v>
      </c>
      <c r="R64" s="3">
        <v>294</v>
      </c>
      <c r="S64" s="3">
        <v>2.0299999999999998</v>
      </c>
      <c r="T64" s="3">
        <v>0.9</v>
      </c>
      <c r="U64" s="3">
        <v>2</v>
      </c>
      <c r="V64" s="3">
        <v>23</v>
      </c>
      <c r="W64" s="3">
        <v>0</v>
      </c>
    </row>
    <row r="65" spans="1:23" x14ac:dyDescent="0.25">
      <c r="A65" s="3" t="s">
        <v>2025</v>
      </c>
      <c r="B65" s="3" t="s">
        <v>126</v>
      </c>
      <c r="C65" s="3"/>
      <c r="D65" s="3" t="s">
        <v>127</v>
      </c>
      <c r="E65" s="3">
        <v>390.1</v>
      </c>
      <c r="F65" s="3">
        <v>12</v>
      </c>
      <c r="G65" s="3">
        <v>6.1</v>
      </c>
      <c r="H65" s="3">
        <v>71.8</v>
      </c>
      <c r="I65" s="3">
        <v>3.5</v>
      </c>
      <c r="J65" s="3"/>
      <c r="K65" s="3"/>
      <c r="L65" s="3"/>
      <c r="M65" s="3"/>
      <c r="N65" s="3"/>
      <c r="O65" s="3">
        <v>530</v>
      </c>
      <c r="P65" s="3">
        <v>0</v>
      </c>
      <c r="Q65" s="3"/>
      <c r="R65" s="3"/>
      <c r="S65" s="3"/>
      <c r="T65" s="3"/>
      <c r="U65" s="3"/>
      <c r="V65" s="3"/>
      <c r="W65" s="3"/>
    </row>
    <row r="66" spans="1:23" x14ac:dyDescent="0.25">
      <c r="A66" s="3" t="s">
        <v>2025</v>
      </c>
      <c r="B66" s="3" t="s">
        <v>128</v>
      </c>
      <c r="C66" s="3"/>
      <c r="D66" s="3" t="s">
        <v>129</v>
      </c>
      <c r="E66" s="3">
        <v>359.49</v>
      </c>
      <c r="F66" s="3">
        <v>8.48</v>
      </c>
      <c r="G66" s="3">
        <v>1.65</v>
      </c>
      <c r="H66" s="3">
        <v>77.680000000000007</v>
      </c>
      <c r="I66" s="3">
        <v>7.4</v>
      </c>
      <c r="J66" s="3">
        <v>0.22</v>
      </c>
      <c r="K66" s="3">
        <v>0.41</v>
      </c>
      <c r="L66" s="3">
        <v>0.71</v>
      </c>
      <c r="M66" s="3">
        <v>0</v>
      </c>
      <c r="N66" s="3">
        <v>5</v>
      </c>
      <c r="O66" s="3">
        <v>84</v>
      </c>
      <c r="P66" s="3">
        <v>4.13</v>
      </c>
      <c r="Q66" s="3"/>
      <c r="R66" s="3">
        <v>3</v>
      </c>
      <c r="S66" s="3">
        <v>0.72</v>
      </c>
      <c r="T66" s="3">
        <v>0</v>
      </c>
      <c r="U66" s="3">
        <v>0</v>
      </c>
      <c r="V66" s="3">
        <v>363</v>
      </c>
      <c r="W66" s="3">
        <v>0</v>
      </c>
    </row>
    <row r="67" spans="1:23" x14ac:dyDescent="0.25">
      <c r="A67" s="3" t="s">
        <v>2025</v>
      </c>
      <c r="B67" s="3" t="s">
        <v>130</v>
      </c>
      <c r="C67" s="3"/>
      <c r="D67" s="3" t="s">
        <v>131</v>
      </c>
      <c r="E67" s="3">
        <v>377.32</v>
      </c>
      <c r="F67" s="3">
        <v>9.09</v>
      </c>
      <c r="G67" s="3">
        <v>1.52</v>
      </c>
      <c r="H67" s="3">
        <v>81.819999999999993</v>
      </c>
      <c r="I67" s="3">
        <v>9.1</v>
      </c>
      <c r="J67" s="3">
        <v>0</v>
      </c>
      <c r="K67" s="3"/>
      <c r="L67" s="3"/>
      <c r="M67" s="3">
        <v>0</v>
      </c>
      <c r="N67" s="3">
        <v>27</v>
      </c>
      <c r="O67" s="3"/>
      <c r="P67" s="3">
        <v>0.03</v>
      </c>
      <c r="Q67" s="3">
        <v>327</v>
      </c>
      <c r="R67" s="3">
        <v>0</v>
      </c>
      <c r="S67" s="3"/>
      <c r="T67" s="3"/>
      <c r="U67" s="3"/>
      <c r="V67" s="3"/>
      <c r="W67" s="3">
        <v>0</v>
      </c>
    </row>
    <row r="68" spans="1:23" x14ac:dyDescent="0.25">
      <c r="A68" s="3" t="s">
        <v>2025</v>
      </c>
      <c r="B68" s="3" t="s">
        <v>132</v>
      </c>
      <c r="C68" s="3"/>
      <c r="D68" s="3" t="s">
        <v>133</v>
      </c>
      <c r="E68" s="3">
        <v>363.45</v>
      </c>
      <c r="F68" s="3">
        <v>9.39</v>
      </c>
      <c r="G68" s="3">
        <v>1.77</v>
      </c>
      <c r="H68" s="3">
        <v>77.489999999999995</v>
      </c>
      <c r="I68" s="3">
        <v>14.6</v>
      </c>
      <c r="J68" s="3">
        <v>0.2</v>
      </c>
      <c r="K68" s="3">
        <v>0.21</v>
      </c>
      <c r="L68" s="3">
        <v>0.77</v>
      </c>
      <c r="M68" s="3">
        <v>0</v>
      </c>
      <c r="N68" s="3">
        <v>24</v>
      </c>
      <c r="O68" s="3">
        <v>207</v>
      </c>
      <c r="P68" s="3">
        <v>2.12</v>
      </c>
      <c r="Q68" s="3">
        <v>340</v>
      </c>
      <c r="R68" s="3">
        <v>3</v>
      </c>
      <c r="S68" s="3">
        <v>1.99</v>
      </c>
      <c r="T68" s="3">
        <v>0</v>
      </c>
      <c r="U68" s="3">
        <v>0</v>
      </c>
      <c r="V68" s="3">
        <v>19</v>
      </c>
      <c r="W68" s="3">
        <v>0</v>
      </c>
    </row>
    <row r="69" spans="1:23" x14ac:dyDescent="0.25">
      <c r="A69" s="3" t="s">
        <v>2025</v>
      </c>
      <c r="B69" s="3" t="s">
        <v>134</v>
      </c>
      <c r="C69" s="3"/>
      <c r="D69" s="3" t="s">
        <v>135</v>
      </c>
      <c r="E69" s="3">
        <v>364.6</v>
      </c>
      <c r="F69" s="3">
        <v>7.3</v>
      </c>
      <c r="G69" s="3">
        <v>3.4</v>
      </c>
      <c r="H69" s="3">
        <v>76.2</v>
      </c>
      <c r="I69" s="3"/>
      <c r="J69" s="3"/>
      <c r="K69" s="3"/>
      <c r="L69" s="3"/>
      <c r="M69" s="3"/>
      <c r="N69" s="3">
        <v>12</v>
      </c>
      <c r="O69" s="3">
        <v>328</v>
      </c>
      <c r="P69" s="3">
        <v>0.2</v>
      </c>
      <c r="Q69" s="3"/>
      <c r="R69" s="3"/>
      <c r="S69" s="3"/>
      <c r="T69" s="3">
        <v>2.1</v>
      </c>
      <c r="U69" s="3">
        <v>8</v>
      </c>
      <c r="V69" s="3"/>
      <c r="W69" s="3"/>
    </row>
    <row r="70" spans="1:23" x14ac:dyDescent="0.25">
      <c r="A70" s="3" t="s">
        <v>2025</v>
      </c>
      <c r="B70" s="3" t="s">
        <v>136</v>
      </c>
      <c r="C70" s="3"/>
      <c r="D70" s="3" t="s">
        <v>137</v>
      </c>
      <c r="E70" s="3">
        <v>360.1</v>
      </c>
      <c r="F70" s="3">
        <v>8.5</v>
      </c>
      <c r="G70" s="3">
        <v>1.7</v>
      </c>
      <c r="H70" s="3">
        <v>77.7</v>
      </c>
      <c r="I70" s="3">
        <v>7.4</v>
      </c>
      <c r="J70" s="3"/>
      <c r="K70" s="3"/>
      <c r="L70" s="3"/>
      <c r="M70" s="3"/>
      <c r="N70" s="3">
        <v>110</v>
      </c>
      <c r="O70" s="3">
        <v>84</v>
      </c>
      <c r="P70" s="3">
        <v>2.9</v>
      </c>
      <c r="Q70" s="3">
        <v>162</v>
      </c>
      <c r="R70" s="3">
        <v>3</v>
      </c>
      <c r="S70" s="3">
        <v>0.7</v>
      </c>
      <c r="T70" s="3">
        <v>0</v>
      </c>
      <c r="U70" s="3">
        <v>662</v>
      </c>
      <c r="V70" s="3"/>
      <c r="W70" s="3">
        <v>0</v>
      </c>
    </row>
    <row r="71" spans="1:23" x14ac:dyDescent="0.25">
      <c r="A71" s="3" t="s">
        <v>2025</v>
      </c>
      <c r="B71" s="3" t="s">
        <v>138</v>
      </c>
      <c r="C71" s="3"/>
      <c r="D71" s="3" t="s">
        <v>139</v>
      </c>
      <c r="E71" s="3">
        <v>358.9</v>
      </c>
      <c r="F71" s="3">
        <v>13.8</v>
      </c>
      <c r="G71" s="3">
        <v>2.1</v>
      </c>
      <c r="H71" s="3">
        <v>71.2</v>
      </c>
      <c r="I71" s="3">
        <v>11.4</v>
      </c>
      <c r="J71" s="3">
        <v>0.4</v>
      </c>
      <c r="K71" s="3">
        <v>0.3</v>
      </c>
      <c r="L71" s="3">
        <v>1.1000000000000001</v>
      </c>
      <c r="M71" s="3">
        <v>0</v>
      </c>
      <c r="N71" s="3">
        <v>48</v>
      </c>
      <c r="O71" s="3">
        <v>390</v>
      </c>
      <c r="P71" s="3">
        <v>4</v>
      </c>
      <c r="Q71" s="3">
        <v>500</v>
      </c>
      <c r="R71" s="3">
        <v>3</v>
      </c>
      <c r="S71" s="3">
        <v>3.4</v>
      </c>
      <c r="T71" s="3">
        <v>0</v>
      </c>
      <c r="U71" s="3">
        <v>0</v>
      </c>
      <c r="V71" s="3">
        <v>49</v>
      </c>
      <c r="W71" s="3">
        <v>0</v>
      </c>
    </row>
    <row r="72" spans="1:23" x14ac:dyDescent="0.25">
      <c r="A72" s="3" t="s">
        <v>2025</v>
      </c>
      <c r="B72" s="3" t="s">
        <v>140</v>
      </c>
      <c r="C72" s="3"/>
      <c r="D72" s="3" t="s">
        <v>141</v>
      </c>
      <c r="E72" s="3">
        <v>355.38</v>
      </c>
      <c r="F72" s="3">
        <v>10.33</v>
      </c>
      <c r="G72" s="3">
        <v>0.98</v>
      </c>
      <c r="H72" s="3">
        <v>76.31</v>
      </c>
      <c r="I72" s="3">
        <v>2.7</v>
      </c>
      <c r="J72" s="3">
        <v>0.16</v>
      </c>
      <c r="K72" s="3">
        <v>0.09</v>
      </c>
      <c r="L72" s="3">
        <v>0.41</v>
      </c>
      <c r="M72" s="3">
        <v>0</v>
      </c>
      <c r="N72" s="3">
        <v>15</v>
      </c>
      <c r="O72" s="3">
        <v>108</v>
      </c>
      <c r="P72" s="3">
        <v>4.6399999999999997</v>
      </c>
      <c r="Q72" s="3">
        <v>107</v>
      </c>
      <c r="R72" s="3">
        <v>2</v>
      </c>
      <c r="S72" s="3">
        <v>0.7</v>
      </c>
      <c r="T72" s="3">
        <v>0</v>
      </c>
      <c r="U72" s="3">
        <v>0</v>
      </c>
      <c r="V72" s="3">
        <v>291</v>
      </c>
      <c r="W72" s="3">
        <v>0</v>
      </c>
    </row>
    <row r="73" spans="1:23" x14ac:dyDescent="0.25">
      <c r="A73" s="3" t="s">
        <v>2025</v>
      </c>
      <c r="B73" s="3" t="s">
        <v>142</v>
      </c>
      <c r="C73" s="3"/>
      <c r="D73" s="3" t="s">
        <v>143</v>
      </c>
      <c r="E73" s="3">
        <v>256</v>
      </c>
      <c r="F73" s="3">
        <v>4.67</v>
      </c>
      <c r="G73" s="3">
        <v>13.33</v>
      </c>
      <c r="H73" s="3">
        <v>29.33</v>
      </c>
      <c r="I73" s="3">
        <v>0</v>
      </c>
      <c r="J73" s="3">
        <v>4.67</v>
      </c>
      <c r="K73" s="3"/>
      <c r="L73" s="3"/>
      <c r="M73" s="3">
        <v>58.67</v>
      </c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x14ac:dyDescent="0.25">
      <c r="A74" s="3" t="s">
        <v>2025</v>
      </c>
      <c r="B74" s="3" t="s">
        <v>144</v>
      </c>
      <c r="C74" s="3"/>
      <c r="D74" s="3" t="s">
        <v>145</v>
      </c>
      <c r="E74" s="3">
        <v>346.6</v>
      </c>
      <c r="F74" s="3">
        <v>0.6</v>
      </c>
      <c r="G74" s="3">
        <v>0.2</v>
      </c>
      <c r="H74" s="3">
        <v>85.6</v>
      </c>
      <c r="I74" s="3">
        <v>0.9</v>
      </c>
      <c r="J74" s="3">
        <v>0.01</v>
      </c>
      <c r="K74" s="3">
        <v>0.02</v>
      </c>
      <c r="L74" s="3">
        <v>0.03</v>
      </c>
      <c r="M74" s="3">
        <v>0</v>
      </c>
      <c r="N74" s="3">
        <v>8</v>
      </c>
      <c r="O74" s="3">
        <v>16</v>
      </c>
      <c r="P74" s="3"/>
      <c r="Q74" s="3">
        <v>3</v>
      </c>
      <c r="R74" s="3">
        <v>9</v>
      </c>
      <c r="S74" s="3">
        <v>0.06</v>
      </c>
      <c r="T74" s="3">
        <v>0</v>
      </c>
      <c r="U74" s="3">
        <v>0</v>
      </c>
      <c r="V74" s="3">
        <v>0</v>
      </c>
      <c r="W74" s="3">
        <v>0</v>
      </c>
    </row>
    <row r="75" spans="1:23" x14ac:dyDescent="0.25">
      <c r="A75" s="3" t="s">
        <v>2025</v>
      </c>
      <c r="B75" s="3" t="s">
        <v>146</v>
      </c>
      <c r="C75" s="3"/>
      <c r="D75" s="3" t="s">
        <v>147</v>
      </c>
      <c r="E75" s="3">
        <v>377.38</v>
      </c>
      <c r="F75" s="3">
        <v>9.42</v>
      </c>
      <c r="G75" s="3">
        <v>4.74</v>
      </c>
      <c r="H75" s="3">
        <v>74.260000000000005</v>
      </c>
      <c r="I75" s="3">
        <v>7.3</v>
      </c>
      <c r="J75" s="3">
        <v>0.67</v>
      </c>
      <c r="K75" s="3">
        <v>1.25</v>
      </c>
      <c r="L75" s="3">
        <v>2.16</v>
      </c>
      <c r="M75" s="3">
        <v>0</v>
      </c>
      <c r="N75" s="3">
        <v>7</v>
      </c>
      <c r="O75" s="3">
        <v>210</v>
      </c>
      <c r="P75" s="3">
        <v>2.71</v>
      </c>
      <c r="Q75" s="3">
        <v>287</v>
      </c>
      <c r="R75" s="3">
        <v>35</v>
      </c>
      <c r="S75" s="3">
        <v>2.21</v>
      </c>
      <c r="T75" s="3">
        <v>0</v>
      </c>
      <c r="U75" s="3">
        <v>11</v>
      </c>
      <c r="V75" s="3">
        <v>19</v>
      </c>
      <c r="W75" s="3">
        <v>0</v>
      </c>
    </row>
    <row r="76" spans="1:23" x14ac:dyDescent="0.25">
      <c r="A76" s="3" t="s">
        <v>2025</v>
      </c>
      <c r="B76" s="3" t="s">
        <v>148</v>
      </c>
      <c r="C76" s="3"/>
      <c r="D76" s="3" t="s">
        <v>149</v>
      </c>
      <c r="E76" s="3">
        <v>366.4</v>
      </c>
      <c r="F76" s="3">
        <v>7.7</v>
      </c>
      <c r="G76" s="3">
        <v>5.2</v>
      </c>
      <c r="H76" s="3">
        <v>72.2</v>
      </c>
      <c r="I76" s="3"/>
      <c r="J76" s="3"/>
      <c r="K76" s="3"/>
      <c r="L76" s="3"/>
      <c r="M76" s="3"/>
      <c r="N76" s="3">
        <v>5</v>
      </c>
      <c r="O76" s="3">
        <v>14</v>
      </c>
      <c r="P76" s="3">
        <v>2.5</v>
      </c>
      <c r="Q76" s="3"/>
      <c r="R76" s="3"/>
      <c r="S76" s="3"/>
      <c r="T76" s="3">
        <v>2</v>
      </c>
      <c r="U76" s="3">
        <v>7</v>
      </c>
      <c r="V76" s="3">
        <v>310</v>
      </c>
      <c r="W76" s="3"/>
    </row>
    <row r="77" spans="1:23" x14ac:dyDescent="0.25">
      <c r="A77" s="3" t="s">
        <v>2025</v>
      </c>
      <c r="B77" s="3" t="s">
        <v>150</v>
      </c>
      <c r="C77" s="3"/>
      <c r="D77" s="3" t="s">
        <v>151</v>
      </c>
      <c r="E77" s="3">
        <v>468.32</v>
      </c>
      <c r="F77" s="3"/>
      <c r="G77" s="3"/>
      <c r="H77" s="3"/>
      <c r="I77" s="3"/>
      <c r="J77" s="3"/>
      <c r="K77" s="3"/>
      <c r="L77" s="3"/>
      <c r="M77" s="3">
        <v>0</v>
      </c>
      <c r="N77" s="3">
        <v>0</v>
      </c>
      <c r="O77" s="3"/>
      <c r="P77" s="3">
        <v>1.2</v>
      </c>
      <c r="Q77" s="3"/>
      <c r="R77" s="3">
        <v>600</v>
      </c>
      <c r="S77" s="3"/>
      <c r="T77" s="3">
        <v>0</v>
      </c>
      <c r="U77" s="3">
        <v>0</v>
      </c>
      <c r="V77" s="3"/>
      <c r="W77" s="3"/>
    </row>
    <row r="78" spans="1:23" x14ac:dyDescent="0.25">
      <c r="A78" s="3" t="s">
        <v>2025</v>
      </c>
      <c r="B78" s="3" t="s">
        <v>152</v>
      </c>
      <c r="C78" s="3"/>
      <c r="D78" s="3" t="s">
        <v>153</v>
      </c>
      <c r="E78" s="3">
        <v>303.3</v>
      </c>
      <c r="F78" s="3">
        <v>8.6999999999999993</v>
      </c>
      <c r="G78" s="3">
        <v>0.9</v>
      </c>
      <c r="H78" s="3">
        <v>65.099999999999994</v>
      </c>
      <c r="I78" s="3"/>
      <c r="J78" s="3"/>
      <c r="K78" s="3"/>
      <c r="L78" s="3"/>
      <c r="M78" s="3"/>
      <c r="N78" s="3">
        <v>4</v>
      </c>
      <c r="O78" s="3">
        <v>71</v>
      </c>
      <c r="P78" s="3">
        <v>2</v>
      </c>
      <c r="Q78" s="3"/>
      <c r="R78" s="3"/>
      <c r="S78" s="3"/>
      <c r="T78" s="3">
        <v>0</v>
      </c>
      <c r="U78" s="3">
        <v>0</v>
      </c>
      <c r="V78" s="3"/>
      <c r="W78" s="3"/>
    </row>
    <row r="79" spans="1:23" x14ac:dyDescent="0.25">
      <c r="A79" s="3" t="s">
        <v>2025</v>
      </c>
      <c r="B79" s="3" t="s">
        <v>154</v>
      </c>
      <c r="C79" s="3"/>
      <c r="D79" s="3" t="s">
        <v>155</v>
      </c>
      <c r="E79" s="3">
        <v>351.1</v>
      </c>
      <c r="F79" s="3">
        <v>5.7</v>
      </c>
      <c r="G79" s="3">
        <v>1.5</v>
      </c>
      <c r="H79" s="3">
        <v>78.7</v>
      </c>
      <c r="I79" s="3"/>
      <c r="J79" s="3"/>
      <c r="K79" s="3"/>
      <c r="L79" s="3"/>
      <c r="M79" s="3"/>
      <c r="N79" s="3">
        <v>9</v>
      </c>
      <c r="O79" s="3">
        <v>166</v>
      </c>
      <c r="P79" s="3">
        <v>4.4000000000000004</v>
      </c>
      <c r="Q79" s="3"/>
      <c r="R79" s="3"/>
      <c r="S79" s="3"/>
      <c r="T79" s="3">
        <v>2.1</v>
      </c>
      <c r="U79" s="3">
        <v>0</v>
      </c>
      <c r="V79" s="3"/>
      <c r="W79" s="3"/>
    </row>
    <row r="80" spans="1:23" x14ac:dyDescent="0.25">
      <c r="A80" s="3" t="s">
        <v>2025</v>
      </c>
      <c r="B80" s="3" t="s">
        <v>156</v>
      </c>
      <c r="C80" s="3"/>
      <c r="D80" s="3" t="s">
        <v>157</v>
      </c>
      <c r="E80" s="3">
        <v>420.29</v>
      </c>
      <c r="F80" s="3">
        <v>3.12</v>
      </c>
      <c r="G80" s="3">
        <v>7.81</v>
      </c>
      <c r="H80" s="3">
        <v>84.38</v>
      </c>
      <c r="I80" s="3">
        <v>3.01</v>
      </c>
      <c r="J80" s="3">
        <v>4.6900000000000004</v>
      </c>
      <c r="K80" s="3"/>
      <c r="L80" s="3"/>
      <c r="M80" s="3">
        <v>16</v>
      </c>
      <c r="N80" s="3">
        <v>62</v>
      </c>
      <c r="O80" s="3"/>
      <c r="P80" s="3">
        <v>2.25</v>
      </c>
      <c r="Q80" s="3">
        <v>452</v>
      </c>
      <c r="R80" s="3">
        <v>281</v>
      </c>
      <c r="S80" s="3"/>
      <c r="T80" s="3">
        <v>0</v>
      </c>
      <c r="U80" s="3">
        <v>93.6</v>
      </c>
      <c r="V80" s="3"/>
      <c r="W80" s="3"/>
    </row>
    <row r="81" spans="1:23" x14ac:dyDescent="0.25">
      <c r="A81" s="3" t="s">
        <v>2025</v>
      </c>
      <c r="B81" s="3" t="s">
        <v>158</v>
      </c>
      <c r="C81" s="3"/>
      <c r="D81" s="3" t="s">
        <v>159</v>
      </c>
      <c r="E81" s="3">
        <v>517.70000000000005</v>
      </c>
      <c r="F81" s="3">
        <v>9</v>
      </c>
      <c r="G81" s="3">
        <v>28.1</v>
      </c>
      <c r="H81" s="3">
        <v>57.2</v>
      </c>
      <c r="I81" s="3">
        <v>10</v>
      </c>
      <c r="J81" s="3">
        <v>4.8899999999999997</v>
      </c>
      <c r="K81" s="3">
        <v>8.17</v>
      </c>
      <c r="L81" s="3">
        <v>13.42</v>
      </c>
      <c r="M81" s="3">
        <v>0</v>
      </c>
      <c r="N81" s="3">
        <v>10</v>
      </c>
      <c r="O81" s="3">
        <v>250</v>
      </c>
      <c r="P81" s="3">
        <v>2.78</v>
      </c>
      <c r="Q81" s="3">
        <v>225</v>
      </c>
      <c r="R81" s="3">
        <v>884</v>
      </c>
      <c r="S81" s="3">
        <v>2.64</v>
      </c>
      <c r="T81" s="3">
        <v>0</v>
      </c>
      <c r="U81" s="3">
        <v>1</v>
      </c>
      <c r="V81" s="3">
        <v>17</v>
      </c>
      <c r="W81" s="3">
        <v>0</v>
      </c>
    </row>
    <row r="82" spans="1:23" x14ac:dyDescent="0.25">
      <c r="A82" s="3" t="s">
        <v>2025</v>
      </c>
      <c r="B82" s="3" t="s">
        <v>160</v>
      </c>
      <c r="C82" s="3"/>
      <c r="D82" s="3" t="s">
        <v>161</v>
      </c>
      <c r="E82" s="3">
        <v>503.33</v>
      </c>
      <c r="F82" s="3">
        <v>23.33</v>
      </c>
      <c r="G82" s="3">
        <v>23.33</v>
      </c>
      <c r="H82" s="3">
        <v>50</v>
      </c>
      <c r="I82" s="3"/>
      <c r="J82" s="3">
        <v>3.33</v>
      </c>
      <c r="K82" s="3">
        <v>13.33</v>
      </c>
      <c r="L82" s="3">
        <v>3.33</v>
      </c>
      <c r="M82" s="3">
        <v>86.67</v>
      </c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x14ac:dyDescent="0.25">
      <c r="A83" s="3" t="s">
        <v>2025</v>
      </c>
      <c r="B83" s="3" t="s">
        <v>162</v>
      </c>
      <c r="C83" s="3"/>
      <c r="D83" s="3" t="s">
        <v>163</v>
      </c>
      <c r="E83" s="3">
        <v>197.56</v>
      </c>
      <c r="F83" s="3">
        <v>4.88</v>
      </c>
      <c r="G83" s="3">
        <v>2.44</v>
      </c>
      <c r="H83" s="3">
        <v>39.020000000000003</v>
      </c>
      <c r="I83" s="3">
        <v>2.4</v>
      </c>
      <c r="J83" s="3">
        <v>0</v>
      </c>
      <c r="K83" s="3"/>
      <c r="L83" s="3"/>
      <c r="M83" s="3">
        <v>0</v>
      </c>
      <c r="N83" s="3">
        <v>49</v>
      </c>
      <c r="O83" s="3"/>
      <c r="P83" s="3">
        <v>0.88</v>
      </c>
      <c r="Q83" s="3"/>
      <c r="R83" s="3">
        <v>220</v>
      </c>
      <c r="S83" s="3"/>
      <c r="T83" s="3">
        <v>0</v>
      </c>
      <c r="U83" s="3">
        <v>0</v>
      </c>
      <c r="V83" s="3"/>
      <c r="W83" s="3"/>
    </row>
    <row r="84" spans="1:23" x14ac:dyDescent="0.25">
      <c r="A84" s="3" t="s">
        <v>2025</v>
      </c>
      <c r="B84" s="3" t="s">
        <v>164</v>
      </c>
      <c r="C84" s="3"/>
      <c r="D84" s="3" t="s">
        <v>165</v>
      </c>
      <c r="E84" s="3">
        <v>377.38</v>
      </c>
      <c r="F84" s="3">
        <v>9.42</v>
      </c>
      <c r="G84" s="3">
        <v>4.74</v>
      </c>
      <c r="H84" s="3">
        <v>74.260000000000005</v>
      </c>
      <c r="I84" s="3"/>
      <c r="J84" s="3">
        <v>0.67</v>
      </c>
      <c r="K84" s="3">
        <v>1.25</v>
      </c>
      <c r="L84" s="3">
        <v>2.16</v>
      </c>
      <c r="M84" s="3">
        <v>0</v>
      </c>
      <c r="N84" s="3">
        <v>7</v>
      </c>
      <c r="O84" s="3">
        <v>210</v>
      </c>
      <c r="P84" s="3">
        <v>2.71</v>
      </c>
      <c r="Q84" s="3">
        <v>287</v>
      </c>
      <c r="R84" s="3">
        <v>35</v>
      </c>
      <c r="S84" s="3">
        <v>2.21</v>
      </c>
      <c r="T84" s="3">
        <v>0</v>
      </c>
      <c r="U84" s="3">
        <v>0</v>
      </c>
      <c r="V84" s="3"/>
      <c r="W84" s="3">
        <v>0</v>
      </c>
    </row>
    <row r="85" spans="1:23" x14ac:dyDescent="0.25">
      <c r="A85" s="3" t="s">
        <v>2025</v>
      </c>
      <c r="B85" s="3" t="s">
        <v>166</v>
      </c>
      <c r="C85" s="3"/>
      <c r="D85" s="3" t="s">
        <v>167</v>
      </c>
      <c r="E85" s="3">
        <v>403.74</v>
      </c>
      <c r="F85" s="3">
        <v>12.94</v>
      </c>
      <c r="G85" s="3">
        <v>4.54</v>
      </c>
      <c r="H85" s="3">
        <v>77.78</v>
      </c>
      <c r="I85" s="3">
        <v>14.5</v>
      </c>
      <c r="J85" s="3">
        <v>0.64</v>
      </c>
      <c r="K85" s="3">
        <v>0.95</v>
      </c>
      <c r="L85" s="3">
        <v>2.3199999999999998</v>
      </c>
      <c r="M85" s="3">
        <v>0</v>
      </c>
      <c r="N85" s="3">
        <v>7</v>
      </c>
      <c r="O85" s="3">
        <v>358</v>
      </c>
      <c r="P85" s="3">
        <v>3.19</v>
      </c>
      <c r="Q85" s="3">
        <v>329</v>
      </c>
      <c r="R85" s="3">
        <v>8</v>
      </c>
      <c r="S85" s="3">
        <v>3.08</v>
      </c>
      <c r="T85" s="3">
        <v>0</v>
      </c>
      <c r="U85" s="3">
        <v>10</v>
      </c>
      <c r="V85" s="3">
        <v>31</v>
      </c>
      <c r="W85" s="3">
        <v>0</v>
      </c>
    </row>
    <row r="86" spans="1:23" x14ac:dyDescent="0.25">
      <c r="A86" s="3" t="s">
        <v>2025</v>
      </c>
      <c r="B86" s="3" t="s">
        <v>168</v>
      </c>
      <c r="C86" s="3"/>
      <c r="D86" s="3" t="s">
        <v>169</v>
      </c>
      <c r="E86" s="3">
        <v>506.67</v>
      </c>
      <c r="F86" s="3">
        <v>10</v>
      </c>
      <c r="G86" s="3">
        <v>26.67</v>
      </c>
      <c r="H86" s="3">
        <v>56.67</v>
      </c>
      <c r="I86" s="3">
        <v>3.33</v>
      </c>
      <c r="J86" s="3">
        <v>6.67</v>
      </c>
      <c r="K86" s="3">
        <v>10</v>
      </c>
      <c r="L86" s="3">
        <v>10</v>
      </c>
      <c r="M86" s="3"/>
      <c r="N86" s="3"/>
      <c r="O86" s="3"/>
      <c r="P86" s="3"/>
      <c r="Q86" s="3"/>
      <c r="R86" s="3">
        <v>566.66999999999996</v>
      </c>
      <c r="S86" s="3"/>
      <c r="T86" s="3"/>
      <c r="U86" s="3"/>
      <c r="V86" s="3"/>
      <c r="W86" s="3"/>
    </row>
    <row r="87" spans="1:23" x14ac:dyDescent="0.25">
      <c r="A87" s="3" t="s">
        <v>2025</v>
      </c>
      <c r="B87" s="3" t="s">
        <v>170</v>
      </c>
      <c r="C87" s="3"/>
      <c r="D87" s="3" t="s">
        <v>171</v>
      </c>
      <c r="E87" s="3">
        <v>470</v>
      </c>
      <c r="F87" s="3">
        <v>10</v>
      </c>
      <c r="G87" s="3">
        <v>16.670000000000002</v>
      </c>
      <c r="H87" s="3">
        <v>70</v>
      </c>
      <c r="I87" s="3"/>
      <c r="J87" s="3">
        <v>3.33</v>
      </c>
      <c r="K87" s="3">
        <v>6.67</v>
      </c>
      <c r="L87" s="3">
        <v>8.33</v>
      </c>
      <c r="M87" s="3">
        <v>0</v>
      </c>
      <c r="N87" s="3"/>
      <c r="O87" s="3"/>
      <c r="P87" s="3"/>
      <c r="Q87" s="3"/>
      <c r="R87" s="3">
        <v>500</v>
      </c>
      <c r="S87" s="3"/>
      <c r="T87" s="3"/>
      <c r="U87" s="3"/>
      <c r="V87" s="3"/>
      <c r="W87" s="3"/>
    </row>
    <row r="88" spans="1:23" x14ac:dyDescent="0.25">
      <c r="A88" s="3" t="s">
        <v>2025</v>
      </c>
      <c r="B88" s="3" t="s">
        <v>172</v>
      </c>
      <c r="C88" s="3"/>
      <c r="D88" s="3" t="s">
        <v>173</v>
      </c>
      <c r="E88" s="3">
        <v>486.67</v>
      </c>
      <c r="F88" s="3">
        <v>6.67</v>
      </c>
      <c r="G88" s="3">
        <v>20</v>
      </c>
      <c r="H88" s="3">
        <v>70</v>
      </c>
      <c r="I88" s="3">
        <v>0</v>
      </c>
      <c r="J88" s="3">
        <v>5</v>
      </c>
      <c r="K88" s="3">
        <v>6.67</v>
      </c>
      <c r="L88" s="3">
        <v>6.67</v>
      </c>
      <c r="M88" s="3">
        <v>0</v>
      </c>
      <c r="N88" s="3"/>
      <c r="O88" s="3"/>
      <c r="P88" s="3"/>
      <c r="Q88" s="3"/>
      <c r="R88" s="3">
        <v>416.67</v>
      </c>
      <c r="S88" s="3"/>
      <c r="T88" s="3"/>
      <c r="U88" s="3"/>
      <c r="V88" s="3"/>
      <c r="W88" s="3"/>
    </row>
    <row r="89" spans="1:23" x14ac:dyDescent="0.25">
      <c r="A89" s="3" t="s">
        <v>2025</v>
      </c>
      <c r="B89" s="3" t="s">
        <v>174</v>
      </c>
      <c r="C89" s="3"/>
      <c r="D89" s="3" t="s">
        <v>175</v>
      </c>
      <c r="E89" s="3">
        <v>143.80000000000001</v>
      </c>
      <c r="F89" s="3">
        <v>2.7</v>
      </c>
      <c r="G89" s="3">
        <v>0.6</v>
      </c>
      <c r="H89" s="3">
        <v>31.9</v>
      </c>
      <c r="I89" s="3"/>
      <c r="J89" s="3"/>
      <c r="K89" s="3"/>
      <c r="L89" s="3"/>
      <c r="M89" s="3"/>
      <c r="N89" s="3">
        <v>26</v>
      </c>
      <c r="O89" s="3">
        <v>17</v>
      </c>
      <c r="P89" s="3">
        <v>1</v>
      </c>
      <c r="Q89" s="3"/>
      <c r="R89" s="3"/>
      <c r="S89" s="3"/>
      <c r="T89" s="3"/>
      <c r="U89" s="3"/>
      <c r="V89" s="3"/>
      <c r="W89" s="3"/>
    </row>
    <row r="90" spans="1:23" x14ac:dyDescent="0.25">
      <c r="A90" s="3" t="s">
        <v>2025</v>
      </c>
      <c r="B90" s="3" t="s">
        <v>176</v>
      </c>
      <c r="C90" s="3"/>
      <c r="D90" s="3" t="s">
        <v>177</v>
      </c>
      <c r="E90" s="3">
        <v>256.67</v>
      </c>
      <c r="F90" s="3">
        <v>6.67</v>
      </c>
      <c r="G90" s="3">
        <v>3.33</v>
      </c>
      <c r="H90" s="3">
        <v>50</v>
      </c>
      <c r="I90" s="3"/>
      <c r="J90" s="3">
        <v>0</v>
      </c>
      <c r="K90" s="3">
        <v>0</v>
      </c>
      <c r="L90" s="3">
        <v>0</v>
      </c>
      <c r="M90" s="3"/>
      <c r="N90" s="3"/>
      <c r="O90" s="3"/>
      <c r="P90" s="3"/>
      <c r="Q90" s="3"/>
      <c r="R90" s="3">
        <v>0</v>
      </c>
      <c r="S90" s="3"/>
      <c r="T90" s="3"/>
      <c r="U90" s="3"/>
      <c r="V90" s="3"/>
      <c r="W90" s="3"/>
    </row>
    <row r="91" spans="1:23" x14ac:dyDescent="0.25">
      <c r="A91" s="3" t="s">
        <v>2025</v>
      </c>
      <c r="B91" s="3" t="s">
        <v>178</v>
      </c>
      <c r="C91" s="3"/>
      <c r="D91" s="3" t="s">
        <v>179</v>
      </c>
      <c r="E91" s="3">
        <v>157.15</v>
      </c>
      <c r="F91" s="3">
        <v>2.35</v>
      </c>
      <c r="G91" s="3">
        <v>7.31</v>
      </c>
      <c r="H91" s="3">
        <v>20.49</v>
      </c>
      <c r="I91" s="3"/>
      <c r="J91" s="3"/>
      <c r="K91" s="3"/>
      <c r="L91" s="3"/>
      <c r="M91" s="3"/>
      <c r="N91" s="3">
        <v>9</v>
      </c>
      <c r="O91" s="3">
        <v>66</v>
      </c>
      <c r="P91" s="3">
        <v>0.7</v>
      </c>
      <c r="Q91" s="3">
        <v>60</v>
      </c>
      <c r="R91" s="3">
        <v>264</v>
      </c>
      <c r="S91" s="3">
        <v>0.44</v>
      </c>
      <c r="T91" s="3"/>
      <c r="U91" s="3"/>
      <c r="V91" s="3"/>
      <c r="W91" s="3"/>
    </row>
    <row r="92" spans="1:23" x14ac:dyDescent="0.25">
      <c r="A92" s="3" t="s">
        <v>2025</v>
      </c>
      <c r="B92" s="3" t="s">
        <v>180</v>
      </c>
      <c r="C92" s="3"/>
      <c r="D92" s="3" t="s">
        <v>181</v>
      </c>
      <c r="E92" s="3">
        <v>157.54</v>
      </c>
      <c r="F92" s="3"/>
      <c r="G92" s="3">
        <v>7.18</v>
      </c>
      <c r="H92" s="3">
        <v>23.23</v>
      </c>
      <c r="I92" s="3"/>
      <c r="J92" s="3"/>
      <c r="K92" s="3"/>
      <c r="L92" s="3"/>
      <c r="M92" s="3"/>
      <c r="N92" s="3">
        <v>26</v>
      </c>
      <c r="O92" s="3">
        <v>233</v>
      </c>
      <c r="P92" s="3">
        <v>1.93</v>
      </c>
      <c r="Q92" s="3">
        <v>304</v>
      </c>
      <c r="R92" s="3">
        <v>720</v>
      </c>
      <c r="S92" s="3">
        <v>1.59</v>
      </c>
      <c r="T92" s="3"/>
      <c r="U92" s="3"/>
      <c r="V92" s="3"/>
      <c r="W92" s="3"/>
    </row>
    <row r="93" spans="1:23" x14ac:dyDescent="0.25">
      <c r="A93" s="3" t="s">
        <v>2025</v>
      </c>
      <c r="B93" s="3" t="s">
        <v>182</v>
      </c>
      <c r="C93" s="3"/>
      <c r="D93" s="3" t="s">
        <v>183</v>
      </c>
      <c r="E93" s="3">
        <v>282.39999999999998</v>
      </c>
      <c r="F93" s="3">
        <v>9.4</v>
      </c>
      <c r="G93" s="3">
        <v>3.6</v>
      </c>
      <c r="H93" s="3">
        <v>53.1</v>
      </c>
      <c r="I93" s="3">
        <v>6.4</v>
      </c>
      <c r="J93" s="3">
        <v>0.69</v>
      </c>
      <c r="K93" s="3">
        <v>1.44</v>
      </c>
      <c r="L93" s="3">
        <v>0.87</v>
      </c>
      <c r="M93" s="3">
        <v>0</v>
      </c>
      <c r="N93" s="3">
        <v>80</v>
      </c>
      <c r="O93" s="3">
        <v>138</v>
      </c>
      <c r="P93" s="3">
        <v>3.1</v>
      </c>
      <c r="Q93" s="3">
        <v>183</v>
      </c>
      <c r="R93" s="3">
        <v>664</v>
      </c>
      <c r="S93" s="3">
        <v>1.25</v>
      </c>
      <c r="T93" s="3">
        <v>0.2</v>
      </c>
      <c r="U93" s="3">
        <v>0</v>
      </c>
      <c r="V93" s="3">
        <v>148</v>
      </c>
      <c r="W93" s="3">
        <v>0</v>
      </c>
    </row>
    <row r="94" spans="1:23" x14ac:dyDescent="0.25">
      <c r="A94" s="3" t="s">
        <v>2025</v>
      </c>
      <c r="B94" s="3" t="s">
        <v>184</v>
      </c>
      <c r="C94" s="3"/>
      <c r="D94" s="3" t="s">
        <v>185</v>
      </c>
      <c r="E94" s="3">
        <v>262.61</v>
      </c>
      <c r="F94" s="3">
        <v>7.64</v>
      </c>
      <c r="G94" s="3">
        <v>3.29</v>
      </c>
      <c r="H94" s="3">
        <v>50.61</v>
      </c>
      <c r="I94" s="3">
        <v>2.4</v>
      </c>
      <c r="J94" s="3">
        <v>0.72</v>
      </c>
      <c r="K94" s="3">
        <v>0.68</v>
      </c>
      <c r="L94" s="3">
        <v>1.36</v>
      </c>
      <c r="M94" s="3">
        <v>0</v>
      </c>
      <c r="N94" s="3">
        <v>151</v>
      </c>
      <c r="O94" s="3">
        <v>99</v>
      </c>
      <c r="P94" s="3">
        <v>3.74</v>
      </c>
      <c r="Q94" s="3">
        <v>100</v>
      </c>
      <c r="R94" s="3">
        <v>681</v>
      </c>
      <c r="S94" s="3">
        <v>0.74</v>
      </c>
      <c r="T94" s="3">
        <v>0</v>
      </c>
      <c r="U94" s="3">
        <v>0</v>
      </c>
      <c r="V94" s="3">
        <v>171</v>
      </c>
      <c r="W94" s="3">
        <v>0</v>
      </c>
    </row>
    <row r="95" spans="1:23" x14ac:dyDescent="0.25">
      <c r="A95" s="3" t="s">
        <v>2025</v>
      </c>
      <c r="B95" s="3" t="s">
        <v>186</v>
      </c>
      <c r="C95" s="3"/>
      <c r="D95" s="3" t="s">
        <v>187</v>
      </c>
      <c r="E95" s="3">
        <v>289.60000000000002</v>
      </c>
      <c r="F95" s="3">
        <v>9</v>
      </c>
      <c r="G95" s="3">
        <v>4</v>
      </c>
      <c r="H95" s="3">
        <v>54.4</v>
      </c>
      <c r="I95" s="3">
        <v>2.5</v>
      </c>
      <c r="J95" s="3">
        <v>0.57999999999999996</v>
      </c>
      <c r="K95" s="3">
        <v>0.8</v>
      </c>
      <c r="L95" s="3">
        <v>2.09</v>
      </c>
      <c r="M95" s="3">
        <v>1</v>
      </c>
      <c r="N95" s="3">
        <v>119</v>
      </c>
      <c r="O95" s="3">
        <v>103</v>
      </c>
      <c r="P95" s="3">
        <v>3.33</v>
      </c>
      <c r="Q95" s="3">
        <v>1.31</v>
      </c>
      <c r="R95" s="3">
        <v>592</v>
      </c>
      <c r="S95" s="3">
        <v>0.68</v>
      </c>
      <c r="T95" s="3">
        <v>0</v>
      </c>
      <c r="U95" s="3">
        <v>0</v>
      </c>
      <c r="V95" s="3">
        <v>159</v>
      </c>
      <c r="W95" s="3">
        <v>0.02</v>
      </c>
    </row>
    <row r="96" spans="1:23" x14ac:dyDescent="0.25">
      <c r="A96" s="3" t="s">
        <v>2025</v>
      </c>
      <c r="B96" s="3" t="s">
        <v>188</v>
      </c>
      <c r="C96" s="3"/>
      <c r="D96" s="3" t="s">
        <v>189</v>
      </c>
      <c r="E96" s="3">
        <v>270</v>
      </c>
      <c r="F96" s="3">
        <v>9.1</v>
      </c>
      <c r="G96" s="3">
        <v>1.2</v>
      </c>
      <c r="H96" s="3">
        <v>55.7</v>
      </c>
      <c r="I96" s="3">
        <v>2.2000000000000002</v>
      </c>
      <c r="J96" s="3">
        <v>0.17</v>
      </c>
      <c r="K96" s="3">
        <v>0.1</v>
      </c>
      <c r="L96" s="3">
        <v>0.54</v>
      </c>
      <c r="M96" s="3">
        <v>0</v>
      </c>
      <c r="N96" s="3">
        <v>86</v>
      </c>
      <c r="O96" s="3">
        <v>97</v>
      </c>
      <c r="P96" s="3">
        <v>1.4</v>
      </c>
      <c r="Q96" s="3">
        <v>120</v>
      </c>
      <c r="R96" s="3">
        <v>536</v>
      </c>
      <c r="S96" s="3">
        <v>0.84</v>
      </c>
      <c r="T96" s="3">
        <v>0</v>
      </c>
      <c r="U96" s="3">
        <v>0</v>
      </c>
      <c r="V96" s="3">
        <v>24</v>
      </c>
      <c r="W96" s="3">
        <v>0</v>
      </c>
    </row>
    <row r="97" spans="1:23" x14ac:dyDescent="0.25">
      <c r="A97" s="3" t="s">
        <v>2025</v>
      </c>
      <c r="B97" s="3" t="s">
        <v>190</v>
      </c>
      <c r="C97" s="3"/>
      <c r="D97" s="3" t="s">
        <v>191</v>
      </c>
      <c r="E97" s="3">
        <v>345.7</v>
      </c>
      <c r="F97" s="3">
        <v>7.5</v>
      </c>
      <c r="G97" s="3">
        <v>6.5</v>
      </c>
      <c r="H97" s="3">
        <v>64.3</v>
      </c>
      <c r="I97" s="3"/>
      <c r="J97" s="3"/>
      <c r="K97" s="3"/>
      <c r="L97" s="3"/>
      <c r="M97" s="3"/>
      <c r="N97" s="3">
        <v>7</v>
      </c>
      <c r="O97" s="3">
        <v>54</v>
      </c>
      <c r="P97" s="3">
        <v>1.79</v>
      </c>
      <c r="Q97" s="3">
        <v>84</v>
      </c>
      <c r="R97" s="3">
        <v>387</v>
      </c>
      <c r="S97" s="3">
        <v>0.69</v>
      </c>
      <c r="T97" s="3"/>
      <c r="U97" s="3"/>
      <c r="V97" s="3"/>
      <c r="W97" s="3"/>
    </row>
    <row r="98" spans="1:23" x14ac:dyDescent="0.25">
      <c r="A98" s="3" t="s">
        <v>2025</v>
      </c>
      <c r="B98" s="3" t="s">
        <v>192</v>
      </c>
      <c r="C98" s="3"/>
      <c r="D98" s="3" t="s">
        <v>193</v>
      </c>
      <c r="E98" s="3">
        <v>332</v>
      </c>
      <c r="F98" s="3">
        <v>9.5</v>
      </c>
      <c r="G98" s="3">
        <v>6.8</v>
      </c>
      <c r="H98" s="3">
        <v>58.2</v>
      </c>
      <c r="I98" s="3"/>
      <c r="J98" s="3"/>
      <c r="K98" s="3"/>
      <c r="L98" s="3"/>
      <c r="M98" s="3"/>
      <c r="N98" s="3">
        <v>7</v>
      </c>
      <c r="O98" s="3">
        <v>18</v>
      </c>
      <c r="P98" s="3">
        <v>1.57</v>
      </c>
      <c r="Q98" s="3">
        <v>57</v>
      </c>
      <c r="R98" s="3">
        <v>298</v>
      </c>
      <c r="S98" s="3">
        <v>0.61</v>
      </c>
      <c r="T98" s="3"/>
      <c r="U98" s="3"/>
      <c r="V98" s="3"/>
      <c r="W98" s="3"/>
    </row>
    <row r="99" spans="1:23" x14ac:dyDescent="0.25">
      <c r="A99" s="3" t="s">
        <v>2025</v>
      </c>
      <c r="B99" s="3" t="s">
        <v>194</v>
      </c>
      <c r="C99" s="3"/>
      <c r="D99" s="3" t="s">
        <v>195</v>
      </c>
      <c r="E99" s="3">
        <v>310.2</v>
      </c>
      <c r="F99" s="3">
        <v>7.1</v>
      </c>
      <c r="G99" s="3">
        <v>5.8</v>
      </c>
      <c r="H99" s="3">
        <v>57.4</v>
      </c>
      <c r="I99" s="3"/>
      <c r="J99" s="3"/>
      <c r="K99" s="3"/>
      <c r="L99" s="3"/>
      <c r="M99" s="3"/>
      <c r="N99" s="3">
        <v>16</v>
      </c>
      <c r="O99" s="3">
        <v>77</v>
      </c>
      <c r="P99" s="3">
        <v>2.7</v>
      </c>
      <c r="Q99" s="3">
        <v>79</v>
      </c>
      <c r="R99" s="3">
        <v>47</v>
      </c>
      <c r="S99" s="3">
        <v>0.64</v>
      </c>
      <c r="T99" s="3"/>
      <c r="U99" s="3"/>
      <c r="V99" s="3"/>
      <c r="W99" s="3"/>
    </row>
    <row r="100" spans="1:23" x14ac:dyDescent="0.25">
      <c r="A100" s="3" t="s">
        <v>2025</v>
      </c>
      <c r="B100" s="3" t="s">
        <v>196</v>
      </c>
      <c r="C100" s="3"/>
      <c r="D100" s="3" t="s">
        <v>197</v>
      </c>
      <c r="E100" s="3">
        <v>256.7</v>
      </c>
      <c r="F100" s="3">
        <v>9.1999999999999993</v>
      </c>
      <c r="G100" s="3">
        <v>0.7</v>
      </c>
      <c r="H100" s="3">
        <v>53.4</v>
      </c>
      <c r="I100" s="3">
        <v>5.8</v>
      </c>
      <c r="J100" s="3">
        <v>0.63</v>
      </c>
      <c r="K100" s="3">
        <v>1.31</v>
      </c>
      <c r="L100" s="3">
        <v>0.8</v>
      </c>
      <c r="M100" s="3">
        <v>0</v>
      </c>
      <c r="N100" s="3">
        <v>38</v>
      </c>
      <c r="O100" s="3">
        <v>178</v>
      </c>
      <c r="P100" s="3">
        <v>2.8</v>
      </c>
      <c r="Q100" s="3">
        <v>166</v>
      </c>
      <c r="R100" s="3">
        <v>660</v>
      </c>
      <c r="S100" s="3">
        <v>1.1399999999999999</v>
      </c>
      <c r="T100" s="3">
        <v>0</v>
      </c>
      <c r="U100" s="3">
        <v>0</v>
      </c>
      <c r="V100" s="3">
        <v>151</v>
      </c>
      <c r="W100" s="3">
        <v>0</v>
      </c>
    </row>
    <row r="101" spans="1:23" x14ac:dyDescent="0.25">
      <c r="A101" s="3" t="s">
        <v>2025</v>
      </c>
      <c r="B101" s="3" t="s">
        <v>198</v>
      </c>
      <c r="C101" s="3"/>
      <c r="D101" s="3" t="s">
        <v>199</v>
      </c>
      <c r="E101" s="3">
        <v>327.39999999999998</v>
      </c>
      <c r="F101" s="3">
        <v>8.8000000000000007</v>
      </c>
      <c r="G101" s="3">
        <v>5.8</v>
      </c>
      <c r="H101" s="3">
        <v>60</v>
      </c>
      <c r="I101" s="3"/>
      <c r="J101" s="3"/>
      <c r="K101" s="3"/>
      <c r="L101" s="3"/>
      <c r="M101" s="3"/>
      <c r="N101" s="3">
        <v>67</v>
      </c>
      <c r="O101" s="3">
        <v>89</v>
      </c>
      <c r="P101" s="3">
        <v>1.02</v>
      </c>
      <c r="Q101" s="3">
        <v>66</v>
      </c>
      <c r="R101" s="3">
        <v>384</v>
      </c>
      <c r="S101" s="3">
        <v>0.93</v>
      </c>
      <c r="T101" s="3"/>
      <c r="U101" s="3"/>
      <c r="V101" s="3"/>
      <c r="W101" s="3"/>
    </row>
    <row r="102" spans="1:23" x14ac:dyDescent="0.25">
      <c r="A102" s="3" t="s">
        <v>2025</v>
      </c>
      <c r="B102" s="3" t="s">
        <v>200</v>
      </c>
      <c r="C102" s="3"/>
      <c r="D102" s="3" t="s">
        <v>201</v>
      </c>
      <c r="E102" s="3">
        <v>252.14</v>
      </c>
      <c r="F102" s="3">
        <v>12.45</v>
      </c>
      <c r="G102" s="3">
        <v>3.5</v>
      </c>
      <c r="H102" s="3">
        <v>42.71</v>
      </c>
      <c r="I102" s="3">
        <v>6</v>
      </c>
      <c r="J102" s="3">
        <v>0.72</v>
      </c>
      <c r="K102" s="3">
        <v>0.62</v>
      </c>
      <c r="L102" s="3">
        <v>1.59</v>
      </c>
      <c r="M102" s="3">
        <v>0</v>
      </c>
      <c r="N102" s="3">
        <v>161</v>
      </c>
      <c r="O102" s="3">
        <v>212</v>
      </c>
      <c r="P102" s="3">
        <v>2.4700000000000002</v>
      </c>
      <c r="Q102" s="3">
        <v>254</v>
      </c>
      <c r="R102" s="3">
        <v>455</v>
      </c>
      <c r="S102" s="3">
        <v>1.77</v>
      </c>
      <c r="T102" s="3">
        <v>0</v>
      </c>
      <c r="U102" s="3">
        <v>0</v>
      </c>
      <c r="V102" s="3">
        <v>42</v>
      </c>
      <c r="W102" s="3">
        <v>0</v>
      </c>
    </row>
    <row r="103" spans="1:23" x14ac:dyDescent="0.25">
      <c r="A103" s="3" t="s">
        <v>2025</v>
      </c>
      <c r="B103" s="3" t="s">
        <v>202</v>
      </c>
      <c r="C103" s="3"/>
      <c r="D103" s="3" t="s">
        <v>203</v>
      </c>
      <c r="E103" s="3">
        <v>346.6</v>
      </c>
      <c r="F103" s="3">
        <v>8.9</v>
      </c>
      <c r="G103" s="3">
        <v>7.4</v>
      </c>
      <c r="H103" s="3">
        <v>61.1</v>
      </c>
      <c r="I103" s="3"/>
      <c r="J103" s="3"/>
      <c r="K103" s="3"/>
      <c r="L103" s="3"/>
      <c r="M103" s="3"/>
      <c r="N103" s="3">
        <v>38</v>
      </c>
      <c r="O103" s="3">
        <v>161.9</v>
      </c>
      <c r="P103" s="3">
        <v>1.55</v>
      </c>
      <c r="Q103" s="3">
        <v>79</v>
      </c>
      <c r="R103" s="3">
        <v>297</v>
      </c>
      <c r="S103" s="3">
        <v>0.66</v>
      </c>
      <c r="T103" s="3"/>
      <c r="U103" s="3"/>
      <c r="V103" s="3"/>
      <c r="W103" s="3"/>
    </row>
    <row r="104" spans="1:23" x14ac:dyDescent="0.25">
      <c r="A104" s="3" t="s">
        <v>2025</v>
      </c>
      <c r="B104" s="3" t="s">
        <v>204</v>
      </c>
      <c r="C104" s="3"/>
      <c r="D104" s="3" t="s">
        <v>205</v>
      </c>
      <c r="E104" s="3">
        <v>317.2</v>
      </c>
      <c r="F104" s="3">
        <v>8.6</v>
      </c>
      <c r="G104" s="3">
        <v>3.6</v>
      </c>
      <c r="H104" s="3">
        <v>62.6</v>
      </c>
      <c r="I104" s="3"/>
      <c r="J104" s="3"/>
      <c r="K104" s="3"/>
      <c r="L104" s="3"/>
      <c r="M104" s="3"/>
      <c r="N104" s="3">
        <v>21</v>
      </c>
      <c r="O104" s="3">
        <v>72</v>
      </c>
      <c r="P104" s="3">
        <v>1.86</v>
      </c>
      <c r="Q104" s="3">
        <v>71</v>
      </c>
      <c r="R104" s="3">
        <v>334</v>
      </c>
      <c r="S104" s="3">
        <v>0.97</v>
      </c>
      <c r="T104" s="3"/>
      <c r="U104" s="3"/>
      <c r="V104" s="3"/>
      <c r="W104" s="3"/>
    </row>
    <row r="105" spans="1:23" x14ac:dyDescent="0.25">
      <c r="A105" s="3" t="s">
        <v>2025</v>
      </c>
      <c r="B105" s="3" t="s">
        <v>206</v>
      </c>
      <c r="C105" s="3"/>
      <c r="D105" s="3" t="s">
        <v>207</v>
      </c>
      <c r="E105" s="3">
        <v>250.13</v>
      </c>
      <c r="F105" s="3">
        <v>10.199999999999999</v>
      </c>
      <c r="G105" s="3">
        <v>1.53</v>
      </c>
      <c r="H105" s="3">
        <v>48.89</v>
      </c>
      <c r="I105" s="3">
        <v>4.0999999999999996</v>
      </c>
      <c r="J105" s="3">
        <v>0</v>
      </c>
      <c r="K105" s="3">
        <v>0.28999999999999998</v>
      </c>
      <c r="L105" s="3">
        <v>0.94</v>
      </c>
      <c r="M105" s="3">
        <v>0</v>
      </c>
      <c r="N105" s="3">
        <v>20</v>
      </c>
      <c r="O105" s="3">
        <v>142</v>
      </c>
      <c r="P105" s="3">
        <v>2.76</v>
      </c>
      <c r="Q105" s="3">
        <v>175</v>
      </c>
      <c r="R105" s="3">
        <v>439</v>
      </c>
      <c r="S105" s="3">
        <v>1.1000000000000001</v>
      </c>
      <c r="T105" s="3">
        <v>0</v>
      </c>
      <c r="U105" s="3">
        <v>0</v>
      </c>
      <c r="V105" s="3">
        <v>76</v>
      </c>
      <c r="W105" s="3">
        <v>0</v>
      </c>
    </row>
    <row r="106" spans="1:23" x14ac:dyDescent="0.25">
      <c r="A106" s="3" t="s">
        <v>2025</v>
      </c>
      <c r="B106" s="3" t="s">
        <v>208</v>
      </c>
      <c r="C106" s="3"/>
      <c r="D106" s="3" t="s">
        <v>209</v>
      </c>
      <c r="E106" s="3">
        <v>273.61</v>
      </c>
      <c r="F106" s="3">
        <v>10.67</v>
      </c>
      <c r="G106" s="3">
        <v>4.53</v>
      </c>
      <c r="H106" s="3">
        <v>47.54</v>
      </c>
      <c r="I106" s="3">
        <v>4</v>
      </c>
      <c r="J106" s="3">
        <v>0.69</v>
      </c>
      <c r="K106" s="3">
        <v>0.61</v>
      </c>
      <c r="L106" s="3">
        <v>1.61</v>
      </c>
      <c r="M106" s="3">
        <v>0</v>
      </c>
      <c r="N106" s="3">
        <v>125</v>
      </c>
      <c r="O106" s="3">
        <v>141</v>
      </c>
      <c r="P106" s="3">
        <v>3.6</v>
      </c>
      <c r="Q106" s="3">
        <v>141</v>
      </c>
      <c r="R106" s="3">
        <v>473</v>
      </c>
      <c r="S106" s="3">
        <v>1.04</v>
      </c>
      <c r="T106" s="3">
        <v>0.2</v>
      </c>
      <c r="U106" s="3">
        <v>0</v>
      </c>
      <c r="V106" s="3">
        <v>99</v>
      </c>
      <c r="W106" s="3">
        <v>0</v>
      </c>
    </row>
    <row r="107" spans="1:23" x14ac:dyDescent="0.25">
      <c r="A107" s="3" t="s">
        <v>2025</v>
      </c>
      <c r="B107" s="3" t="s">
        <v>210</v>
      </c>
      <c r="C107" s="3"/>
      <c r="D107" s="3" t="s">
        <v>211</v>
      </c>
      <c r="E107" s="3">
        <v>313.35000000000002</v>
      </c>
      <c r="F107" s="3">
        <v>12.96</v>
      </c>
      <c r="G107" s="3">
        <v>4.2699999999999996</v>
      </c>
      <c r="H107" s="3">
        <v>55.77</v>
      </c>
      <c r="I107" s="3">
        <v>4.7</v>
      </c>
      <c r="J107" s="3">
        <v>0.99</v>
      </c>
      <c r="K107" s="3">
        <v>1.02</v>
      </c>
      <c r="L107" s="3">
        <v>1.72</v>
      </c>
      <c r="M107" s="3">
        <v>0</v>
      </c>
      <c r="N107" s="3">
        <v>165</v>
      </c>
      <c r="O107" s="3">
        <v>223</v>
      </c>
      <c r="P107" s="3">
        <v>4.09</v>
      </c>
      <c r="Q107" s="3">
        <v>223</v>
      </c>
      <c r="R107" s="3">
        <v>601</v>
      </c>
      <c r="S107" s="3">
        <v>1.47</v>
      </c>
      <c r="T107" s="3">
        <v>0.2</v>
      </c>
      <c r="U107" s="3">
        <v>0</v>
      </c>
      <c r="V107" s="3">
        <v>100</v>
      </c>
      <c r="W107" s="3">
        <v>0</v>
      </c>
    </row>
    <row r="108" spans="1:23" x14ac:dyDescent="0.25">
      <c r="A108" s="3" t="s">
        <v>2025</v>
      </c>
      <c r="B108" s="3" t="s">
        <v>212</v>
      </c>
      <c r="C108" s="3"/>
      <c r="D108" s="3" t="s">
        <v>213</v>
      </c>
      <c r="E108" s="3">
        <v>304.8</v>
      </c>
      <c r="F108" s="3">
        <v>9.1999999999999993</v>
      </c>
      <c r="G108" s="3">
        <v>4</v>
      </c>
      <c r="H108" s="3">
        <v>58</v>
      </c>
      <c r="I108" s="3"/>
      <c r="J108" s="3"/>
      <c r="K108" s="3"/>
      <c r="L108" s="3"/>
      <c r="M108" s="3"/>
      <c r="N108" s="3">
        <v>9</v>
      </c>
      <c r="O108" s="3">
        <v>169</v>
      </c>
      <c r="P108" s="3">
        <v>7.94</v>
      </c>
      <c r="Q108" s="3">
        <v>152</v>
      </c>
      <c r="R108" s="3">
        <v>90</v>
      </c>
      <c r="S108" s="3">
        <v>1.69</v>
      </c>
      <c r="T108" s="3"/>
      <c r="U108" s="3"/>
      <c r="V108" s="3"/>
      <c r="W108" s="3"/>
    </row>
    <row r="109" spans="1:23" x14ac:dyDescent="0.25">
      <c r="A109" s="3" t="s">
        <v>2025</v>
      </c>
      <c r="B109" s="3" t="s">
        <v>214</v>
      </c>
      <c r="C109" s="3"/>
      <c r="D109" s="3" t="s">
        <v>215</v>
      </c>
      <c r="E109" s="3">
        <v>301.25</v>
      </c>
      <c r="F109" s="3">
        <v>7.5</v>
      </c>
      <c r="G109" s="3">
        <v>11.25</v>
      </c>
      <c r="H109" s="3">
        <v>42.5</v>
      </c>
      <c r="I109" s="3">
        <v>0</v>
      </c>
      <c r="J109" s="3">
        <v>6.25</v>
      </c>
      <c r="K109" s="3"/>
      <c r="L109" s="3"/>
      <c r="M109" s="3">
        <v>50</v>
      </c>
      <c r="N109" s="3">
        <v>150</v>
      </c>
      <c r="O109" s="3"/>
      <c r="P109" s="3">
        <v>0</v>
      </c>
      <c r="Q109" s="3"/>
      <c r="R109" s="3">
        <v>875</v>
      </c>
      <c r="S109" s="3"/>
      <c r="T109" s="3">
        <v>0</v>
      </c>
      <c r="U109" s="3">
        <v>75</v>
      </c>
      <c r="V109" s="3"/>
      <c r="W109" s="3"/>
    </row>
    <row r="110" spans="1:23" x14ac:dyDescent="0.25">
      <c r="A110" s="3" t="s">
        <v>2025</v>
      </c>
      <c r="B110" s="3" t="s">
        <v>216</v>
      </c>
      <c r="C110" s="3"/>
      <c r="D110" s="3" t="s">
        <v>217</v>
      </c>
      <c r="E110" s="3">
        <v>342.4</v>
      </c>
      <c r="F110" s="3">
        <v>8.6</v>
      </c>
      <c r="G110" s="3">
        <v>7.2</v>
      </c>
      <c r="H110" s="3">
        <v>60.8</v>
      </c>
      <c r="I110" s="3"/>
      <c r="J110" s="3"/>
      <c r="K110" s="3"/>
      <c r="L110" s="3"/>
      <c r="M110" s="3"/>
      <c r="N110" s="3">
        <v>49</v>
      </c>
      <c r="O110" s="3">
        <v>90</v>
      </c>
      <c r="P110" s="3">
        <v>1.43</v>
      </c>
      <c r="Q110" s="3">
        <v>70</v>
      </c>
      <c r="R110" s="3">
        <v>206</v>
      </c>
      <c r="S110" s="3">
        <v>0.7</v>
      </c>
      <c r="T110" s="3"/>
      <c r="U110" s="3"/>
      <c r="V110" s="3"/>
      <c r="W110" s="3"/>
    </row>
    <row r="111" spans="1:23" x14ac:dyDescent="0.25">
      <c r="A111" s="3" t="s">
        <v>2025</v>
      </c>
      <c r="B111" s="3" t="s">
        <v>218</v>
      </c>
      <c r="C111" s="3"/>
      <c r="D111" s="3" t="s">
        <v>219</v>
      </c>
      <c r="E111" s="3">
        <v>338.3</v>
      </c>
      <c r="F111" s="3">
        <v>9.3000000000000007</v>
      </c>
      <c r="G111" s="3">
        <v>7.1</v>
      </c>
      <c r="H111" s="3">
        <v>59.3</v>
      </c>
      <c r="I111" s="3"/>
      <c r="J111" s="3"/>
      <c r="K111" s="3"/>
      <c r="L111" s="3"/>
      <c r="M111" s="3"/>
      <c r="N111" s="3">
        <v>60</v>
      </c>
      <c r="O111" s="3">
        <v>103</v>
      </c>
      <c r="P111" s="3">
        <v>1.66</v>
      </c>
      <c r="Q111" s="3">
        <v>81</v>
      </c>
      <c r="R111" s="3">
        <v>395</v>
      </c>
      <c r="S111" s="3">
        <v>0.92</v>
      </c>
      <c r="T111" s="3"/>
      <c r="U111" s="3"/>
      <c r="V111" s="3"/>
      <c r="W111" s="3"/>
    </row>
    <row r="112" spans="1:23" x14ac:dyDescent="0.25">
      <c r="A112" s="3" t="s">
        <v>2025</v>
      </c>
      <c r="B112" s="3" t="s">
        <v>220</v>
      </c>
      <c r="C112" s="3"/>
      <c r="D112" s="3" t="s">
        <v>221</v>
      </c>
      <c r="E112" s="3">
        <v>345.1</v>
      </c>
      <c r="F112" s="3">
        <v>9.6999999999999993</v>
      </c>
      <c r="G112" s="3">
        <v>8.3000000000000007</v>
      </c>
      <c r="H112" s="3">
        <v>57.9</v>
      </c>
      <c r="I112" s="3"/>
      <c r="J112" s="3"/>
      <c r="K112" s="3"/>
      <c r="L112" s="3"/>
      <c r="M112" s="3"/>
      <c r="N112" s="3">
        <v>12</v>
      </c>
      <c r="O112" s="3">
        <v>55</v>
      </c>
      <c r="P112" s="3">
        <v>7.21</v>
      </c>
      <c r="Q112" s="3">
        <v>183</v>
      </c>
      <c r="R112" s="3">
        <v>171</v>
      </c>
      <c r="S112" s="3">
        <v>2.4900000000000002</v>
      </c>
      <c r="T112" s="3"/>
      <c r="U112" s="3"/>
      <c r="V112" s="3"/>
      <c r="W112" s="3"/>
    </row>
    <row r="113" spans="1:23" x14ac:dyDescent="0.25">
      <c r="A113" s="3" t="s">
        <v>2025</v>
      </c>
      <c r="B113" s="3" t="s">
        <v>222</v>
      </c>
      <c r="C113" s="3"/>
      <c r="D113" s="3" t="s">
        <v>223</v>
      </c>
      <c r="E113" s="3">
        <v>253.55</v>
      </c>
      <c r="F113" s="3">
        <v>12.3</v>
      </c>
      <c r="G113" s="3">
        <v>3.55</v>
      </c>
      <c r="H113" s="3">
        <v>43.1</v>
      </c>
      <c r="I113" s="3">
        <v>6</v>
      </c>
      <c r="J113" s="3">
        <v>0.73</v>
      </c>
      <c r="K113" s="3">
        <v>0.62</v>
      </c>
      <c r="L113" s="3">
        <v>1.61</v>
      </c>
      <c r="M113" s="3"/>
      <c r="N113" s="3">
        <v>163</v>
      </c>
      <c r="O113" s="3">
        <v>212</v>
      </c>
      <c r="P113" s="3">
        <v>2.56</v>
      </c>
      <c r="Q113" s="3">
        <v>250</v>
      </c>
      <c r="R113" s="3">
        <v>450</v>
      </c>
      <c r="S113" s="3">
        <v>1.76</v>
      </c>
      <c r="T113" s="3"/>
      <c r="U113" s="3"/>
      <c r="V113" s="3">
        <v>42</v>
      </c>
      <c r="W113" s="3"/>
    </row>
    <row r="114" spans="1:23" x14ac:dyDescent="0.25">
      <c r="A114" s="3" t="s">
        <v>2025</v>
      </c>
      <c r="B114" s="3" t="s">
        <v>224</v>
      </c>
      <c r="C114" s="3"/>
      <c r="D114" s="3" t="s">
        <v>225</v>
      </c>
      <c r="E114" s="3">
        <v>306.35000000000002</v>
      </c>
      <c r="F114" s="3">
        <v>16.27</v>
      </c>
      <c r="G114" s="3">
        <v>4.07</v>
      </c>
      <c r="H114" s="3">
        <v>51.16</v>
      </c>
      <c r="I114" s="3">
        <v>7.5</v>
      </c>
      <c r="J114" s="3">
        <v>0.92</v>
      </c>
      <c r="K114" s="3">
        <v>1.97</v>
      </c>
      <c r="L114" s="3">
        <v>0.74</v>
      </c>
      <c r="M114" s="3">
        <v>0</v>
      </c>
      <c r="N114" s="3">
        <v>130</v>
      </c>
      <c r="O114" s="3">
        <v>303</v>
      </c>
      <c r="P114" s="3">
        <v>2.96</v>
      </c>
      <c r="Q114" s="3">
        <v>326</v>
      </c>
      <c r="R114" s="3">
        <v>565</v>
      </c>
      <c r="S114" s="3">
        <v>2.15</v>
      </c>
      <c r="T114" s="3">
        <v>0</v>
      </c>
      <c r="U114" s="3">
        <v>0</v>
      </c>
      <c r="V114" s="3">
        <v>52</v>
      </c>
      <c r="W114" s="3">
        <v>0</v>
      </c>
    </row>
    <row r="115" spans="1:23" x14ac:dyDescent="0.25">
      <c r="A115" s="3" t="s">
        <v>2025</v>
      </c>
      <c r="B115" s="3" t="s">
        <v>226</v>
      </c>
      <c r="C115" s="3"/>
      <c r="D115" s="3" t="s">
        <v>227</v>
      </c>
      <c r="E115" s="3">
        <v>261</v>
      </c>
      <c r="F115" s="3">
        <v>9.6999999999999993</v>
      </c>
      <c r="G115" s="3">
        <v>4.2</v>
      </c>
      <c r="H115" s="3">
        <v>46.1</v>
      </c>
      <c r="I115" s="3">
        <v>6.9</v>
      </c>
      <c r="J115" s="3">
        <v>0.92</v>
      </c>
      <c r="K115" s="3">
        <v>1.68</v>
      </c>
      <c r="L115" s="3">
        <v>1</v>
      </c>
      <c r="M115" s="3">
        <v>0</v>
      </c>
      <c r="N115" s="3">
        <v>72</v>
      </c>
      <c r="O115" s="3">
        <v>229</v>
      </c>
      <c r="P115" s="3">
        <v>3.3</v>
      </c>
      <c r="Q115" s="3">
        <v>252</v>
      </c>
      <c r="R115" s="3">
        <v>527</v>
      </c>
      <c r="S115" s="3">
        <v>1.94</v>
      </c>
      <c r="T115" s="3">
        <v>0</v>
      </c>
      <c r="U115" s="3">
        <v>0</v>
      </c>
      <c r="V115" s="3">
        <v>50</v>
      </c>
      <c r="W115" s="3">
        <v>0.01</v>
      </c>
    </row>
    <row r="116" spans="1:23" x14ac:dyDescent="0.25">
      <c r="A116" s="3" t="s">
        <v>2025</v>
      </c>
      <c r="B116" s="3" t="s">
        <v>228</v>
      </c>
      <c r="C116" s="3"/>
      <c r="D116" s="3" t="s">
        <v>229</v>
      </c>
      <c r="E116" s="3">
        <v>293.60000000000002</v>
      </c>
      <c r="F116" s="3">
        <v>10.9</v>
      </c>
      <c r="G116" s="3">
        <v>4.8</v>
      </c>
      <c r="H116" s="3">
        <v>51.7</v>
      </c>
      <c r="I116" s="3">
        <v>7.4</v>
      </c>
      <c r="J116" s="3">
        <v>1.03</v>
      </c>
      <c r="K116" s="3">
        <v>1.89</v>
      </c>
      <c r="L116" s="3">
        <v>1.1299999999999999</v>
      </c>
      <c r="M116" s="3">
        <v>0</v>
      </c>
      <c r="N116" s="3">
        <v>81</v>
      </c>
      <c r="O116" s="3">
        <v>258</v>
      </c>
      <c r="P116" s="3">
        <v>3.71</v>
      </c>
      <c r="Q116" s="3">
        <v>283</v>
      </c>
      <c r="R116" s="3">
        <v>592</v>
      </c>
      <c r="S116" s="3">
        <v>2.1800000000000002</v>
      </c>
      <c r="T116" s="3">
        <v>0</v>
      </c>
      <c r="U116" s="3">
        <v>0</v>
      </c>
      <c r="V116" s="3">
        <v>39</v>
      </c>
      <c r="W116" s="3">
        <v>0.01</v>
      </c>
    </row>
    <row r="117" spans="1:23" x14ac:dyDescent="0.25">
      <c r="A117" s="3" t="s">
        <v>2025</v>
      </c>
      <c r="B117" s="3" t="s">
        <v>230</v>
      </c>
      <c r="C117" s="3"/>
      <c r="D117" s="3" t="s">
        <v>231</v>
      </c>
      <c r="E117" s="3">
        <v>282.60000000000002</v>
      </c>
      <c r="F117" s="3">
        <v>9.8000000000000007</v>
      </c>
      <c r="G117" s="3">
        <v>2.6</v>
      </c>
      <c r="H117" s="3">
        <v>55</v>
      </c>
      <c r="I117" s="3">
        <v>7.4</v>
      </c>
      <c r="J117" s="3">
        <v>0.41</v>
      </c>
      <c r="K117" s="3">
        <v>0.35</v>
      </c>
      <c r="L117" s="3">
        <v>1.05</v>
      </c>
      <c r="M117" s="3">
        <v>0</v>
      </c>
      <c r="N117" s="3">
        <v>15</v>
      </c>
      <c r="O117" s="3">
        <v>180</v>
      </c>
      <c r="P117" s="3">
        <v>3.06</v>
      </c>
      <c r="Q117" s="3">
        <v>170</v>
      </c>
      <c r="R117" s="3">
        <v>532</v>
      </c>
      <c r="S117" s="3">
        <v>1.52</v>
      </c>
      <c r="T117" s="3">
        <v>0</v>
      </c>
      <c r="U117" s="3">
        <v>0</v>
      </c>
      <c r="V117" s="3">
        <v>35</v>
      </c>
      <c r="W117" s="3">
        <v>0</v>
      </c>
    </row>
    <row r="118" spans="1:23" x14ac:dyDescent="0.25">
      <c r="A118" s="3" t="s">
        <v>2025</v>
      </c>
      <c r="B118" s="3" t="s">
        <v>232</v>
      </c>
      <c r="C118" s="3"/>
      <c r="D118" s="3" t="s">
        <v>233</v>
      </c>
      <c r="E118" s="3">
        <v>304.8</v>
      </c>
      <c r="F118" s="3">
        <v>8.8000000000000007</v>
      </c>
      <c r="G118" s="3">
        <v>3.6</v>
      </c>
      <c r="H118" s="3">
        <v>59.3</v>
      </c>
      <c r="I118" s="3"/>
      <c r="J118" s="3"/>
      <c r="K118" s="3"/>
      <c r="L118" s="3"/>
      <c r="M118" s="3"/>
      <c r="N118" s="3">
        <v>64</v>
      </c>
      <c r="O118" s="3">
        <v>121</v>
      </c>
      <c r="P118" s="3">
        <v>2.2200000000000002</v>
      </c>
      <c r="Q118" s="3">
        <v>111</v>
      </c>
      <c r="R118" s="3">
        <v>396</v>
      </c>
      <c r="S118" s="3">
        <v>1.04</v>
      </c>
      <c r="T118" s="3"/>
      <c r="U118" s="3"/>
      <c r="V118" s="3"/>
      <c r="W118" s="3"/>
    </row>
    <row r="119" spans="1:23" x14ac:dyDescent="0.25">
      <c r="A119" s="3" t="s">
        <v>2025</v>
      </c>
      <c r="B119" s="3" t="s">
        <v>234</v>
      </c>
      <c r="C119" s="3"/>
      <c r="D119" s="3" t="s">
        <v>235</v>
      </c>
      <c r="E119" s="3">
        <v>252.7</v>
      </c>
      <c r="F119" s="3">
        <v>8.6999999999999993</v>
      </c>
      <c r="G119" s="3">
        <v>3.1</v>
      </c>
      <c r="H119" s="3">
        <v>47.5</v>
      </c>
      <c r="I119" s="3">
        <v>6.8</v>
      </c>
      <c r="J119" s="3">
        <v>0.44</v>
      </c>
      <c r="K119" s="3">
        <v>0.93</v>
      </c>
      <c r="L119" s="3">
        <v>1.24</v>
      </c>
      <c r="M119" s="3">
        <v>0</v>
      </c>
      <c r="N119" s="3">
        <v>68</v>
      </c>
      <c r="O119" s="3">
        <v>178</v>
      </c>
      <c r="P119" s="3">
        <v>2.87</v>
      </c>
      <c r="Q119" s="3">
        <v>208</v>
      </c>
      <c r="R119" s="3">
        <v>596</v>
      </c>
      <c r="S119" s="3">
        <v>1.48</v>
      </c>
      <c r="T119" s="3">
        <v>0</v>
      </c>
      <c r="U119" s="3">
        <v>0</v>
      </c>
      <c r="V119" s="3">
        <v>93</v>
      </c>
      <c r="W119" s="3">
        <v>0</v>
      </c>
    </row>
    <row r="120" spans="1:23" x14ac:dyDescent="0.25">
      <c r="A120" s="3" t="s">
        <v>2025</v>
      </c>
      <c r="B120" s="3" t="s">
        <v>236</v>
      </c>
      <c r="C120" s="3"/>
      <c r="D120" s="3" t="s">
        <v>237</v>
      </c>
      <c r="E120" s="3">
        <v>277.73</v>
      </c>
      <c r="F120" s="3">
        <v>9.56</v>
      </c>
      <c r="G120" s="3">
        <v>3.41</v>
      </c>
      <c r="H120" s="3">
        <v>52.2</v>
      </c>
      <c r="I120" s="3">
        <v>7.1</v>
      </c>
      <c r="J120" s="3">
        <v>0.48</v>
      </c>
      <c r="K120" s="3">
        <v>1.02</v>
      </c>
      <c r="L120" s="3">
        <v>1.36</v>
      </c>
      <c r="M120" s="3">
        <v>0</v>
      </c>
      <c r="N120" s="3">
        <v>75</v>
      </c>
      <c r="O120" s="3">
        <v>196</v>
      </c>
      <c r="P120" s="3">
        <v>3.15</v>
      </c>
      <c r="Q120" s="3">
        <v>229</v>
      </c>
      <c r="R120" s="3">
        <v>655</v>
      </c>
      <c r="S120" s="3">
        <v>1.63</v>
      </c>
      <c r="T120" s="3">
        <v>0</v>
      </c>
      <c r="U120" s="3">
        <v>0</v>
      </c>
      <c r="V120" s="3">
        <v>87</v>
      </c>
      <c r="W120" s="3">
        <v>0</v>
      </c>
    </row>
    <row r="121" spans="1:23" x14ac:dyDescent="0.25">
      <c r="A121" s="3" t="s">
        <v>2025</v>
      </c>
      <c r="B121" s="3" t="s">
        <v>238</v>
      </c>
      <c r="C121" s="3"/>
      <c r="D121" s="3" t="s">
        <v>239</v>
      </c>
      <c r="E121" s="3">
        <v>270.8</v>
      </c>
      <c r="F121" s="3">
        <v>9.6</v>
      </c>
      <c r="G121" s="3">
        <v>6</v>
      </c>
      <c r="H121" s="3">
        <v>44.6</v>
      </c>
      <c r="I121" s="3">
        <v>3.8</v>
      </c>
      <c r="J121" s="3">
        <v>1.39</v>
      </c>
      <c r="K121" s="3">
        <v>2.84</v>
      </c>
      <c r="L121" s="3">
        <v>1.1499999999999999</v>
      </c>
      <c r="M121" s="3">
        <v>0</v>
      </c>
      <c r="N121" s="3">
        <v>95</v>
      </c>
      <c r="O121" s="3">
        <v>122</v>
      </c>
      <c r="P121" s="3">
        <v>3.95</v>
      </c>
      <c r="Q121" s="3">
        <v>160</v>
      </c>
      <c r="R121" s="3">
        <v>458</v>
      </c>
      <c r="S121" s="3">
        <v>1.05</v>
      </c>
      <c r="T121" s="3">
        <v>0</v>
      </c>
      <c r="U121" s="3">
        <v>0</v>
      </c>
      <c r="V121" s="3">
        <v>111</v>
      </c>
      <c r="W121" s="3">
        <v>0.01</v>
      </c>
    </row>
    <row r="122" spans="1:23" x14ac:dyDescent="0.25">
      <c r="A122" s="3" t="s">
        <v>2025</v>
      </c>
      <c r="B122" s="3" t="s">
        <v>240</v>
      </c>
      <c r="C122" s="3"/>
      <c r="D122" s="3" t="s">
        <v>241</v>
      </c>
      <c r="E122" s="3">
        <v>274.75</v>
      </c>
      <c r="F122" s="3">
        <v>9.77</v>
      </c>
      <c r="G122" s="3">
        <v>3.91</v>
      </c>
      <c r="H122" s="3">
        <v>50.12</v>
      </c>
      <c r="I122" s="3">
        <v>1.8</v>
      </c>
      <c r="J122" s="3">
        <v>0.84</v>
      </c>
      <c r="K122" s="3">
        <v>0.75</v>
      </c>
      <c r="L122" s="3">
        <v>1.78</v>
      </c>
      <c r="M122" s="3">
        <v>0</v>
      </c>
      <c r="N122" s="3">
        <v>144</v>
      </c>
      <c r="O122" s="3">
        <v>101</v>
      </c>
      <c r="P122" s="3">
        <v>3.43</v>
      </c>
      <c r="Q122" s="3">
        <v>122</v>
      </c>
      <c r="R122" s="3">
        <v>494</v>
      </c>
      <c r="S122" s="3">
        <v>0.73</v>
      </c>
      <c r="T122" s="3">
        <v>1.3</v>
      </c>
      <c r="U122" s="3">
        <v>29</v>
      </c>
      <c r="V122" s="3">
        <v>94</v>
      </c>
      <c r="W122" s="3">
        <v>0.2</v>
      </c>
    </row>
    <row r="123" spans="1:23" x14ac:dyDescent="0.25">
      <c r="A123" s="3" t="s">
        <v>2025</v>
      </c>
      <c r="B123" s="3" t="s">
        <v>242</v>
      </c>
      <c r="C123" s="3"/>
      <c r="D123" s="3" t="s">
        <v>243</v>
      </c>
      <c r="E123" s="3">
        <v>137.43</v>
      </c>
      <c r="F123" s="3">
        <v>4.54</v>
      </c>
      <c r="G123" s="3">
        <v>2.0699999999999998</v>
      </c>
      <c r="H123" s="3">
        <v>25.16</v>
      </c>
      <c r="I123" s="3">
        <v>1.2</v>
      </c>
      <c r="J123" s="3">
        <v>0.42</v>
      </c>
      <c r="K123" s="3">
        <v>0.57999999999999996</v>
      </c>
      <c r="L123" s="3">
        <v>0.55000000000000004</v>
      </c>
      <c r="M123" s="3">
        <v>29</v>
      </c>
      <c r="N123" s="3">
        <v>12</v>
      </c>
      <c r="O123" s="3">
        <v>76</v>
      </c>
      <c r="P123" s="3">
        <v>1.47</v>
      </c>
      <c r="Q123" s="3">
        <v>38</v>
      </c>
      <c r="R123" s="3">
        <v>5</v>
      </c>
      <c r="S123" s="3">
        <v>0.65</v>
      </c>
      <c r="T123" s="3">
        <v>0</v>
      </c>
      <c r="U123" s="3">
        <v>6</v>
      </c>
      <c r="V123" s="3">
        <v>84</v>
      </c>
      <c r="W123" s="3">
        <v>0.09</v>
      </c>
    </row>
    <row r="124" spans="1:23" x14ac:dyDescent="0.25">
      <c r="A124" s="3" t="s">
        <v>2025</v>
      </c>
      <c r="B124" s="3" t="s">
        <v>244</v>
      </c>
      <c r="C124" s="3"/>
      <c r="D124" s="3" t="s">
        <v>245</v>
      </c>
      <c r="E124" s="3">
        <v>381.68</v>
      </c>
      <c r="F124" s="3">
        <v>14.16</v>
      </c>
      <c r="G124" s="3">
        <v>4.4400000000000004</v>
      </c>
      <c r="H124" s="3">
        <v>71.27</v>
      </c>
      <c r="I124" s="3">
        <v>3.3</v>
      </c>
      <c r="J124" s="3">
        <v>1.18</v>
      </c>
      <c r="K124" s="3">
        <v>1.25</v>
      </c>
      <c r="L124" s="3">
        <v>1.33</v>
      </c>
      <c r="M124" s="3">
        <v>84</v>
      </c>
      <c r="N124" s="3">
        <v>35</v>
      </c>
      <c r="O124" s="3">
        <v>2.41</v>
      </c>
      <c r="P124" s="3">
        <v>4.01</v>
      </c>
      <c r="Q124" s="3">
        <v>244</v>
      </c>
      <c r="R124" s="3">
        <v>21</v>
      </c>
      <c r="S124" s="3">
        <v>1.92</v>
      </c>
      <c r="T124" s="3">
        <v>0</v>
      </c>
      <c r="U124" s="3">
        <v>17</v>
      </c>
      <c r="V124" s="3">
        <v>230</v>
      </c>
      <c r="W124" s="3">
        <v>0.28999999999999998</v>
      </c>
    </row>
    <row r="125" spans="1:23" x14ac:dyDescent="0.25">
      <c r="A125" s="3" t="s">
        <v>2025</v>
      </c>
      <c r="B125" s="3" t="s">
        <v>246</v>
      </c>
      <c r="C125" s="3"/>
      <c r="D125" s="3" t="s">
        <v>247</v>
      </c>
      <c r="E125" s="3">
        <v>105</v>
      </c>
      <c r="F125" s="3">
        <v>1.79</v>
      </c>
      <c r="G125" s="3">
        <v>0.2</v>
      </c>
      <c r="H125" s="3">
        <v>24.01</v>
      </c>
      <c r="I125" s="3">
        <v>1</v>
      </c>
      <c r="J125" s="3">
        <v>0.02</v>
      </c>
      <c r="K125" s="3">
        <v>0.03</v>
      </c>
      <c r="L125" s="3">
        <v>0.02</v>
      </c>
      <c r="M125" s="3">
        <v>0</v>
      </c>
      <c r="N125" s="3">
        <v>4</v>
      </c>
      <c r="O125" s="3">
        <v>20</v>
      </c>
      <c r="P125" s="3">
        <v>0.14000000000000001</v>
      </c>
      <c r="Q125" s="3">
        <v>4</v>
      </c>
      <c r="R125" s="3">
        <v>19</v>
      </c>
      <c r="S125" s="3">
        <v>0.25</v>
      </c>
      <c r="T125" s="3">
        <v>0</v>
      </c>
      <c r="U125" s="3">
        <v>0</v>
      </c>
      <c r="V125" s="3">
        <v>1</v>
      </c>
      <c r="W125" s="3">
        <v>0</v>
      </c>
    </row>
    <row r="126" spans="1:23" x14ac:dyDescent="0.25">
      <c r="A126" s="3" t="s">
        <v>2025</v>
      </c>
      <c r="B126" s="3" t="s">
        <v>248</v>
      </c>
      <c r="C126" s="3"/>
      <c r="D126" s="3" t="s">
        <v>249</v>
      </c>
      <c r="E126" s="3">
        <v>349.56</v>
      </c>
      <c r="F126" s="3">
        <v>5.95</v>
      </c>
      <c r="G126" s="3">
        <v>0.56000000000000005</v>
      </c>
      <c r="H126" s="3">
        <v>80.180000000000007</v>
      </c>
      <c r="I126" s="3">
        <v>1.6</v>
      </c>
      <c r="J126" s="3">
        <v>0.15</v>
      </c>
      <c r="K126" s="3">
        <v>0.18</v>
      </c>
      <c r="L126" s="3">
        <v>0.15</v>
      </c>
      <c r="M126" s="3">
        <v>0</v>
      </c>
      <c r="N126" s="3">
        <v>18</v>
      </c>
      <c r="O126" s="3">
        <v>0.7</v>
      </c>
      <c r="P126" s="3">
        <v>10.57</v>
      </c>
      <c r="Q126" s="3">
        <v>30</v>
      </c>
      <c r="R126" s="3">
        <v>182</v>
      </c>
      <c r="S126" s="3">
        <v>0.74</v>
      </c>
      <c r="T126" s="3">
        <v>0</v>
      </c>
      <c r="U126" s="3">
        <v>0</v>
      </c>
      <c r="V126" s="3">
        <v>3</v>
      </c>
      <c r="W126" s="3">
        <v>0</v>
      </c>
    </row>
    <row r="127" spans="1:23" x14ac:dyDescent="0.25">
      <c r="A127" s="3" t="s">
        <v>2025</v>
      </c>
      <c r="B127" s="3" t="s">
        <v>250</v>
      </c>
      <c r="C127" s="3"/>
      <c r="D127" s="3" t="s">
        <v>251</v>
      </c>
      <c r="E127" s="3">
        <v>155.01</v>
      </c>
      <c r="F127" s="3">
        <v>5.8</v>
      </c>
      <c r="G127" s="3">
        <v>0.93</v>
      </c>
      <c r="H127" s="3">
        <v>30.86</v>
      </c>
      <c r="I127" s="3">
        <v>1.18</v>
      </c>
      <c r="J127" s="3">
        <v>0.18</v>
      </c>
      <c r="K127" s="3">
        <v>0.13</v>
      </c>
      <c r="L127" s="3">
        <v>0.32</v>
      </c>
      <c r="M127" s="3">
        <v>0</v>
      </c>
      <c r="N127" s="3">
        <v>7</v>
      </c>
      <c r="O127" s="3">
        <v>58</v>
      </c>
      <c r="P127" s="3">
        <v>0.5</v>
      </c>
      <c r="Q127" s="3">
        <v>45</v>
      </c>
      <c r="R127" s="3">
        <v>1</v>
      </c>
      <c r="S127" s="3">
        <v>0.5</v>
      </c>
      <c r="T127" s="3">
        <v>0</v>
      </c>
      <c r="U127" s="3">
        <v>0</v>
      </c>
      <c r="V127" s="3">
        <v>7</v>
      </c>
      <c r="W127" s="3">
        <v>0</v>
      </c>
    </row>
    <row r="128" spans="1:23" x14ac:dyDescent="0.25">
      <c r="A128" s="3" t="s">
        <v>2025</v>
      </c>
      <c r="B128" s="3" t="s">
        <v>252</v>
      </c>
      <c r="C128" s="3"/>
      <c r="D128" s="3" t="s">
        <v>253</v>
      </c>
      <c r="E128" s="3">
        <v>364.83</v>
      </c>
      <c r="F128" s="3">
        <v>13.04</v>
      </c>
      <c r="G128" s="3">
        <v>1.51</v>
      </c>
      <c r="H128" s="3">
        <v>74.77</v>
      </c>
      <c r="I128" s="3">
        <v>3.2</v>
      </c>
      <c r="J128" s="3">
        <v>0.28000000000000003</v>
      </c>
      <c r="K128" s="3">
        <v>0.17</v>
      </c>
      <c r="L128" s="3">
        <v>0.56000000000000005</v>
      </c>
      <c r="M128" s="3">
        <v>0</v>
      </c>
      <c r="N128" s="3">
        <v>18</v>
      </c>
      <c r="O128" s="3">
        <v>150</v>
      </c>
      <c r="P128" s="3">
        <v>130</v>
      </c>
      <c r="Q128" s="3">
        <v>162</v>
      </c>
      <c r="R128" s="3">
        <v>5</v>
      </c>
      <c r="S128" s="3">
        <v>1.26</v>
      </c>
      <c r="T128" s="3">
        <v>0</v>
      </c>
      <c r="U128" s="3">
        <v>0</v>
      </c>
      <c r="V128" s="3">
        <v>18</v>
      </c>
      <c r="W128" s="3">
        <v>0</v>
      </c>
    </row>
    <row r="129" spans="1:23" x14ac:dyDescent="0.25">
      <c r="A129" s="3" t="s">
        <v>2025</v>
      </c>
      <c r="B129" s="3" t="s">
        <v>254</v>
      </c>
      <c r="C129" s="3"/>
      <c r="D129" s="3" t="s">
        <v>255</v>
      </c>
      <c r="E129" s="3">
        <v>355.4</v>
      </c>
      <c r="F129" s="3">
        <v>10.3</v>
      </c>
      <c r="G129" s="3">
        <v>1</v>
      </c>
      <c r="H129" s="3">
        <v>76.3</v>
      </c>
      <c r="I129" s="3">
        <v>6.3</v>
      </c>
      <c r="J129" s="3">
        <v>0.45</v>
      </c>
      <c r="K129" s="3">
        <v>0.69</v>
      </c>
      <c r="L129" s="3">
        <v>1.42</v>
      </c>
      <c r="M129" s="3">
        <v>0</v>
      </c>
      <c r="N129" s="3">
        <v>81</v>
      </c>
      <c r="O129" s="3">
        <v>314</v>
      </c>
      <c r="P129" s="3">
        <v>1.23</v>
      </c>
      <c r="Q129" s="3">
        <v>186</v>
      </c>
      <c r="R129" s="3">
        <v>45</v>
      </c>
      <c r="S129" s="3">
        <v>1.31</v>
      </c>
      <c r="T129" s="3">
        <v>0</v>
      </c>
      <c r="U129" s="3">
        <v>2</v>
      </c>
      <c r="V129" s="3">
        <v>5</v>
      </c>
      <c r="W129" s="3">
        <v>0</v>
      </c>
    </row>
    <row r="130" spans="1:23" x14ac:dyDescent="0.25">
      <c r="A130" s="3" t="s">
        <v>2025</v>
      </c>
      <c r="B130" s="3" t="s">
        <v>256</v>
      </c>
      <c r="C130" s="3"/>
      <c r="D130" s="3" t="s">
        <v>257</v>
      </c>
      <c r="E130" s="3">
        <v>128.59</v>
      </c>
      <c r="F130" s="3">
        <v>4.58</v>
      </c>
      <c r="G130" s="3">
        <v>0.63</v>
      </c>
      <c r="H130" s="3">
        <v>26.15</v>
      </c>
      <c r="I130" s="3">
        <v>0</v>
      </c>
      <c r="J130" s="3">
        <v>0.09</v>
      </c>
      <c r="K130" s="3">
        <v>7.0000000000000007E-2</v>
      </c>
      <c r="L130" s="3">
        <v>0.26</v>
      </c>
      <c r="M130" s="3">
        <v>0</v>
      </c>
      <c r="N130" s="3">
        <v>30</v>
      </c>
      <c r="O130" s="3">
        <v>108</v>
      </c>
      <c r="P130" s="3">
        <v>1.04</v>
      </c>
      <c r="Q130" s="3">
        <v>58</v>
      </c>
      <c r="R130" s="3">
        <v>14</v>
      </c>
      <c r="S130" s="3">
        <v>1.08</v>
      </c>
      <c r="T130" s="3"/>
      <c r="U130" s="3">
        <v>8</v>
      </c>
      <c r="V130" s="3">
        <v>12</v>
      </c>
      <c r="W130" s="3">
        <v>0</v>
      </c>
    </row>
    <row r="131" spans="1:23" x14ac:dyDescent="0.25">
      <c r="A131" s="3" t="s">
        <v>2025</v>
      </c>
      <c r="B131" s="3" t="s">
        <v>258</v>
      </c>
      <c r="C131" s="3"/>
      <c r="D131" s="3" t="s">
        <v>259</v>
      </c>
      <c r="E131" s="3">
        <v>366.77</v>
      </c>
      <c r="F131" s="3">
        <v>13.35</v>
      </c>
      <c r="G131" s="3">
        <v>1.57</v>
      </c>
      <c r="H131" s="3">
        <v>74.81</v>
      </c>
      <c r="I131" s="3">
        <v>10.6</v>
      </c>
      <c r="J131" s="3">
        <v>0.23</v>
      </c>
      <c r="K131" s="3">
        <v>0.18</v>
      </c>
      <c r="L131" s="3">
        <v>0.64</v>
      </c>
      <c r="M131" s="3">
        <v>0</v>
      </c>
      <c r="N131" s="3">
        <v>58</v>
      </c>
      <c r="O131" s="3">
        <v>332</v>
      </c>
      <c r="P131" s="3">
        <v>2.13</v>
      </c>
      <c r="Q131" s="3">
        <v>376</v>
      </c>
      <c r="R131" s="3">
        <v>36</v>
      </c>
      <c r="S131" s="3">
        <v>2.76</v>
      </c>
      <c r="T131" s="3">
        <v>0</v>
      </c>
      <c r="U131" s="3">
        <v>23</v>
      </c>
      <c r="V131" s="3">
        <v>48</v>
      </c>
      <c r="W131" s="3">
        <v>0</v>
      </c>
    </row>
    <row r="132" spans="1:23" x14ac:dyDescent="0.25">
      <c r="A132" s="3" t="s">
        <v>2025</v>
      </c>
      <c r="B132" s="3" t="s">
        <v>260</v>
      </c>
      <c r="C132" s="3"/>
      <c r="D132" s="3" t="s">
        <v>261</v>
      </c>
      <c r="E132" s="3">
        <v>365.45</v>
      </c>
      <c r="F132" s="3">
        <v>14.55</v>
      </c>
      <c r="G132" s="3">
        <v>1.82</v>
      </c>
      <c r="H132" s="3">
        <v>72.73</v>
      </c>
      <c r="I132" s="3">
        <v>0</v>
      </c>
      <c r="J132" s="3">
        <v>0</v>
      </c>
      <c r="K132" s="3"/>
      <c r="L132" s="3"/>
      <c r="M132" s="3">
        <v>0</v>
      </c>
      <c r="N132" s="3"/>
      <c r="O132" s="3"/>
      <c r="P132" s="3"/>
      <c r="Q132" s="3"/>
      <c r="R132" s="3">
        <v>18.18</v>
      </c>
      <c r="S132" s="3"/>
      <c r="T132" s="3"/>
      <c r="U132" s="3"/>
      <c r="V132" s="3"/>
      <c r="W132" s="3"/>
    </row>
    <row r="133" spans="1:23" x14ac:dyDescent="0.25">
      <c r="A133" s="3" t="s">
        <v>2025</v>
      </c>
      <c r="B133" s="3" t="s">
        <v>262</v>
      </c>
      <c r="C133" s="3"/>
      <c r="D133" s="3" t="s">
        <v>263</v>
      </c>
      <c r="E133" s="3">
        <v>374.12</v>
      </c>
      <c r="F133" s="3">
        <v>10.71</v>
      </c>
      <c r="G133" s="3">
        <v>2.68</v>
      </c>
      <c r="H133" s="3">
        <v>76.790000000000006</v>
      </c>
      <c r="I133" s="3">
        <v>10.7</v>
      </c>
      <c r="J133" s="3">
        <v>0</v>
      </c>
      <c r="K133" s="3"/>
      <c r="L133" s="3"/>
      <c r="M133" s="3">
        <v>0</v>
      </c>
      <c r="N133" s="3">
        <v>71</v>
      </c>
      <c r="O133" s="3"/>
      <c r="P133" s="3">
        <v>4.82</v>
      </c>
      <c r="Q133" s="3"/>
      <c r="R133" s="3">
        <v>0</v>
      </c>
      <c r="S133" s="3"/>
      <c r="T133" s="3">
        <v>0</v>
      </c>
      <c r="U133" s="3">
        <v>0</v>
      </c>
      <c r="V133" s="3"/>
      <c r="W133" s="3"/>
    </row>
    <row r="134" spans="1:23" x14ac:dyDescent="0.25">
      <c r="A134" s="3" t="s">
        <v>2025</v>
      </c>
      <c r="B134" s="3" t="s">
        <v>264</v>
      </c>
      <c r="C134" s="3"/>
      <c r="D134" s="3" t="s">
        <v>265</v>
      </c>
      <c r="E134" s="3">
        <v>468</v>
      </c>
      <c r="F134" s="3">
        <v>12</v>
      </c>
      <c r="G134" s="3">
        <v>20</v>
      </c>
      <c r="H134" s="3">
        <v>60</v>
      </c>
      <c r="I134" s="3">
        <v>0</v>
      </c>
      <c r="J134" s="3">
        <v>12</v>
      </c>
      <c r="K134" s="3">
        <v>8</v>
      </c>
      <c r="L134" s="3">
        <v>4</v>
      </c>
      <c r="M134" s="3">
        <v>36</v>
      </c>
      <c r="N134" s="3"/>
      <c r="O134" s="3"/>
      <c r="P134" s="3"/>
      <c r="Q134" s="3"/>
      <c r="R134" s="3">
        <v>1480</v>
      </c>
      <c r="S134" s="3"/>
      <c r="T134" s="3"/>
      <c r="U134" s="3"/>
      <c r="V134" s="3"/>
      <c r="W134" s="3"/>
    </row>
    <row r="135" spans="1:23" x14ac:dyDescent="0.25">
      <c r="A135" s="3" t="s">
        <v>2025</v>
      </c>
      <c r="B135" s="3" t="s">
        <v>266</v>
      </c>
      <c r="C135" s="3"/>
      <c r="D135" s="3" t="s">
        <v>267</v>
      </c>
      <c r="E135" s="3">
        <v>155.01</v>
      </c>
      <c r="F135" s="3">
        <v>5.8</v>
      </c>
      <c r="G135" s="3">
        <v>0.93</v>
      </c>
      <c r="H135" s="3">
        <v>30.86</v>
      </c>
      <c r="I135" s="3">
        <v>1.8</v>
      </c>
      <c r="J135" s="3">
        <v>0.18</v>
      </c>
      <c r="K135" s="3">
        <v>0.13</v>
      </c>
      <c r="L135" s="3">
        <v>0.33</v>
      </c>
      <c r="M135" s="3">
        <v>0</v>
      </c>
      <c r="N135" s="3">
        <v>7</v>
      </c>
      <c r="O135" s="3">
        <v>58</v>
      </c>
      <c r="P135" s="3">
        <v>1.33</v>
      </c>
      <c r="Q135" s="3">
        <v>45</v>
      </c>
      <c r="R135" s="3">
        <v>1</v>
      </c>
      <c r="S135" s="3">
        <v>0.5</v>
      </c>
      <c r="T135" s="3">
        <v>0</v>
      </c>
      <c r="U135" s="3">
        <v>0</v>
      </c>
      <c r="V135" s="3">
        <v>119</v>
      </c>
      <c r="W135" s="3">
        <v>0</v>
      </c>
    </row>
    <row r="136" spans="1:23" x14ac:dyDescent="0.25">
      <c r="A136" s="3" t="s">
        <v>2025</v>
      </c>
      <c r="B136" s="3" t="s">
        <v>268</v>
      </c>
      <c r="C136" s="3"/>
      <c r="D136" s="3" t="s">
        <v>269</v>
      </c>
      <c r="E136" s="3">
        <v>364.43</v>
      </c>
      <c r="F136" s="3">
        <v>13.04</v>
      </c>
      <c r="G136" s="3">
        <v>1.51</v>
      </c>
      <c r="H136" s="3">
        <v>74.67</v>
      </c>
      <c r="I136" s="3">
        <v>3.2</v>
      </c>
      <c r="J136" s="3">
        <v>0.28000000000000003</v>
      </c>
      <c r="K136" s="3">
        <v>0.17</v>
      </c>
      <c r="L136" s="3">
        <v>0.56000000000000005</v>
      </c>
      <c r="M136" s="3">
        <v>0</v>
      </c>
      <c r="N136" s="3">
        <v>18</v>
      </c>
      <c r="O136" s="3">
        <v>150</v>
      </c>
      <c r="P136" s="3">
        <v>3.52</v>
      </c>
      <c r="Q136" s="3">
        <v>162</v>
      </c>
      <c r="R136" s="3">
        <v>5</v>
      </c>
      <c r="S136" s="3">
        <v>1.26</v>
      </c>
      <c r="T136" s="3">
        <v>0</v>
      </c>
      <c r="U136" s="3">
        <v>0</v>
      </c>
      <c r="V136" s="3">
        <v>391</v>
      </c>
      <c r="W136" s="3">
        <v>0</v>
      </c>
    </row>
    <row r="137" spans="1:23" x14ac:dyDescent="0.25">
      <c r="A137" s="3" t="s">
        <v>2025</v>
      </c>
      <c r="B137" s="3" t="s">
        <v>270</v>
      </c>
      <c r="C137" s="3"/>
      <c r="D137" s="3" t="s">
        <v>271</v>
      </c>
      <c r="E137" s="3">
        <v>385</v>
      </c>
      <c r="F137" s="3">
        <v>11.2</v>
      </c>
      <c r="G137" s="3">
        <v>5.4</v>
      </c>
      <c r="H137" s="3">
        <v>72.900000000000006</v>
      </c>
      <c r="I137" s="3"/>
      <c r="J137" s="3">
        <v>0.6</v>
      </c>
      <c r="K137" s="3">
        <v>1.8</v>
      </c>
      <c r="L137" s="3">
        <v>3.3</v>
      </c>
      <c r="M137" s="3">
        <v>0</v>
      </c>
      <c r="N137" s="3">
        <v>3</v>
      </c>
      <c r="O137" s="3">
        <v>73</v>
      </c>
      <c r="P137" s="3">
        <v>0.9</v>
      </c>
      <c r="Q137" s="3"/>
      <c r="R137" s="3"/>
      <c r="S137" s="3"/>
      <c r="T137" s="3"/>
      <c r="U137" s="3">
        <v>0</v>
      </c>
      <c r="V137" s="3"/>
      <c r="W137" s="3"/>
    </row>
    <row r="138" spans="1:23" x14ac:dyDescent="0.25">
      <c r="A138" s="3" t="s">
        <v>2025</v>
      </c>
      <c r="B138" s="3" t="s">
        <v>272</v>
      </c>
      <c r="C138" s="3"/>
      <c r="D138" s="3" t="s">
        <v>273</v>
      </c>
      <c r="E138" s="3">
        <v>268.33</v>
      </c>
      <c r="F138" s="3">
        <v>11.25</v>
      </c>
      <c r="G138" s="3">
        <v>10.93</v>
      </c>
      <c r="H138" s="3">
        <v>31.24</v>
      </c>
      <c r="I138" s="3"/>
      <c r="J138" s="3"/>
      <c r="K138" s="3"/>
      <c r="L138" s="3"/>
      <c r="M138" s="3"/>
      <c r="N138" s="3">
        <v>178</v>
      </c>
      <c r="O138" s="3">
        <v>189</v>
      </c>
      <c r="P138" s="3">
        <v>2.42</v>
      </c>
      <c r="Q138" s="3">
        <v>152</v>
      </c>
      <c r="R138" s="3">
        <v>655</v>
      </c>
      <c r="S138" s="3">
        <v>1.72</v>
      </c>
      <c r="T138" s="3"/>
      <c r="U138" s="3"/>
      <c r="V138" s="3"/>
      <c r="W138" s="3"/>
    </row>
    <row r="139" spans="1:23" x14ac:dyDescent="0.25">
      <c r="A139" s="3" t="s">
        <v>2025</v>
      </c>
      <c r="B139" s="3" t="s">
        <v>274</v>
      </c>
      <c r="C139" s="3"/>
      <c r="D139" s="3" t="s">
        <v>275</v>
      </c>
      <c r="E139" s="3">
        <v>307.2</v>
      </c>
      <c r="F139" s="3">
        <v>8</v>
      </c>
      <c r="G139" s="3">
        <v>12.8</v>
      </c>
      <c r="H139" s="3">
        <v>40</v>
      </c>
      <c r="I139" s="3">
        <v>0</v>
      </c>
      <c r="J139" s="3">
        <v>6.4</v>
      </c>
      <c r="K139" s="3">
        <v>3.2</v>
      </c>
      <c r="L139" s="3">
        <v>2.4</v>
      </c>
      <c r="M139" s="3">
        <v>106.4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x14ac:dyDescent="0.25">
      <c r="A140" s="3" t="s">
        <v>2025</v>
      </c>
      <c r="B140" s="3" t="s">
        <v>276</v>
      </c>
      <c r="C140" s="3"/>
      <c r="D140" s="3" t="s">
        <v>277</v>
      </c>
      <c r="E140" s="3">
        <v>120.08</v>
      </c>
      <c r="F140" s="3">
        <v>4.4000000000000004</v>
      </c>
      <c r="G140" s="3">
        <v>1.92</v>
      </c>
      <c r="H140" s="3">
        <v>21.3</v>
      </c>
      <c r="I140" s="3">
        <v>2.8</v>
      </c>
      <c r="J140" s="3">
        <v>0.23</v>
      </c>
      <c r="K140" s="3">
        <v>0.53</v>
      </c>
      <c r="L140" s="3">
        <v>1.08</v>
      </c>
      <c r="M140" s="3">
        <v>0</v>
      </c>
      <c r="N140" s="3">
        <v>17</v>
      </c>
      <c r="O140" s="3">
        <v>172</v>
      </c>
      <c r="P140" s="3">
        <v>1.49</v>
      </c>
      <c r="Q140" s="3">
        <v>172</v>
      </c>
      <c r="R140" s="3">
        <v>7</v>
      </c>
      <c r="S140" s="3">
        <v>1.0900000000000001</v>
      </c>
      <c r="T140" s="3">
        <v>0</v>
      </c>
      <c r="U140" s="3"/>
      <c r="V140" s="3">
        <v>42</v>
      </c>
      <c r="W140" s="3">
        <v>0</v>
      </c>
    </row>
    <row r="141" spans="1:23" x14ac:dyDescent="0.25">
      <c r="A141" s="3" t="s">
        <v>2025</v>
      </c>
      <c r="B141" s="3" t="s">
        <v>278</v>
      </c>
      <c r="C141" s="3"/>
      <c r="D141" s="3" t="s">
        <v>279</v>
      </c>
      <c r="E141" s="3">
        <v>367.75</v>
      </c>
      <c r="F141" s="3">
        <v>14.12</v>
      </c>
      <c r="G141" s="3">
        <v>6.07</v>
      </c>
      <c r="H141" s="3">
        <v>64.16</v>
      </c>
      <c r="I141" s="3">
        <v>7</v>
      </c>
      <c r="J141" s="3">
        <v>0.71</v>
      </c>
      <c r="K141" s="3">
        <v>1.61</v>
      </c>
      <c r="L141" s="3">
        <v>3.29</v>
      </c>
      <c r="M141" s="3">
        <v>0</v>
      </c>
      <c r="N141" s="3">
        <v>47</v>
      </c>
      <c r="O141" s="3">
        <v>563</v>
      </c>
      <c r="P141" s="3">
        <v>4.57</v>
      </c>
      <c r="Q141" s="3">
        <v>563</v>
      </c>
      <c r="R141" s="3">
        <v>5</v>
      </c>
      <c r="S141" s="3">
        <v>3.1</v>
      </c>
      <c r="T141" s="3"/>
      <c r="U141" s="3">
        <v>1</v>
      </c>
      <c r="V141" s="3">
        <v>184</v>
      </c>
      <c r="W141" s="3">
        <v>0</v>
      </c>
    </row>
    <row r="142" spans="1:23" x14ac:dyDescent="0.25">
      <c r="A142" s="3" t="s">
        <v>2025</v>
      </c>
      <c r="B142" s="3" t="s">
        <v>280</v>
      </c>
      <c r="C142" s="3"/>
      <c r="D142" s="3" t="s">
        <v>281</v>
      </c>
      <c r="E142" s="3">
        <v>173.9</v>
      </c>
      <c r="F142" s="3">
        <v>3.81</v>
      </c>
      <c r="G142" s="3">
        <v>11.06</v>
      </c>
      <c r="H142" s="3">
        <v>14.78</v>
      </c>
      <c r="I142" s="3"/>
      <c r="J142" s="3"/>
      <c r="K142" s="3"/>
      <c r="L142" s="3"/>
      <c r="M142" s="3"/>
      <c r="N142" s="3">
        <v>4</v>
      </c>
      <c r="O142" s="3">
        <v>45</v>
      </c>
      <c r="P142" s="3">
        <v>0.4</v>
      </c>
      <c r="Q142" s="3">
        <v>107</v>
      </c>
      <c r="R142" s="3">
        <v>343</v>
      </c>
      <c r="S142" s="3">
        <v>0.36</v>
      </c>
      <c r="T142" s="3"/>
      <c r="U142" s="3"/>
      <c r="V142" s="3"/>
      <c r="W142" s="3"/>
    </row>
    <row r="143" spans="1:23" x14ac:dyDescent="0.25">
      <c r="A143" s="3" t="s">
        <v>2025</v>
      </c>
      <c r="B143" s="3" t="s">
        <v>282</v>
      </c>
      <c r="C143" s="3"/>
      <c r="D143" s="3" t="s">
        <v>283</v>
      </c>
      <c r="E143" s="3">
        <v>266.33999999999997</v>
      </c>
      <c r="F143" s="3">
        <v>4.9800000000000004</v>
      </c>
      <c r="G143" s="3">
        <v>10.98</v>
      </c>
      <c r="H143" s="3">
        <v>36.9</v>
      </c>
      <c r="I143" s="3"/>
      <c r="J143" s="3"/>
      <c r="K143" s="3"/>
      <c r="L143" s="3"/>
      <c r="M143" s="3"/>
      <c r="N143" s="3">
        <v>36</v>
      </c>
      <c r="O143" s="3">
        <v>171</v>
      </c>
      <c r="P143" s="3">
        <v>0.52</v>
      </c>
      <c r="Q143" s="3">
        <v>144</v>
      </c>
      <c r="R143" s="3">
        <v>452</v>
      </c>
      <c r="S143" s="3">
        <v>0.8</v>
      </c>
      <c r="T143" s="3"/>
      <c r="U143" s="3"/>
      <c r="V143" s="3"/>
      <c r="W143" s="3"/>
    </row>
    <row r="144" spans="1:23" x14ac:dyDescent="0.25">
      <c r="A144" s="3" t="s">
        <v>2025</v>
      </c>
      <c r="B144" s="3" t="s">
        <v>284</v>
      </c>
      <c r="C144" s="3"/>
      <c r="D144" s="3" t="s">
        <v>285</v>
      </c>
      <c r="E144" s="3">
        <v>341.91</v>
      </c>
      <c r="F144" s="3">
        <v>9.3800000000000008</v>
      </c>
      <c r="G144" s="3">
        <v>16.989999999999998</v>
      </c>
      <c r="H144" s="3">
        <v>37.869999999999997</v>
      </c>
      <c r="I144" s="3"/>
      <c r="J144" s="3"/>
      <c r="K144" s="3"/>
      <c r="L144" s="3"/>
      <c r="M144" s="3"/>
      <c r="N144" s="3">
        <v>99</v>
      </c>
      <c r="O144" s="3">
        <v>255</v>
      </c>
      <c r="P144" s="3">
        <v>1.41</v>
      </c>
      <c r="Q144" s="3">
        <v>128</v>
      </c>
      <c r="R144" s="3">
        <v>447</v>
      </c>
      <c r="S144" s="3">
        <v>1.1000000000000001</v>
      </c>
      <c r="T144" s="3"/>
      <c r="U144" s="3"/>
      <c r="V144" s="3"/>
      <c r="W144" s="3"/>
    </row>
    <row r="145" spans="1:23" x14ac:dyDescent="0.25">
      <c r="A145" s="3" t="s">
        <v>2025</v>
      </c>
      <c r="B145" s="3" t="s">
        <v>286</v>
      </c>
      <c r="C145" s="3"/>
      <c r="D145" s="3" t="s">
        <v>287</v>
      </c>
      <c r="E145" s="3">
        <v>344.1</v>
      </c>
      <c r="F145" s="3">
        <v>13</v>
      </c>
      <c r="G145" s="3">
        <v>1.7</v>
      </c>
      <c r="H145" s="3">
        <v>69.2</v>
      </c>
      <c r="I145" s="3">
        <v>2.9</v>
      </c>
      <c r="J145" s="3"/>
      <c r="K145" s="3"/>
      <c r="L145" s="3"/>
      <c r="M145" s="3"/>
      <c r="N145" s="3">
        <v>54</v>
      </c>
      <c r="O145" s="3">
        <v>0</v>
      </c>
      <c r="P145" s="3">
        <v>3.7</v>
      </c>
      <c r="Q145" s="3"/>
      <c r="R145" s="3"/>
      <c r="S145" s="3"/>
      <c r="T145" s="3"/>
      <c r="U145" s="3"/>
      <c r="V145" s="3"/>
      <c r="W145" s="3"/>
    </row>
    <row r="146" spans="1:23" x14ac:dyDescent="0.25">
      <c r="A146" s="3" t="s">
        <v>2025</v>
      </c>
      <c r="B146" s="3" t="s">
        <v>288</v>
      </c>
      <c r="C146" s="3"/>
      <c r="D146" s="3" t="s">
        <v>289</v>
      </c>
      <c r="E146" s="3">
        <v>387.28</v>
      </c>
      <c r="F146" s="3">
        <v>23.15</v>
      </c>
      <c r="G146" s="3">
        <v>9.7200000000000006</v>
      </c>
      <c r="H146" s="3">
        <v>51.8</v>
      </c>
      <c r="I146" s="3">
        <v>13.2</v>
      </c>
      <c r="J146" s="3">
        <v>1.66</v>
      </c>
      <c r="K146" s="3">
        <v>1.37</v>
      </c>
      <c r="L146" s="3">
        <v>6.01</v>
      </c>
      <c r="M146" s="3">
        <v>0</v>
      </c>
      <c r="N146" s="3">
        <v>39</v>
      </c>
      <c r="O146" s="3">
        <v>842</v>
      </c>
      <c r="P146" s="3">
        <v>6.26</v>
      </c>
      <c r="Q146" s="3">
        <v>892</v>
      </c>
      <c r="R146" s="3">
        <v>12</v>
      </c>
      <c r="S146" s="3">
        <v>12.29</v>
      </c>
      <c r="T146" s="3">
        <v>0</v>
      </c>
      <c r="U146" s="3">
        <v>0</v>
      </c>
      <c r="V146" s="3">
        <v>281</v>
      </c>
      <c r="W146" s="3">
        <v>0</v>
      </c>
    </row>
    <row r="147" spans="1:23" x14ac:dyDescent="0.25">
      <c r="A147" s="3" t="s">
        <v>2025</v>
      </c>
      <c r="B147" s="3" t="s">
        <v>290</v>
      </c>
      <c r="C147" s="3"/>
      <c r="D147" s="3" t="s">
        <v>291</v>
      </c>
      <c r="E147" s="3">
        <v>361.47</v>
      </c>
      <c r="F147" s="3">
        <v>13.68</v>
      </c>
      <c r="G147" s="3">
        <v>2.4700000000000002</v>
      </c>
      <c r="H147" s="3">
        <v>71.13</v>
      </c>
      <c r="I147" s="3">
        <v>7.1</v>
      </c>
      <c r="J147" s="3">
        <v>0.48</v>
      </c>
      <c r="K147" s="3">
        <v>1.02</v>
      </c>
      <c r="L147" s="3">
        <v>1.36</v>
      </c>
      <c r="M147" s="3">
        <v>0</v>
      </c>
      <c r="N147" s="3">
        <v>74</v>
      </c>
      <c r="O147" s="3">
        <v>195</v>
      </c>
      <c r="P147" s="3">
        <v>3.15</v>
      </c>
      <c r="Q147" s="3">
        <v>228</v>
      </c>
      <c r="R147" s="3">
        <v>655</v>
      </c>
      <c r="S147" s="3">
        <v>1.62</v>
      </c>
      <c r="T147" s="3">
        <v>0</v>
      </c>
      <c r="U147" s="3">
        <v>0</v>
      </c>
      <c r="V147" s="3">
        <v>87</v>
      </c>
      <c r="W147" s="3">
        <v>0</v>
      </c>
    </row>
    <row r="148" spans="1:23" x14ac:dyDescent="0.25">
      <c r="A148" s="3" t="s">
        <v>2025</v>
      </c>
      <c r="B148" s="3" t="s">
        <v>292</v>
      </c>
      <c r="C148" s="3"/>
      <c r="D148" s="3" t="s">
        <v>293</v>
      </c>
      <c r="E148" s="3">
        <v>358.49</v>
      </c>
      <c r="F148" s="3">
        <v>15.55</v>
      </c>
      <c r="G148" s="3">
        <v>4.25</v>
      </c>
      <c r="H148" s="3">
        <v>64.510000000000005</v>
      </c>
      <c r="I148" s="3">
        <v>42.8</v>
      </c>
      <c r="J148" s="3">
        <v>0.63</v>
      </c>
      <c r="K148" s="3">
        <v>0.64</v>
      </c>
      <c r="L148" s="3">
        <v>2.21</v>
      </c>
      <c r="M148" s="3">
        <v>0</v>
      </c>
      <c r="N148" s="3">
        <v>73</v>
      </c>
      <c r="O148" s="3">
        <v>1013</v>
      </c>
      <c r="P148" s="3">
        <v>10.57</v>
      </c>
      <c r="Q148" s="3">
        <v>1182</v>
      </c>
      <c r="R148" s="3">
        <v>2</v>
      </c>
      <c r="S148" s="3">
        <v>7.27</v>
      </c>
      <c r="T148" s="3">
        <v>0</v>
      </c>
      <c r="U148" s="3">
        <v>0</v>
      </c>
      <c r="V148" s="3">
        <v>79</v>
      </c>
      <c r="W148" s="3">
        <v>0</v>
      </c>
    </row>
    <row r="149" spans="1:23" x14ac:dyDescent="0.25">
      <c r="A149" s="3" t="s">
        <v>2025</v>
      </c>
      <c r="B149" s="3" t="s">
        <v>294</v>
      </c>
      <c r="C149" s="3"/>
      <c r="D149" s="3" t="s">
        <v>295</v>
      </c>
      <c r="E149" s="3">
        <v>351.49</v>
      </c>
      <c r="F149" s="3">
        <v>12.68</v>
      </c>
      <c r="G149" s="3">
        <v>1.05</v>
      </c>
      <c r="H149" s="3">
        <v>72.83</v>
      </c>
      <c r="I149" s="3">
        <v>3.9</v>
      </c>
      <c r="J149" s="3">
        <v>0.15</v>
      </c>
      <c r="K149" s="3">
        <v>0.12</v>
      </c>
      <c r="L149" s="3">
        <v>0.43</v>
      </c>
      <c r="M149" s="3">
        <v>0</v>
      </c>
      <c r="N149" s="3">
        <v>17</v>
      </c>
      <c r="O149" s="3">
        <v>136</v>
      </c>
      <c r="P149" s="3">
        <v>1.23</v>
      </c>
      <c r="Q149" s="3">
        <v>186</v>
      </c>
      <c r="R149" s="3">
        <v>1</v>
      </c>
      <c r="S149" s="3">
        <v>1.05</v>
      </c>
      <c r="T149" s="3">
        <v>0</v>
      </c>
      <c r="U149" s="3">
        <v>0</v>
      </c>
      <c r="V149" s="3">
        <v>72</v>
      </c>
      <c r="W149" s="3">
        <v>0</v>
      </c>
    </row>
    <row r="150" spans="1:23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x14ac:dyDescent="0.25">
      <c r="A151" s="3" t="s">
        <v>296</v>
      </c>
      <c r="B151" s="3" t="s">
        <v>297</v>
      </c>
      <c r="C151" s="3"/>
      <c r="D151" s="3" t="s">
        <v>298</v>
      </c>
      <c r="E151" s="3">
        <v>101.7</v>
      </c>
      <c r="F151" s="3">
        <v>1.4</v>
      </c>
      <c r="G151" s="3">
        <v>0.1</v>
      </c>
      <c r="H151" s="3">
        <v>23.8</v>
      </c>
      <c r="I151" s="3"/>
      <c r="J151" s="3"/>
      <c r="K151" s="3"/>
      <c r="L151" s="3"/>
      <c r="M151" s="3"/>
      <c r="N151" s="3">
        <v>13</v>
      </c>
      <c r="O151" s="3">
        <v>58</v>
      </c>
      <c r="P151" s="3">
        <v>0.7</v>
      </c>
      <c r="Q151" s="3"/>
      <c r="R151" s="3"/>
      <c r="S151" s="3"/>
      <c r="T151" s="3">
        <v>0.7</v>
      </c>
      <c r="U151" s="3"/>
      <c r="V151" s="3"/>
      <c r="W151" s="3"/>
    </row>
    <row r="152" spans="1:23" x14ac:dyDescent="0.25">
      <c r="A152" s="3" t="s">
        <v>296</v>
      </c>
      <c r="B152" s="3" t="s">
        <v>299</v>
      </c>
      <c r="C152" s="3"/>
      <c r="D152" s="3" t="s">
        <v>300</v>
      </c>
      <c r="E152" s="3">
        <v>99.3</v>
      </c>
      <c r="F152" s="3">
        <v>1.4</v>
      </c>
      <c r="G152" s="3">
        <v>0.1</v>
      </c>
      <c r="H152" s="3">
        <v>23.2</v>
      </c>
      <c r="I152" s="3"/>
      <c r="J152" s="3"/>
      <c r="K152" s="3"/>
      <c r="L152" s="3"/>
      <c r="M152" s="3"/>
      <c r="N152" s="3">
        <v>17</v>
      </c>
      <c r="O152" s="3">
        <v>91</v>
      </c>
      <c r="P152" s="3">
        <v>1.4</v>
      </c>
      <c r="Q152" s="3"/>
      <c r="R152" s="3"/>
      <c r="S152" s="3"/>
      <c r="T152" s="3">
        <v>0.1</v>
      </c>
      <c r="U152" s="3"/>
      <c r="V152" s="3"/>
      <c r="W152" s="3"/>
    </row>
    <row r="153" spans="1:23" x14ac:dyDescent="0.25">
      <c r="A153" s="3" t="s">
        <v>296</v>
      </c>
      <c r="B153" s="3" t="s">
        <v>301</v>
      </c>
      <c r="C153" s="3"/>
      <c r="D153" s="3" t="s">
        <v>302</v>
      </c>
      <c r="E153" s="3">
        <v>354.7</v>
      </c>
      <c r="F153" s="3">
        <v>0.3</v>
      </c>
      <c r="G153" s="3">
        <v>0.1</v>
      </c>
      <c r="H153" s="3">
        <v>88.15</v>
      </c>
      <c r="I153" s="3">
        <v>3.4</v>
      </c>
      <c r="J153" s="3">
        <v>0.02</v>
      </c>
      <c r="K153" s="3">
        <v>0</v>
      </c>
      <c r="L153" s="3">
        <v>0.05</v>
      </c>
      <c r="M153" s="3">
        <v>0</v>
      </c>
      <c r="N153" s="3">
        <v>40</v>
      </c>
      <c r="O153" s="3">
        <v>5</v>
      </c>
      <c r="P153" s="3">
        <v>0.33</v>
      </c>
      <c r="Q153" s="3">
        <v>11</v>
      </c>
      <c r="R153" s="3">
        <v>2</v>
      </c>
      <c r="S153" s="3">
        <v>7.0000000000000007E-2</v>
      </c>
      <c r="T153" s="3">
        <v>0</v>
      </c>
      <c r="U153" s="3">
        <v>0</v>
      </c>
      <c r="V153" s="3">
        <v>7</v>
      </c>
      <c r="W153" s="3">
        <v>0</v>
      </c>
    </row>
    <row r="154" spans="1:23" x14ac:dyDescent="0.25">
      <c r="A154" s="3" t="s">
        <v>296</v>
      </c>
      <c r="B154" s="3" t="s">
        <v>303</v>
      </c>
      <c r="C154" s="3"/>
      <c r="D154" s="3" t="s">
        <v>304</v>
      </c>
      <c r="E154" s="3">
        <v>335.3</v>
      </c>
      <c r="F154" s="3">
        <v>1.7</v>
      </c>
      <c r="G154" s="3">
        <v>0.5</v>
      </c>
      <c r="H154" s="3">
        <v>81</v>
      </c>
      <c r="I154" s="3"/>
      <c r="J154" s="3"/>
      <c r="K154" s="3"/>
      <c r="L154" s="3"/>
      <c r="M154" s="3"/>
      <c r="N154" s="3">
        <v>148</v>
      </c>
      <c r="O154" s="3">
        <v>104</v>
      </c>
      <c r="P154" s="3">
        <v>5.4</v>
      </c>
      <c r="Q154" s="3"/>
      <c r="R154" s="3"/>
      <c r="S154" s="3"/>
      <c r="T154" s="3">
        <v>14</v>
      </c>
      <c r="U154" s="3"/>
      <c r="V154" s="3"/>
      <c r="W154" s="3"/>
    </row>
    <row r="155" spans="1:23" x14ac:dyDescent="0.25">
      <c r="A155" s="3" t="s">
        <v>296</v>
      </c>
      <c r="B155" s="3" t="s">
        <v>305</v>
      </c>
      <c r="C155" s="3"/>
      <c r="D155" s="3" t="s">
        <v>306</v>
      </c>
      <c r="E155" s="3">
        <v>77.62</v>
      </c>
      <c r="F155" s="3">
        <v>1.37</v>
      </c>
      <c r="G155" s="3">
        <v>0.14000000000000001</v>
      </c>
      <c r="H155" s="3">
        <v>17.72</v>
      </c>
      <c r="I155" s="3">
        <v>2.5</v>
      </c>
      <c r="J155" s="3">
        <v>0.04</v>
      </c>
      <c r="K155" s="3">
        <v>0</v>
      </c>
      <c r="L155" s="3">
        <v>0.08</v>
      </c>
      <c r="M155" s="3">
        <v>0</v>
      </c>
      <c r="N155" s="3">
        <v>27</v>
      </c>
      <c r="O155" s="3">
        <v>32</v>
      </c>
      <c r="P155" s="3">
        <v>0.72</v>
      </c>
      <c r="Q155" s="3">
        <v>230</v>
      </c>
      <c r="R155" s="3">
        <v>27</v>
      </c>
      <c r="S155" s="3">
        <v>0.2</v>
      </c>
      <c r="T155" s="3">
        <v>13</v>
      </c>
      <c r="U155" s="3">
        <v>787</v>
      </c>
      <c r="V155" s="3">
        <v>6</v>
      </c>
      <c r="W155" s="3">
        <v>0</v>
      </c>
    </row>
    <row r="156" spans="1:23" x14ac:dyDescent="0.25">
      <c r="A156" s="3" t="s">
        <v>296</v>
      </c>
      <c r="B156" s="3" t="s">
        <v>307</v>
      </c>
      <c r="C156" s="3"/>
      <c r="D156" s="3" t="s">
        <v>308</v>
      </c>
      <c r="E156" s="3">
        <v>87.21</v>
      </c>
      <c r="F156" s="3">
        <v>1.57</v>
      </c>
      <c r="G156" s="3">
        <v>0.05</v>
      </c>
      <c r="H156" s="3">
        <v>20.12</v>
      </c>
      <c r="I156" s="3">
        <v>3</v>
      </c>
      <c r="J156" s="3">
        <v>0.02</v>
      </c>
      <c r="K156" s="3">
        <v>0</v>
      </c>
      <c r="L156" s="3">
        <v>0.01</v>
      </c>
      <c r="M156" s="3">
        <v>0</v>
      </c>
      <c r="N156" s="3">
        <v>30</v>
      </c>
      <c r="O156" s="3">
        <v>47</v>
      </c>
      <c r="P156" s="3">
        <v>0.61</v>
      </c>
      <c r="Q156" s="3">
        <v>337</v>
      </c>
      <c r="R156" s="3">
        <v>55</v>
      </c>
      <c r="S156" s="3">
        <v>0.3</v>
      </c>
      <c r="T156" s="3">
        <v>2</v>
      </c>
      <c r="U156" s="3">
        <v>709</v>
      </c>
      <c r="V156" s="3">
        <v>11</v>
      </c>
      <c r="W156" s="3">
        <v>0</v>
      </c>
    </row>
    <row r="157" spans="1:23" x14ac:dyDescent="0.25">
      <c r="A157" s="3" t="s">
        <v>296</v>
      </c>
      <c r="B157" s="3" t="s">
        <v>309</v>
      </c>
      <c r="C157" s="3"/>
      <c r="D157" s="3" t="s">
        <v>310</v>
      </c>
      <c r="E157" s="3">
        <v>333.33</v>
      </c>
      <c r="F157" s="3">
        <v>3.33</v>
      </c>
      <c r="G157" s="3">
        <v>0</v>
      </c>
      <c r="H157" s="3">
        <v>80</v>
      </c>
      <c r="I157" s="3">
        <v>0</v>
      </c>
      <c r="J157" s="3"/>
      <c r="K157" s="3"/>
      <c r="L157" s="3"/>
      <c r="M157" s="3"/>
      <c r="N157" s="3"/>
      <c r="O157" s="3"/>
      <c r="P157" s="3"/>
      <c r="Q157" s="3"/>
      <c r="R157" s="3">
        <v>166.67</v>
      </c>
      <c r="S157" s="3"/>
      <c r="T157" s="3"/>
      <c r="U157" s="3"/>
      <c r="V157" s="3"/>
      <c r="W157" s="3"/>
    </row>
    <row r="158" spans="1:23" x14ac:dyDescent="0.25">
      <c r="A158" s="3" t="s">
        <v>296</v>
      </c>
      <c r="B158" s="3" t="s">
        <v>311</v>
      </c>
      <c r="C158" s="3"/>
      <c r="D158" s="3" t="s">
        <v>312</v>
      </c>
      <c r="E158" s="3">
        <v>334.4</v>
      </c>
      <c r="F158" s="3">
        <v>3.1</v>
      </c>
      <c r="G158" s="3">
        <v>0.4</v>
      </c>
      <c r="H158" s="3">
        <v>79.599999999999994</v>
      </c>
      <c r="I158" s="3">
        <v>9.9</v>
      </c>
      <c r="J158" s="3">
        <v>0.03</v>
      </c>
      <c r="K158" s="3">
        <v>0.02</v>
      </c>
      <c r="L158" s="3">
        <v>0.05</v>
      </c>
      <c r="M158" s="3">
        <v>0</v>
      </c>
      <c r="N158" s="3">
        <v>29</v>
      </c>
      <c r="O158" s="3">
        <v>104</v>
      </c>
      <c r="P158" s="3">
        <v>3.9</v>
      </c>
      <c r="Q158" s="3"/>
      <c r="R158" s="3"/>
      <c r="S158" s="3">
        <v>0.61</v>
      </c>
      <c r="T158" s="3">
        <v>1.3</v>
      </c>
      <c r="U158" s="3"/>
      <c r="V158" s="3"/>
      <c r="W158" s="3"/>
    </row>
    <row r="159" spans="1:23" x14ac:dyDescent="0.25">
      <c r="A159" s="3" t="s">
        <v>296</v>
      </c>
      <c r="B159" s="3" t="s">
        <v>313</v>
      </c>
      <c r="C159" s="3"/>
      <c r="D159" s="3" t="s">
        <v>313</v>
      </c>
      <c r="E159" s="3">
        <v>46.1</v>
      </c>
      <c r="F159" s="3">
        <v>0.7</v>
      </c>
      <c r="G159" s="3">
        <v>0.1</v>
      </c>
      <c r="H159" s="3">
        <v>10.6</v>
      </c>
      <c r="I159" s="3">
        <v>2.9</v>
      </c>
      <c r="J159" s="3"/>
      <c r="K159" s="3"/>
      <c r="L159" s="3"/>
      <c r="M159" s="3"/>
      <c r="N159" s="3"/>
      <c r="O159" s="3"/>
      <c r="P159" s="3">
        <v>0.37</v>
      </c>
      <c r="Q159" s="3"/>
      <c r="R159" s="3"/>
      <c r="S159" s="3">
        <v>0.28000000000000003</v>
      </c>
      <c r="T159" s="3">
        <v>42.06</v>
      </c>
      <c r="U159" s="3">
        <v>12</v>
      </c>
      <c r="V159" s="3"/>
      <c r="W159" s="3"/>
    </row>
    <row r="160" spans="1:23" x14ac:dyDescent="0.25">
      <c r="A160" s="3" t="s">
        <v>296</v>
      </c>
      <c r="B160" s="3" t="s">
        <v>314</v>
      </c>
      <c r="C160" s="3"/>
      <c r="D160" s="3" t="s">
        <v>315</v>
      </c>
      <c r="E160" s="3">
        <v>119.17</v>
      </c>
      <c r="F160" s="3">
        <v>1.53</v>
      </c>
      <c r="G160" s="3">
        <v>0.17</v>
      </c>
      <c r="H160" s="3">
        <v>27.88</v>
      </c>
      <c r="I160" s="3">
        <v>4.0999999999999996</v>
      </c>
      <c r="J160" s="3">
        <v>0.04</v>
      </c>
      <c r="K160" s="3">
        <v>0.01</v>
      </c>
      <c r="L160" s="3">
        <v>0.08</v>
      </c>
      <c r="M160" s="3">
        <v>0</v>
      </c>
      <c r="N160" s="3">
        <v>17</v>
      </c>
      <c r="O160" s="3">
        <v>55</v>
      </c>
      <c r="P160" s="3">
        <v>0.54</v>
      </c>
      <c r="Q160" s="3">
        <v>816</v>
      </c>
      <c r="R160" s="3">
        <v>9</v>
      </c>
      <c r="S160" s="3">
        <v>0.24</v>
      </c>
      <c r="T160" s="3">
        <v>17</v>
      </c>
      <c r="U160" s="3">
        <v>7</v>
      </c>
      <c r="V160" s="3">
        <v>23</v>
      </c>
      <c r="W160" s="3">
        <v>0</v>
      </c>
    </row>
    <row r="161" spans="1:23" x14ac:dyDescent="0.25">
      <c r="A161" s="3" t="s">
        <v>296</v>
      </c>
      <c r="B161" s="3" t="s">
        <v>316</v>
      </c>
      <c r="C161" s="3"/>
      <c r="D161" s="3" t="s">
        <v>317</v>
      </c>
      <c r="E161" s="3">
        <v>117.54</v>
      </c>
      <c r="F161" s="3">
        <v>1.49</v>
      </c>
      <c r="G161" s="3">
        <v>0.14000000000000001</v>
      </c>
      <c r="H161" s="3">
        <v>27.58</v>
      </c>
      <c r="I161" s="3">
        <v>3.9</v>
      </c>
      <c r="J161" s="3">
        <v>0.03</v>
      </c>
      <c r="K161" s="3">
        <v>0</v>
      </c>
      <c r="L161" s="3">
        <v>0.06</v>
      </c>
      <c r="M161" s="3">
        <v>0</v>
      </c>
      <c r="N161" s="3">
        <v>14</v>
      </c>
      <c r="O161" s="3">
        <v>49</v>
      </c>
      <c r="P161" s="3">
        <v>0.52</v>
      </c>
      <c r="Q161" s="3">
        <v>670</v>
      </c>
      <c r="R161" s="3">
        <v>8</v>
      </c>
      <c r="S161" s="3">
        <v>0.2</v>
      </c>
      <c r="T161" s="3">
        <v>12</v>
      </c>
      <c r="U161" s="3">
        <v>6</v>
      </c>
      <c r="V161" s="3">
        <v>16</v>
      </c>
      <c r="W161" s="3">
        <v>0</v>
      </c>
    </row>
    <row r="162" spans="1:23" x14ac:dyDescent="0.25">
      <c r="A162" s="3" t="s">
        <v>296</v>
      </c>
      <c r="B162" s="3" t="s">
        <v>318</v>
      </c>
      <c r="C162" s="3"/>
      <c r="D162" s="3" t="s">
        <v>319</v>
      </c>
      <c r="E162" s="3">
        <v>65.2</v>
      </c>
      <c r="F162" s="3">
        <v>0.7</v>
      </c>
      <c r="G162" s="3">
        <v>0</v>
      </c>
      <c r="H162" s="3">
        <v>15.6</v>
      </c>
      <c r="I162" s="3">
        <v>2.4</v>
      </c>
      <c r="J162" s="3"/>
      <c r="K162" s="3"/>
      <c r="L162" s="3"/>
      <c r="M162" s="3"/>
      <c r="N162" s="3"/>
      <c r="O162" s="3"/>
      <c r="P162" s="3">
        <v>0.47</v>
      </c>
      <c r="Q162" s="3"/>
      <c r="R162" s="3"/>
      <c r="S162" s="3">
        <v>0.14000000000000001</v>
      </c>
      <c r="T162" s="3">
        <v>23.92</v>
      </c>
      <c r="U162" s="3">
        <v>0</v>
      </c>
      <c r="V162" s="3"/>
      <c r="W162" s="3"/>
    </row>
    <row r="163" spans="1:23" x14ac:dyDescent="0.25">
      <c r="A163" s="3" t="s">
        <v>296</v>
      </c>
      <c r="B163" s="3" t="s">
        <v>320</v>
      </c>
      <c r="C163" s="3"/>
      <c r="D163" s="3" t="s">
        <v>321</v>
      </c>
      <c r="E163" s="3">
        <v>62.5</v>
      </c>
      <c r="F163" s="3">
        <v>1.1000000000000001</v>
      </c>
      <c r="G163" s="3">
        <v>0.1</v>
      </c>
      <c r="H163" s="3">
        <v>14.3</v>
      </c>
      <c r="I163" s="3"/>
      <c r="J163" s="3"/>
      <c r="K163" s="3"/>
      <c r="L163" s="3"/>
      <c r="M163" s="3"/>
      <c r="N163" s="3">
        <v>3</v>
      </c>
      <c r="O163" s="3">
        <v>28</v>
      </c>
      <c r="P163" s="3">
        <v>1.1000000000000001</v>
      </c>
      <c r="Q163" s="3"/>
      <c r="R163" s="3"/>
      <c r="S163" s="3"/>
      <c r="T163" s="3">
        <v>11.5</v>
      </c>
      <c r="U163" s="3">
        <v>5</v>
      </c>
      <c r="V163" s="3"/>
      <c r="W163" s="3"/>
    </row>
    <row r="164" spans="1:23" x14ac:dyDescent="0.25">
      <c r="A164" s="3" t="s">
        <v>296</v>
      </c>
      <c r="B164" s="3" t="s">
        <v>322</v>
      </c>
      <c r="C164" s="3"/>
      <c r="D164" s="3" t="s">
        <v>323</v>
      </c>
      <c r="E164" s="3">
        <v>104.8</v>
      </c>
      <c r="F164" s="3">
        <v>2</v>
      </c>
      <c r="G164" s="3">
        <v>0.4</v>
      </c>
      <c r="H164" s="3">
        <v>23.3</v>
      </c>
      <c r="I164" s="3">
        <v>0.4</v>
      </c>
      <c r="J164" s="3"/>
      <c r="K164" s="3"/>
      <c r="L164" s="3"/>
      <c r="M164" s="3"/>
      <c r="N164" s="3">
        <v>6</v>
      </c>
      <c r="O164" s="3">
        <v>52</v>
      </c>
      <c r="P164" s="3">
        <v>0.4</v>
      </c>
      <c r="Q164" s="3"/>
      <c r="R164" s="3"/>
      <c r="S164" s="3">
        <v>0.28999999999999998</v>
      </c>
      <c r="T164" s="3">
        <v>9</v>
      </c>
      <c r="U164" s="3">
        <v>0</v>
      </c>
      <c r="V164" s="3"/>
      <c r="W164" s="3"/>
    </row>
    <row r="165" spans="1:23" x14ac:dyDescent="0.25">
      <c r="A165" s="3" t="s">
        <v>296</v>
      </c>
      <c r="B165" s="3" t="s">
        <v>324</v>
      </c>
      <c r="C165" s="3"/>
      <c r="D165" s="3" t="s">
        <v>325</v>
      </c>
      <c r="E165" s="3">
        <v>81.180000000000007</v>
      </c>
      <c r="F165" s="3">
        <v>2.86</v>
      </c>
      <c r="G165" s="3">
        <v>0.1</v>
      </c>
      <c r="H165" s="3">
        <v>17.21</v>
      </c>
      <c r="I165" s="3">
        <v>3.3</v>
      </c>
      <c r="J165" s="3">
        <v>0.03</v>
      </c>
      <c r="K165" s="3">
        <v>0</v>
      </c>
      <c r="L165" s="3">
        <v>0.04</v>
      </c>
      <c r="M165" s="3">
        <v>0</v>
      </c>
      <c r="N165" s="3">
        <v>45</v>
      </c>
      <c r="O165" s="3">
        <v>54</v>
      </c>
      <c r="P165" s="3">
        <v>6.07</v>
      </c>
      <c r="Q165" s="3">
        <v>407</v>
      </c>
      <c r="R165" s="3">
        <v>14</v>
      </c>
      <c r="S165" s="3">
        <v>0.44</v>
      </c>
      <c r="T165" s="3">
        <v>5</v>
      </c>
      <c r="U165" s="3">
        <v>0</v>
      </c>
      <c r="V165" s="3">
        <v>10</v>
      </c>
      <c r="W165" s="3">
        <v>0</v>
      </c>
    </row>
    <row r="166" spans="1:23" x14ac:dyDescent="0.25">
      <c r="A166" s="3" t="s">
        <v>296</v>
      </c>
      <c r="B166" s="3" t="s">
        <v>326</v>
      </c>
      <c r="C166" s="3"/>
      <c r="D166" s="3" t="s">
        <v>327</v>
      </c>
      <c r="E166" s="3">
        <v>78.77</v>
      </c>
      <c r="F166" s="3">
        <v>2.02</v>
      </c>
      <c r="G166" s="3">
        <v>0.09</v>
      </c>
      <c r="H166" s="3">
        <v>17.47</v>
      </c>
      <c r="I166" s="3">
        <v>2.2000000000000002</v>
      </c>
      <c r="J166" s="3">
        <v>0.03</v>
      </c>
      <c r="K166" s="3">
        <v>0</v>
      </c>
      <c r="L166" s="3">
        <v>0.04</v>
      </c>
      <c r="M166" s="3">
        <v>0</v>
      </c>
      <c r="N166" s="3">
        <v>12</v>
      </c>
      <c r="O166" s="3">
        <v>57</v>
      </c>
      <c r="P166" s="3">
        <v>0.78</v>
      </c>
      <c r="Q166" s="3">
        <v>421</v>
      </c>
      <c r="R166" s="3">
        <v>6</v>
      </c>
      <c r="S166" s="3">
        <v>0.28999999999999998</v>
      </c>
      <c r="T166" s="3">
        <v>20</v>
      </c>
      <c r="U166" s="3">
        <v>0</v>
      </c>
      <c r="V166" s="3">
        <v>16</v>
      </c>
      <c r="W166" s="3">
        <v>0</v>
      </c>
    </row>
    <row r="167" spans="1:23" x14ac:dyDescent="0.25">
      <c r="A167" s="3" t="s">
        <v>296</v>
      </c>
      <c r="B167" s="3" t="s">
        <v>328</v>
      </c>
      <c r="C167" s="3"/>
      <c r="D167" s="3" t="s">
        <v>329</v>
      </c>
      <c r="E167" s="3">
        <v>75.599999999999994</v>
      </c>
      <c r="F167" s="3">
        <v>1.8</v>
      </c>
      <c r="G167" s="3">
        <v>0.4</v>
      </c>
      <c r="H167" s="3">
        <v>16.2</v>
      </c>
      <c r="I167" s="3">
        <v>2.6</v>
      </c>
      <c r="J167" s="3"/>
      <c r="K167" s="3"/>
      <c r="L167" s="3"/>
      <c r="M167" s="3"/>
      <c r="N167" s="3">
        <v>19</v>
      </c>
      <c r="O167" s="3">
        <v>40</v>
      </c>
      <c r="P167" s="3">
        <v>0.52</v>
      </c>
      <c r="Q167" s="3">
        <v>295</v>
      </c>
      <c r="R167" s="3">
        <v>6</v>
      </c>
      <c r="S167" s="3">
        <v>0.22</v>
      </c>
      <c r="T167" s="3">
        <v>3.15</v>
      </c>
      <c r="U167" s="3">
        <v>0</v>
      </c>
      <c r="V167" s="3"/>
      <c r="W167" s="3"/>
    </row>
    <row r="168" spans="1:23" x14ac:dyDescent="0.25">
      <c r="A168" s="3" t="s">
        <v>296</v>
      </c>
      <c r="B168" s="3" t="s">
        <v>330</v>
      </c>
      <c r="C168" s="3"/>
      <c r="D168" s="3" t="s">
        <v>331</v>
      </c>
      <c r="E168" s="3">
        <v>87.78</v>
      </c>
      <c r="F168" s="3">
        <v>1.71</v>
      </c>
      <c r="G168" s="3">
        <v>0.1</v>
      </c>
      <c r="H168" s="3">
        <v>20.010000000000002</v>
      </c>
      <c r="I168" s="3">
        <v>1.8</v>
      </c>
      <c r="J168" s="3">
        <v>0.03</v>
      </c>
      <c r="K168" s="3">
        <v>0</v>
      </c>
      <c r="L168" s="3">
        <v>0.04</v>
      </c>
      <c r="M168" s="3">
        <v>0</v>
      </c>
      <c r="N168" s="3">
        <v>8</v>
      </c>
      <c r="O168" s="3">
        <v>40</v>
      </c>
      <c r="P168" s="3">
        <v>0.31</v>
      </c>
      <c r="Q168" s="3">
        <v>328</v>
      </c>
      <c r="R168" s="3">
        <v>5</v>
      </c>
      <c r="S168" s="3">
        <v>0.27</v>
      </c>
      <c r="T168" s="3">
        <v>7</v>
      </c>
      <c r="U168" s="3">
        <v>0</v>
      </c>
      <c r="V168" s="3">
        <v>9</v>
      </c>
      <c r="W168" s="3">
        <v>0</v>
      </c>
    </row>
    <row r="169" spans="1:23" x14ac:dyDescent="0.25">
      <c r="A169" s="3" t="s">
        <v>296</v>
      </c>
      <c r="B169" s="3" t="s">
        <v>332</v>
      </c>
      <c r="C169" s="3"/>
      <c r="D169" s="3" t="s">
        <v>333</v>
      </c>
      <c r="E169" s="3">
        <v>60.94</v>
      </c>
      <c r="F169" s="3">
        <v>2.57</v>
      </c>
      <c r="G169" s="3">
        <v>0.1</v>
      </c>
      <c r="H169" s="3">
        <v>12.44</v>
      </c>
      <c r="I169" s="3">
        <v>2.5</v>
      </c>
      <c r="J169" s="3">
        <v>0.03</v>
      </c>
      <c r="K169" s="3">
        <v>0</v>
      </c>
      <c r="L169" s="3">
        <v>0.04</v>
      </c>
      <c r="M169" s="3">
        <v>0</v>
      </c>
      <c r="N169" s="3">
        <v>30</v>
      </c>
      <c r="O169" s="3">
        <v>38</v>
      </c>
      <c r="P169" s="3">
        <v>3.24</v>
      </c>
      <c r="Q169" s="3">
        <v>413</v>
      </c>
      <c r="R169" s="3">
        <v>10</v>
      </c>
      <c r="S169" s="3">
        <v>0.35</v>
      </c>
      <c r="T169" s="3">
        <v>11</v>
      </c>
      <c r="U169" s="3">
        <v>0</v>
      </c>
      <c r="V169" s="3">
        <v>17</v>
      </c>
      <c r="W169" s="3">
        <v>0</v>
      </c>
    </row>
    <row r="170" spans="1:23" x14ac:dyDescent="0.25">
      <c r="A170" s="3" t="s">
        <v>296</v>
      </c>
      <c r="B170" s="3" t="s">
        <v>334</v>
      </c>
      <c r="C170" s="3"/>
      <c r="D170" s="3" t="s">
        <v>335</v>
      </c>
      <c r="E170" s="3">
        <v>262.72000000000003</v>
      </c>
      <c r="F170" s="3"/>
      <c r="G170" s="3">
        <v>4.16</v>
      </c>
      <c r="H170" s="3">
        <v>56.32</v>
      </c>
      <c r="I170" s="3"/>
      <c r="J170" s="3"/>
      <c r="K170" s="3"/>
      <c r="L170" s="3"/>
      <c r="M170" s="3"/>
      <c r="N170" s="3">
        <v>2</v>
      </c>
      <c r="O170" s="3">
        <v>15</v>
      </c>
      <c r="P170" s="3">
        <v>0.36</v>
      </c>
      <c r="Q170" s="3">
        <v>489</v>
      </c>
      <c r="R170" s="3">
        <v>182</v>
      </c>
      <c r="S170" s="3">
        <v>0.02</v>
      </c>
      <c r="T170" s="3"/>
      <c r="U170" s="3"/>
      <c r="V170" s="3"/>
      <c r="W170" s="3"/>
    </row>
    <row r="171" spans="1:23" x14ac:dyDescent="0.25">
      <c r="A171" s="3" t="s">
        <v>296</v>
      </c>
      <c r="B171" s="3" t="s">
        <v>336</v>
      </c>
      <c r="C171" s="3"/>
      <c r="D171" s="3" t="s">
        <v>337</v>
      </c>
      <c r="E171" s="3">
        <v>214.55</v>
      </c>
      <c r="F171" s="3"/>
      <c r="G171" s="3">
        <v>1.67</v>
      </c>
      <c r="H171" s="3">
        <v>49.88</v>
      </c>
      <c r="I171" s="3"/>
      <c r="J171" s="3"/>
      <c r="K171" s="3"/>
      <c r="L171" s="3"/>
      <c r="M171" s="3"/>
      <c r="N171" s="3">
        <v>2</v>
      </c>
      <c r="O171" s="3">
        <v>32</v>
      </c>
      <c r="P171" s="3">
        <v>0.23</v>
      </c>
      <c r="Q171" s="3">
        <v>330</v>
      </c>
      <c r="R171" s="3">
        <v>9</v>
      </c>
      <c r="S171" s="3">
        <v>0.22</v>
      </c>
      <c r="T171" s="3"/>
      <c r="U171" s="3"/>
      <c r="V171" s="3"/>
      <c r="W171" s="3"/>
    </row>
    <row r="172" spans="1:23" x14ac:dyDescent="0.25">
      <c r="A172" s="3" t="s">
        <v>296</v>
      </c>
      <c r="B172" s="3" t="s">
        <v>338</v>
      </c>
      <c r="C172" s="3"/>
      <c r="D172" s="3" t="s">
        <v>339</v>
      </c>
      <c r="E172" s="3">
        <v>482.31</v>
      </c>
      <c r="F172" s="3">
        <v>1.63</v>
      </c>
      <c r="G172" s="3">
        <v>20.59</v>
      </c>
      <c r="H172" s="3">
        <v>72.62</v>
      </c>
      <c r="I172" s="3"/>
      <c r="J172" s="3"/>
      <c r="K172" s="3"/>
      <c r="L172" s="3"/>
      <c r="M172" s="3"/>
      <c r="N172" s="3">
        <v>3</v>
      </c>
      <c r="O172" s="3">
        <v>30</v>
      </c>
      <c r="P172" s="3">
        <v>0.51</v>
      </c>
      <c r="Q172" s="3">
        <v>473</v>
      </c>
      <c r="R172" s="3">
        <v>2</v>
      </c>
      <c r="S172" s="3">
        <v>0.28000000000000003</v>
      </c>
      <c r="T172" s="3"/>
      <c r="U172" s="3"/>
      <c r="V172" s="3"/>
      <c r="W172" s="3"/>
    </row>
    <row r="173" spans="1:23" x14ac:dyDescent="0.25">
      <c r="A173" s="3" t="s">
        <v>296</v>
      </c>
      <c r="B173" s="3" t="s">
        <v>340</v>
      </c>
      <c r="C173" s="3"/>
      <c r="D173" s="3" t="s">
        <v>341</v>
      </c>
      <c r="E173" s="3">
        <v>121.4</v>
      </c>
      <c r="F173" s="3"/>
      <c r="G173" s="3"/>
      <c r="H173" s="3">
        <v>30.35</v>
      </c>
      <c r="I173" s="3"/>
      <c r="J173" s="3"/>
      <c r="K173" s="3"/>
      <c r="L173" s="3"/>
      <c r="M173" s="3"/>
      <c r="N173" s="3">
        <v>2</v>
      </c>
      <c r="O173" s="3">
        <v>6</v>
      </c>
      <c r="P173" s="3">
        <v>0.18</v>
      </c>
      <c r="Q173" s="3">
        <v>26</v>
      </c>
      <c r="R173" s="3">
        <v>21</v>
      </c>
      <c r="S173" s="3">
        <v>7.0000000000000007E-2</v>
      </c>
      <c r="T173" s="3"/>
      <c r="U173" s="3"/>
      <c r="V173" s="3"/>
      <c r="W173" s="3"/>
    </row>
    <row r="174" spans="1:23" x14ac:dyDescent="0.25">
      <c r="A174" s="3" t="s">
        <v>296</v>
      </c>
      <c r="B174" s="3" t="s">
        <v>342</v>
      </c>
      <c r="C174" s="3"/>
      <c r="D174" s="3" t="s">
        <v>343</v>
      </c>
      <c r="E174" s="3">
        <v>136.09</v>
      </c>
      <c r="F174" s="3">
        <v>1.3</v>
      </c>
      <c r="G174" s="3">
        <v>0.37</v>
      </c>
      <c r="H174" s="3">
        <v>31.89</v>
      </c>
      <c r="I174" s="3">
        <v>2.2999999999999998</v>
      </c>
      <c r="J174" s="3">
        <v>0.14000000000000001</v>
      </c>
      <c r="K174" s="3">
        <v>0.03</v>
      </c>
      <c r="L174" s="3">
        <v>7.0000000000000007E-2</v>
      </c>
      <c r="M174" s="3">
        <v>0</v>
      </c>
      <c r="N174" s="3">
        <v>3</v>
      </c>
      <c r="O174" s="3">
        <v>34</v>
      </c>
      <c r="P174" s="3">
        <v>0.6</v>
      </c>
      <c r="Q174" s="3">
        <v>499</v>
      </c>
      <c r="R174" s="3">
        <v>4</v>
      </c>
      <c r="S174" s="3">
        <v>0.14000000000000001</v>
      </c>
      <c r="T174" s="3">
        <v>18</v>
      </c>
      <c r="U174" s="3">
        <v>56</v>
      </c>
      <c r="V174" s="3">
        <v>22</v>
      </c>
      <c r="W174" s="3">
        <v>0</v>
      </c>
    </row>
    <row r="175" spans="1:23" x14ac:dyDescent="0.25">
      <c r="A175" s="3" t="s">
        <v>296</v>
      </c>
      <c r="B175" s="3" t="s">
        <v>344</v>
      </c>
      <c r="C175" s="3"/>
      <c r="D175" s="3" t="s">
        <v>345</v>
      </c>
      <c r="E175" s="3">
        <v>146.9</v>
      </c>
      <c r="F175" s="3">
        <v>1.2</v>
      </c>
      <c r="G175" s="3">
        <v>0.1</v>
      </c>
      <c r="H175" s="3">
        <v>35.299999999999997</v>
      </c>
      <c r="I175" s="3">
        <v>0.5</v>
      </c>
      <c r="J175" s="3"/>
      <c r="K175" s="3"/>
      <c r="L175" s="3"/>
      <c r="M175" s="3"/>
      <c r="N175" s="3">
        <v>8</v>
      </c>
      <c r="O175" s="3">
        <v>40</v>
      </c>
      <c r="P175" s="3">
        <v>0.8</v>
      </c>
      <c r="Q175" s="3"/>
      <c r="R175" s="3"/>
      <c r="S175" s="3"/>
      <c r="T175" s="3">
        <v>28</v>
      </c>
      <c r="U175" s="3">
        <v>130</v>
      </c>
      <c r="V175" s="3"/>
      <c r="W175" s="3"/>
    </row>
    <row r="176" spans="1:23" x14ac:dyDescent="0.25">
      <c r="A176" s="3" t="s">
        <v>296</v>
      </c>
      <c r="B176" s="3" t="s">
        <v>346</v>
      </c>
      <c r="C176" s="3"/>
      <c r="D176" s="3" t="s">
        <v>347</v>
      </c>
      <c r="E176" s="3">
        <v>308.97000000000003</v>
      </c>
      <c r="F176" s="3">
        <v>1.5</v>
      </c>
      <c r="G176" s="3">
        <v>11.81</v>
      </c>
      <c r="H176" s="3">
        <v>49.17</v>
      </c>
      <c r="I176" s="3">
        <v>3.5</v>
      </c>
      <c r="J176" s="3">
        <v>3.69</v>
      </c>
      <c r="K176" s="3">
        <v>4.3499999999999996</v>
      </c>
      <c r="L176" s="3">
        <v>2.7</v>
      </c>
      <c r="M176" s="3">
        <v>0</v>
      </c>
      <c r="N176" s="3">
        <v>4</v>
      </c>
      <c r="O176" s="3">
        <v>44</v>
      </c>
      <c r="P176" s="3">
        <v>0.67</v>
      </c>
      <c r="Q176" s="3">
        <v>482</v>
      </c>
      <c r="R176" s="3">
        <v>2</v>
      </c>
      <c r="S176" s="3">
        <v>0.23</v>
      </c>
      <c r="T176" s="3">
        <v>3.4</v>
      </c>
      <c r="U176" s="3">
        <v>357.6</v>
      </c>
      <c r="V176" s="3">
        <v>15</v>
      </c>
      <c r="W176" s="3"/>
    </row>
    <row r="177" spans="1:23" x14ac:dyDescent="0.25">
      <c r="A177" s="3" t="s">
        <v>296</v>
      </c>
      <c r="B177" s="3" t="s">
        <v>348</v>
      </c>
      <c r="C177" s="3"/>
      <c r="D177" s="3" t="s">
        <v>349</v>
      </c>
      <c r="E177" s="3">
        <v>237.33</v>
      </c>
      <c r="F177" s="3">
        <v>2.67</v>
      </c>
      <c r="G177" s="3">
        <v>2.67</v>
      </c>
      <c r="H177" s="3">
        <v>50.67</v>
      </c>
      <c r="I177" s="3">
        <v>0</v>
      </c>
      <c r="J177" s="3">
        <v>1.33</v>
      </c>
      <c r="K177" s="3">
        <v>0.67</v>
      </c>
      <c r="L177" s="3">
        <v>0</v>
      </c>
      <c r="M177" s="3">
        <v>45.33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x14ac:dyDescent="0.25">
      <c r="A178" s="3" t="s">
        <v>296</v>
      </c>
      <c r="B178" s="3" t="s">
        <v>350</v>
      </c>
      <c r="C178" s="3"/>
      <c r="D178" s="3" t="s">
        <v>351</v>
      </c>
      <c r="E178" s="3">
        <v>160.19999999999999</v>
      </c>
      <c r="F178" s="3">
        <v>1.36</v>
      </c>
      <c r="G178" s="3">
        <v>0.28000000000000003</v>
      </c>
      <c r="H178" s="3">
        <v>38.06</v>
      </c>
      <c r="I178" s="3">
        <v>1.8</v>
      </c>
      <c r="J178" s="3">
        <v>7.0000000000000007E-2</v>
      </c>
      <c r="K178" s="3">
        <v>0.08</v>
      </c>
      <c r="L178" s="3">
        <v>0.05</v>
      </c>
      <c r="M178" s="3">
        <v>0</v>
      </c>
      <c r="N178" s="3">
        <v>16</v>
      </c>
      <c r="O178" s="3">
        <v>27</v>
      </c>
      <c r="P178" s="3">
        <v>0.27</v>
      </c>
      <c r="Q178" s="3">
        <v>271</v>
      </c>
      <c r="R178" s="3">
        <v>14</v>
      </c>
      <c r="S178" s="3">
        <v>0.34</v>
      </c>
      <c r="T178" s="3">
        <v>21</v>
      </c>
      <c r="U178" s="3">
        <v>1</v>
      </c>
      <c r="V178" s="3">
        <v>27</v>
      </c>
      <c r="W178" s="3">
        <v>0</v>
      </c>
    </row>
    <row r="179" spans="1:23" x14ac:dyDescent="0.25">
      <c r="A179" s="3" t="s">
        <v>296</v>
      </c>
      <c r="B179" s="3" t="s">
        <v>352</v>
      </c>
      <c r="C179" s="3"/>
      <c r="D179" s="3" t="s">
        <v>353</v>
      </c>
      <c r="E179" s="3">
        <v>489.38</v>
      </c>
      <c r="F179" s="3">
        <v>2.0299999999999998</v>
      </c>
      <c r="G179" s="3">
        <v>24.58</v>
      </c>
      <c r="H179" s="3">
        <v>65.010000000000005</v>
      </c>
      <c r="I179" s="3"/>
      <c r="J179" s="3"/>
      <c r="K179" s="3"/>
      <c r="L179" s="3"/>
      <c r="M179" s="3"/>
      <c r="N179" s="3">
        <v>36</v>
      </c>
      <c r="O179" s="3">
        <v>94</v>
      </c>
      <c r="P179" s="3">
        <v>0.79</v>
      </c>
      <c r="Q179" s="3">
        <v>1133</v>
      </c>
      <c r="R179" s="3">
        <v>577</v>
      </c>
      <c r="S179" s="3">
        <v>1.1599999999999999</v>
      </c>
      <c r="T179" s="3"/>
      <c r="U179" s="3"/>
      <c r="V179" s="3"/>
      <c r="W179" s="3"/>
    </row>
    <row r="180" spans="1:23" x14ac:dyDescent="0.25">
      <c r="A180" s="3" t="s">
        <v>296</v>
      </c>
      <c r="B180" s="3" t="s">
        <v>354</v>
      </c>
      <c r="C180" s="3"/>
      <c r="D180" s="3" t="s">
        <v>355</v>
      </c>
      <c r="E180" s="3">
        <v>76.02</v>
      </c>
      <c r="F180" s="3">
        <v>1.32</v>
      </c>
      <c r="G180" s="3">
        <v>0.3</v>
      </c>
      <c r="H180" s="3">
        <v>17.010000000000002</v>
      </c>
      <c r="I180" s="3">
        <v>3.6</v>
      </c>
      <c r="J180" s="3">
        <v>0.05</v>
      </c>
      <c r="K180" s="3">
        <v>0.11</v>
      </c>
      <c r="L180" s="3">
        <v>0.05</v>
      </c>
      <c r="M180" s="3">
        <v>0</v>
      </c>
      <c r="N180" s="3">
        <v>37</v>
      </c>
      <c r="O180" s="3">
        <v>69</v>
      </c>
      <c r="P180" s="3">
        <v>0.57999999999999996</v>
      </c>
      <c r="Q180" s="3">
        <v>367</v>
      </c>
      <c r="R180" s="3">
        <v>10</v>
      </c>
      <c r="S180" s="3">
        <v>0.26</v>
      </c>
      <c r="T180" s="3">
        <v>13</v>
      </c>
      <c r="U180" s="3">
        <v>0</v>
      </c>
      <c r="V180" s="3">
        <v>58</v>
      </c>
      <c r="W180" s="3">
        <v>0</v>
      </c>
    </row>
    <row r="181" spans="1:23" x14ac:dyDescent="0.25">
      <c r="A181" s="3" t="s">
        <v>296</v>
      </c>
      <c r="B181" s="3" t="s">
        <v>356</v>
      </c>
      <c r="C181" s="3"/>
      <c r="D181" s="3" t="s">
        <v>357</v>
      </c>
      <c r="E181" s="3">
        <v>79.459999999999994</v>
      </c>
      <c r="F181" s="3">
        <v>1.2</v>
      </c>
      <c r="G181" s="3">
        <v>0.3</v>
      </c>
      <c r="H181" s="3">
        <v>17.989999999999998</v>
      </c>
      <c r="I181" s="3">
        <v>4.9000000000000004</v>
      </c>
      <c r="J181" s="3">
        <v>0.05</v>
      </c>
      <c r="K181" s="3">
        <v>0.11</v>
      </c>
      <c r="L181" s="3">
        <v>0.05</v>
      </c>
      <c r="M181" s="3">
        <v>0</v>
      </c>
      <c r="N181" s="3">
        <v>36</v>
      </c>
      <c r="O181" s="3">
        <v>71</v>
      </c>
      <c r="P181" s="3">
        <v>0.59</v>
      </c>
      <c r="Q181" s="3">
        <v>375</v>
      </c>
      <c r="R181" s="3">
        <v>10</v>
      </c>
      <c r="S181" s="3">
        <v>0.59</v>
      </c>
      <c r="T181" s="3">
        <v>17</v>
      </c>
      <c r="U181" s="3">
        <v>0</v>
      </c>
      <c r="V181" s="3">
        <v>67</v>
      </c>
      <c r="W181" s="3">
        <v>0</v>
      </c>
    </row>
    <row r="182" spans="1:2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x14ac:dyDescent="0.25">
      <c r="A183" s="3" t="s">
        <v>2026</v>
      </c>
      <c r="B183" s="3" t="s">
        <v>358</v>
      </c>
      <c r="C183" s="3"/>
      <c r="D183" s="3" t="s">
        <v>359</v>
      </c>
      <c r="E183" s="3">
        <v>174.06</v>
      </c>
      <c r="F183" s="3">
        <v>2</v>
      </c>
      <c r="G183" s="3">
        <v>14.66</v>
      </c>
      <c r="H183" s="3">
        <v>8.5299999999999994</v>
      </c>
      <c r="I183" s="3">
        <v>6.7</v>
      </c>
      <c r="J183" s="3">
        <v>2.13</v>
      </c>
      <c r="K183" s="3">
        <v>9.8000000000000007</v>
      </c>
      <c r="L183" s="3">
        <v>1.82</v>
      </c>
      <c r="M183" s="3">
        <v>0</v>
      </c>
      <c r="N183" s="3">
        <v>12</v>
      </c>
      <c r="O183" s="3">
        <v>52</v>
      </c>
      <c r="P183" s="3">
        <v>0.55000000000000004</v>
      </c>
      <c r="Q183" s="3">
        <v>485</v>
      </c>
      <c r="R183" s="3">
        <v>7</v>
      </c>
      <c r="S183" s="3">
        <v>0.64</v>
      </c>
      <c r="T183" s="3">
        <v>10</v>
      </c>
      <c r="U183" s="3">
        <v>7</v>
      </c>
      <c r="V183" s="3">
        <v>81</v>
      </c>
      <c r="W183" s="3">
        <v>0</v>
      </c>
    </row>
    <row r="184" spans="1:23" x14ac:dyDescent="0.25">
      <c r="A184" s="3" t="s">
        <v>2026</v>
      </c>
      <c r="B184" s="3" t="s">
        <v>360</v>
      </c>
      <c r="C184" s="3"/>
      <c r="D184" s="3" t="s">
        <v>361</v>
      </c>
      <c r="E184" s="3">
        <v>130.74</v>
      </c>
      <c r="F184" s="3">
        <v>2.23</v>
      </c>
      <c r="G184" s="3">
        <v>10.06</v>
      </c>
      <c r="H184" s="3">
        <v>7.82</v>
      </c>
      <c r="I184" s="3">
        <v>5.6</v>
      </c>
      <c r="J184" s="3">
        <v>1.96</v>
      </c>
      <c r="K184" s="3">
        <v>5.51</v>
      </c>
      <c r="L184" s="3">
        <v>1.68</v>
      </c>
      <c r="M184" s="3">
        <v>0</v>
      </c>
      <c r="N184" s="3">
        <v>10</v>
      </c>
      <c r="O184" s="3">
        <v>40</v>
      </c>
      <c r="P184" s="3">
        <v>0.17</v>
      </c>
      <c r="Q184" s="3">
        <v>351</v>
      </c>
      <c r="R184" s="3">
        <v>2</v>
      </c>
      <c r="S184" s="3">
        <v>0.4</v>
      </c>
      <c r="T184" s="3">
        <v>17.399999999999999</v>
      </c>
      <c r="U184" s="3">
        <v>7</v>
      </c>
      <c r="V184" s="3">
        <v>35</v>
      </c>
      <c r="W184" s="3">
        <v>0</v>
      </c>
    </row>
    <row r="185" spans="1:23" x14ac:dyDescent="0.25">
      <c r="A185" s="3" t="s">
        <v>2026</v>
      </c>
      <c r="B185" s="3" t="s">
        <v>362</v>
      </c>
      <c r="C185" s="3"/>
      <c r="D185" s="3" t="s">
        <v>363</v>
      </c>
      <c r="E185" s="3">
        <v>320</v>
      </c>
      <c r="F185" s="3">
        <v>0</v>
      </c>
      <c r="G185" s="3">
        <v>0</v>
      </c>
      <c r="H185" s="3">
        <v>80</v>
      </c>
      <c r="I185" s="3">
        <v>1.67</v>
      </c>
      <c r="J185" s="3">
        <v>0</v>
      </c>
      <c r="K185" s="3"/>
      <c r="L185" s="3"/>
      <c r="M185" s="3">
        <v>0</v>
      </c>
      <c r="N185" s="3"/>
      <c r="O185" s="3"/>
      <c r="P185" s="3"/>
      <c r="Q185" s="3"/>
      <c r="R185" s="3">
        <v>100</v>
      </c>
      <c r="S185" s="3"/>
      <c r="T185" s="3"/>
      <c r="U185" s="3"/>
      <c r="V185" s="3"/>
      <c r="W185" s="3"/>
    </row>
    <row r="186" spans="1:23" x14ac:dyDescent="0.25">
      <c r="A186" s="3" t="s">
        <v>2026</v>
      </c>
      <c r="B186" s="3" t="s">
        <v>364</v>
      </c>
      <c r="C186" s="3"/>
      <c r="D186" s="3" t="s">
        <v>365</v>
      </c>
      <c r="E186" s="3">
        <v>340</v>
      </c>
      <c r="F186" s="3">
        <v>0</v>
      </c>
      <c r="G186" s="3">
        <v>0</v>
      </c>
      <c r="H186" s="3">
        <v>85</v>
      </c>
      <c r="I186" s="3">
        <v>5</v>
      </c>
      <c r="J186" s="3">
        <v>0</v>
      </c>
      <c r="K186" s="3"/>
      <c r="L186" s="3"/>
      <c r="M186" s="3">
        <v>0</v>
      </c>
      <c r="N186" s="3">
        <v>0</v>
      </c>
      <c r="O186" s="3"/>
      <c r="P186" s="3">
        <v>0</v>
      </c>
      <c r="Q186" s="3"/>
      <c r="R186" s="3">
        <v>0</v>
      </c>
      <c r="S186" s="3"/>
      <c r="T186" s="3">
        <v>0</v>
      </c>
      <c r="U186" s="3">
        <v>0</v>
      </c>
      <c r="V186" s="3"/>
      <c r="W186" s="3"/>
    </row>
    <row r="187" spans="1:23" x14ac:dyDescent="0.25">
      <c r="A187" s="3" t="s">
        <v>2026</v>
      </c>
      <c r="B187" s="3" t="s">
        <v>366</v>
      </c>
      <c r="C187" s="3"/>
      <c r="D187" s="3" t="s">
        <v>367</v>
      </c>
      <c r="E187" s="3">
        <v>36.700000000000003</v>
      </c>
      <c r="F187" s="3">
        <v>1.1000000000000001</v>
      </c>
      <c r="G187" s="3">
        <v>1.1000000000000001</v>
      </c>
      <c r="H187" s="3">
        <v>5.6</v>
      </c>
      <c r="I187" s="3">
        <v>0.9</v>
      </c>
      <c r="J187" s="3"/>
      <c r="K187" s="3"/>
      <c r="L187" s="3"/>
      <c r="M187" s="3"/>
      <c r="N187" s="3">
        <v>4</v>
      </c>
      <c r="O187" s="3"/>
      <c r="P187" s="3">
        <v>0.8</v>
      </c>
      <c r="Q187" s="3">
        <v>222</v>
      </c>
      <c r="R187" s="3">
        <v>28</v>
      </c>
      <c r="S187" s="3">
        <v>0.4</v>
      </c>
      <c r="T187" s="3"/>
      <c r="U187" s="3"/>
      <c r="V187" s="3"/>
      <c r="W187" s="3"/>
    </row>
    <row r="188" spans="1:23" x14ac:dyDescent="0.25">
      <c r="A188" s="3" t="s">
        <v>2026</v>
      </c>
      <c r="B188" s="3" t="s">
        <v>368</v>
      </c>
      <c r="C188" s="3"/>
      <c r="D188" s="3" t="s">
        <v>369</v>
      </c>
      <c r="E188" s="3">
        <v>31.4</v>
      </c>
      <c r="F188" s="3">
        <v>0.9</v>
      </c>
      <c r="G188" s="3">
        <v>0.2</v>
      </c>
      <c r="H188" s="3">
        <v>6.5</v>
      </c>
      <c r="I188" s="3">
        <v>0.5</v>
      </c>
      <c r="J188" s="3"/>
      <c r="K188" s="3"/>
      <c r="L188" s="3"/>
      <c r="M188" s="3"/>
      <c r="N188" s="3">
        <v>46</v>
      </c>
      <c r="O188" s="3">
        <v>14</v>
      </c>
      <c r="P188" s="3">
        <v>0.7</v>
      </c>
      <c r="Q188" s="3">
        <v>223</v>
      </c>
      <c r="R188" s="3">
        <v>10</v>
      </c>
      <c r="S188" s="3">
        <v>0.1</v>
      </c>
      <c r="T188" s="3">
        <v>0</v>
      </c>
      <c r="U188" s="3">
        <v>12</v>
      </c>
      <c r="V188" s="3"/>
      <c r="W188" s="3">
        <v>0</v>
      </c>
    </row>
    <row r="189" spans="1:23" x14ac:dyDescent="0.25">
      <c r="A189" s="3" t="s">
        <v>2026</v>
      </c>
      <c r="B189" s="3" t="s">
        <v>370</v>
      </c>
      <c r="C189" s="3"/>
      <c r="D189" s="3" t="s">
        <v>371</v>
      </c>
      <c r="E189" s="3">
        <v>21.8</v>
      </c>
      <c r="F189" s="3">
        <v>0.7</v>
      </c>
      <c r="G189" s="3">
        <v>0.2</v>
      </c>
      <c r="H189" s="3">
        <v>4.3</v>
      </c>
      <c r="I189" s="3"/>
      <c r="J189" s="3"/>
      <c r="K189" s="3"/>
      <c r="L189" s="3"/>
      <c r="M189" s="3"/>
      <c r="N189" s="3">
        <v>14</v>
      </c>
      <c r="O189" s="3">
        <v>17</v>
      </c>
      <c r="P189" s="3">
        <v>0.8</v>
      </c>
      <c r="Q189" s="3"/>
      <c r="R189" s="3"/>
      <c r="S189" s="3"/>
      <c r="T189" s="3">
        <v>15</v>
      </c>
      <c r="U189" s="3">
        <v>7</v>
      </c>
      <c r="V189" s="3"/>
      <c r="W189" s="3"/>
    </row>
    <row r="190" spans="1:23" x14ac:dyDescent="0.25">
      <c r="A190" s="3" t="s">
        <v>2026</v>
      </c>
      <c r="B190" s="3" t="s">
        <v>372</v>
      </c>
      <c r="C190" s="3"/>
      <c r="D190" s="3" t="s">
        <v>373</v>
      </c>
      <c r="E190" s="3">
        <v>115.8</v>
      </c>
      <c r="F190" s="3">
        <v>1.1000000000000001</v>
      </c>
      <c r="G190" s="3">
        <v>0.2</v>
      </c>
      <c r="H190" s="3">
        <v>27.4</v>
      </c>
      <c r="I190" s="3"/>
      <c r="J190" s="3"/>
      <c r="K190" s="3"/>
      <c r="L190" s="3"/>
      <c r="M190" s="3"/>
      <c r="N190" s="3">
        <v>8</v>
      </c>
      <c r="O190" s="3">
        <v>24</v>
      </c>
      <c r="P190" s="3">
        <v>0.6</v>
      </c>
      <c r="Q190" s="3">
        <v>370</v>
      </c>
      <c r="R190" s="3">
        <v>1</v>
      </c>
      <c r="S190" s="3">
        <v>0.17</v>
      </c>
      <c r="T190" s="3">
        <v>13</v>
      </c>
      <c r="U190" s="3">
        <v>14</v>
      </c>
      <c r="V190" s="3"/>
      <c r="W190" s="3">
        <v>0</v>
      </c>
    </row>
    <row r="191" spans="1:23" x14ac:dyDescent="0.25">
      <c r="A191" s="3" t="s">
        <v>2026</v>
      </c>
      <c r="B191" s="3" t="s">
        <v>374</v>
      </c>
      <c r="C191" s="3"/>
      <c r="D191" s="3" t="s">
        <v>375</v>
      </c>
      <c r="E191" s="3">
        <v>98.69</v>
      </c>
      <c r="F191" s="3">
        <v>1.0900000000000001</v>
      </c>
      <c r="G191" s="3">
        <v>0.33</v>
      </c>
      <c r="H191" s="3">
        <v>22.84</v>
      </c>
      <c r="I191" s="3">
        <v>2.6</v>
      </c>
      <c r="J191" s="3">
        <v>0.11</v>
      </c>
      <c r="K191" s="3">
        <v>0.03</v>
      </c>
      <c r="L191" s="3">
        <v>7.0000000000000007E-2</v>
      </c>
      <c r="M191" s="3">
        <v>0</v>
      </c>
      <c r="N191" s="3">
        <v>5</v>
      </c>
      <c r="O191" s="3">
        <v>22</v>
      </c>
      <c r="P191" s="3">
        <v>0.26</v>
      </c>
      <c r="Q191" s="3">
        <v>358</v>
      </c>
      <c r="R191" s="3">
        <v>1</v>
      </c>
      <c r="S191" s="3">
        <v>0.15</v>
      </c>
      <c r="T191" s="3">
        <v>9</v>
      </c>
      <c r="U191" s="3">
        <v>3</v>
      </c>
      <c r="V191" s="3">
        <v>20</v>
      </c>
      <c r="W191" s="3">
        <v>0</v>
      </c>
    </row>
    <row r="192" spans="1:23" x14ac:dyDescent="0.25">
      <c r="A192" s="3" t="s">
        <v>2026</v>
      </c>
      <c r="B192" s="3" t="s">
        <v>376</v>
      </c>
      <c r="C192" s="3"/>
      <c r="D192" s="3" t="s">
        <v>377</v>
      </c>
      <c r="E192" s="3">
        <v>133.4</v>
      </c>
      <c r="F192" s="3">
        <v>3</v>
      </c>
      <c r="G192" s="3">
        <v>0.6</v>
      </c>
      <c r="H192" s="3">
        <v>29</v>
      </c>
      <c r="I192" s="3"/>
      <c r="J192" s="3"/>
      <c r="K192" s="3"/>
      <c r="L192" s="3"/>
      <c r="M192" s="3"/>
      <c r="N192" s="3">
        <v>51</v>
      </c>
      <c r="O192" s="3"/>
      <c r="P192" s="3">
        <v>6.9</v>
      </c>
      <c r="Q192" s="3">
        <v>464</v>
      </c>
      <c r="R192" s="3">
        <v>8</v>
      </c>
      <c r="S192" s="3">
        <v>1.5</v>
      </c>
      <c r="T192" s="3">
        <v>3</v>
      </c>
      <c r="U192" s="3"/>
      <c r="V192" s="3"/>
      <c r="W192" s="3"/>
    </row>
    <row r="193" spans="1:23" x14ac:dyDescent="0.25">
      <c r="A193" s="3" t="s">
        <v>2026</v>
      </c>
      <c r="B193" s="3" t="s">
        <v>378</v>
      </c>
      <c r="C193" s="3"/>
      <c r="D193" s="3" t="s">
        <v>379</v>
      </c>
      <c r="E193" s="3">
        <v>100.7</v>
      </c>
      <c r="F193" s="3">
        <v>2.1</v>
      </c>
      <c r="G193" s="3">
        <v>2.2999999999999998</v>
      </c>
      <c r="H193" s="3">
        <v>17.899999999999999</v>
      </c>
      <c r="I193" s="3"/>
      <c r="J193" s="3"/>
      <c r="K193" s="3"/>
      <c r="L193" s="3"/>
      <c r="M193" s="3"/>
      <c r="N193" s="3">
        <v>125</v>
      </c>
      <c r="O193" s="3">
        <v>94</v>
      </c>
      <c r="P193" s="3">
        <v>1.2</v>
      </c>
      <c r="Q193" s="3"/>
      <c r="R193" s="3"/>
      <c r="S193" s="3"/>
      <c r="T193" s="3">
        <v>90</v>
      </c>
      <c r="U193" s="3"/>
      <c r="V193" s="3"/>
      <c r="W193" s="3"/>
    </row>
    <row r="194" spans="1:23" x14ac:dyDescent="0.25">
      <c r="A194" s="3" t="s">
        <v>2026</v>
      </c>
      <c r="B194" s="3" t="s">
        <v>380</v>
      </c>
      <c r="C194" s="3"/>
      <c r="D194" s="3" t="s">
        <v>381</v>
      </c>
      <c r="E194" s="3">
        <v>34.049999999999997</v>
      </c>
      <c r="F194" s="3">
        <v>1.04</v>
      </c>
      <c r="G194" s="3">
        <v>0.33</v>
      </c>
      <c r="H194" s="3">
        <v>6.73</v>
      </c>
      <c r="I194" s="3">
        <v>2.8</v>
      </c>
      <c r="J194" s="3">
        <v>0.02</v>
      </c>
      <c r="K194" s="3">
        <v>0.03</v>
      </c>
      <c r="L194" s="3">
        <v>0.18</v>
      </c>
      <c r="M194" s="3">
        <v>0</v>
      </c>
      <c r="N194" s="3">
        <v>3</v>
      </c>
      <c r="O194" s="3">
        <v>12</v>
      </c>
      <c r="P194" s="3">
        <v>0.08</v>
      </c>
      <c r="Q194" s="3">
        <v>133</v>
      </c>
      <c r="R194" s="3">
        <v>2</v>
      </c>
      <c r="S194" s="3">
        <v>0.12</v>
      </c>
      <c r="T194" s="3">
        <v>34</v>
      </c>
      <c r="U194" s="3">
        <v>3</v>
      </c>
      <c r="V194" s="3">
        <v>12</v>
      </c>
      <c r="W194" s="3">
        <v>0</v>
      </c>
    </row>
    <row r="195" spans="1:23" x14ac:dyDescent="0.25">
      <c r="A195" s="3" t="s">
        <v>2026</v>
      </c>
      <c r="B195" s="3" t="s">
        <v>382</v>
      </c>
      <c r="C195" s="3"/>
      <c r="D195" s="3" t="s">
        <v>383</v>
      </c>
      <c r="E195" s="3">
        <v>96.9</v>
      </c>
      <c r="F195" s="3">
        <v>0.73</v>
      </c>
      <c r="G195" s="3">
        <v>0.1</v>
      </c>
      <c r="H195" s="3">
        <v>23.27</v>
      </c>
      <c r="I195" s="3">
        <v>1.1000000000000001</v>
      </c>
      <c r="J195" s="3">
        <v>0.02</v>
      </c>
      <c r="K195" s="3">
        <v>0.03</v>
      </c>
      <c r="L195" s="3">
        <v>0.03</v>
      </c>
      <c r="M195" s="3">
        <v>0</v>
      </c>
      <c r="N195" s="3">
        <v>10</v>
      </c>
      <c r="O195" s="3">
        <v>10</v>
      </c>
      <c r="P195" s="3">
        <v>1.3</v>
      </c>
      <c r="Q195" s="3">
        <v>93</v>
      </c>
      <c r="R195" s="3">
        <v>7</v>
      </c>
      <c r="S195" s="3">
        <v>0.06</v>
      </c>
      <c r="T195" s="3">
        <v>2</v>
      </c>
      <c r="U195" s="3">
        <v>36</v>
      </c>
      <c r="V195" s="3">
        <v>8</v>
      </c>
      <c r="W195" s="3">
        <v>0</v>
      </c>
    </row>
    <row r="196" spans="1:23" x14ac:dyDescent="0.25">
      <c r="A196" s="3" t="s">
        <v>2026</v>
      </c>
      <c r="B196" s="3" t="s">
        <v>384</v>
      </c>
      <c r="C196" s="3"/>
      <c r="D196" s="3" t="s">
        <v>385</v>
      </c>
      <c r="E196" s="3">
        <v>55.42</v>
      </c>
      <c r="F196" s="3">
        <v>1</v>
      </c>
      <c r="G196" s="3">
        <v>0.3</v>
      </c>
      <c r="H196" s="3">
        <v>12.18</v>
      </c>
      <c r="I196" s="3">
        <v>1.6</v>
      </c>
      <c r="J196" s="3">
        <v>7.0000000000000007E-2</v>
      </c>
      <c r="K196" s="3">
        <v>0.08</v>
      </c>
      <c r="L196" s="3">
        <v>0.09</v>
      </c>
      <c r="M196" s="3">
        <v>0</v>
      </c>
      <c r="N196" s="3">
        <v>16</v>
      </c>
      <c r="O196" s="3">
        <v>15</v>
      </c>
      <c r="P196" s="3">
        <v>0.32</v>
      </c>
      <c r="Q196" s="3">
        <v>173</v>
      </c>
      <c r="R196" s="3">
        <v>3</v>
      </c>
      <c r="S196" s="3">
        <v>0.1</v>
      </c>
      <c r="T196" s="3">
        <v>10</v>
      </c>
      <c r="U196" s="3">
        <v>64</v>
      </c>
      <c r="V196" s="3">
        <v>8</v>
      </c>
      <c r="W196" s="3">
        <v>0</v>
      </c>
    </row>
    <row r="197" spans="1:23" x14ac:dyDescent="0.25">
      <c r="A197" s="3" t="s">
        <v>2026</v>
      </c>
      <c r="B197" s="3" t="s">
        <v>386</v>
      </c>
      <c r="C197" s="3"/>
      <c r="D197" s="3" t="s">
        <v>387</v>
      </c>
      <c r="E197" s="3">
        <v>216</v>
      </c>
      <c r="F197" s="3">
        <v>0</v>
      </c>
      <c r="G197" s="3">
        <v>0</v>
      </c>
      <c r="H197" s="3">
        <v>54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/>
      <c r="O197" s="3"/>
      <c r="P197" s="3"/>
      <c r="Q197" s="3"/>
      <c r="R197" s="3">
        <v>10</v>
      </c>
      <c r="S197" s="3"/>
      <c r="T197" s="3"/>
      <c r="U197" s="3"/>
      <c r="V197" s="3"/>
      <c r="W197" s="3"/>
    </row>
    <row r="198" spans="1:23" x14ac:dyDescent="0.25">
      <c r="A198" s="3" t="s">
        <v>2026</v>
      </c>
      <c r="B198" s="3" t="s">
        <v>388</v>
      </c>
      <c r="C198" s="3"/>
      <c r="D198" s="3" t="s">
        <v>389</v>
      </c>
      <c r="E198" s="3">
        <v>82.98</v>
      </c>
      <c r="F198" s="3">
        <v>1.65</v>
      </c>
      <c r="G198" s="3">
        <v>0.62</v>
      </c>
      <c r="H198" s="3">
        <v>17.7</v>
      </c>
      <c r="I198" s="3">
        <v>2.2999999999999998</v>
      </c>
      <c r="J198" s="3"/>
      <c r="K198" s="3"/>
      <c r="L198" s="3"/>
      <c r="M198" s="3">
        <v>0</v>
      </c>
      <c r="N198" s="3">
        <v>8</v>
      </c>
      <c r="O198" s="3">
        <v>26</v>
      </c>
      <c r="P198" s="3">
        <v>0.3</v>
      </c>
      <c r="Q198" s="3">
        <v>269</v>
      </c>
      <c r="R198" s="3">
        <v>4</v>
      </c>
      <c r="S198" s="3">
        <v>0.18</v>
      </c>
      <c r="T198" s="3">
        <v>12</v>
      </c>
      <c r="U198" s="3">
        <v>0</v>
      </c>
      <c r="V198" s="3">
        <v>18</v>
      </c>
      <c r="W198" s="3">
        <v>0</v>
      </c>
    </row>
    <row r="199" spans="1:23" x14ac:dyDescent="0.25">
      <c r="A199" s="3" t="s">
        <v>2026</v>
      </c>
      <c r="B199" s="3" t="s">
        <v>390</v>
      </c>
      <c r="C199" s="3"/>
      <c r="D199" s="3" t="s">
        <v>391</v>
      </c>
      <c r="E199" s="3">
        <v>195.54</v>
      </c>
      <c r="F199" s="3"/>
      <c r="G199" s="3">
        <v>4.58</v>
      </c>
      <c r="H199" s="3">
        <v>38.58</v>
      </c>
      <c r="I199" s="3"/>
      <c r="J199" s="3"/>
      <c r="K199" s="3"/>
      <c r="L199" s="3"/>
      <c r="M199" s="3"/>
      <c r="N199" s="3">
        <v>1</v>
      </c>
      <c r="O199" s="3">
        <v>20</v>
      </c>
      <c r="P199" s="3">
        <v>0.34</v>
      </c>
      <c r="Q199" s="3">
        <v>201</v>
      </c>
      <c r="R199" s="3">
        <v>11</v>
      </c>
      <c r="S199" s="3">
        <v>0.24</v>
      </c>
      <c r="T199" s="3"/>
      <c r="U199" s="3"/>
      <c r="V199" s="3"/>
      <c r="W199" s="3"/>
    </row>
    <row r="200" spans="1:23" x14ac:dyDescent="0.25">
      <c r="A200" s="3" t="s">
        <v>2026</v>
      </c>
      <c r="B200" s="3" t="s">
        <v>392</v>
      </c>
      <c r="C200" s="3"/>
      <c r="D200" s="3" t="s">
        <v>393</v>
      </c>
      <c r="E200" s="3">
        <v>231.35</v>
      </c>
      <c r="F200" s="3"/>
      <c r="G200" s="3">
        <v>4.87</v>
      </c>
      <c r="H200" s="3">
        <v>46.88</v>
      </c>
      <c r="I200" s="3"/>
      <c r="J200" s="3"/>
      <c r="K200" s="3"/>
      <c r="L200" s="3"/>
      <c r="M200" s="3"/>
      <c r="N200" s="3">
        <v>1</v>
      </c>
      <c r="O200" s="3">
        <v>24</v>
      </c>
      <c r="P200" s="3">
        <v>0.65</v>
      </c>
      <c r="Q200" s="3">
        <v>252</v>
      </c>
      <c r="R200" s="3">
        <v>2</v>
      </c>
      <c r="S200" s="3">
        <v>0.28999999999999998</v>
      </c>
      <c r="T200" s="3"/>
      <c r="U200" s="3"/>
      <c r="V200" s="3"/>
      <c r="W200" s="3"/>
    </row>
    <row r="201" spans="1:23" x14ac:dyDescent="0.25">
      <c r="A201" s="3" t="s">
        <v>2026</v>
      </c>
      <c r="B201" s="3" t="s">
        <v>394</v>
      </c>
      <c r="C201" s="3"/>
      <c r="D201" s="3" t="s">
        <v>395</v>
      </c>
      <c r="E201" s="3">
        <v>51</v>
      </c>
      <c r="F201" s="3">
        <v>0.7</v>
      </c>
      <c r="G201" s="3">
        <v>0.28000000000000003</v>
      </c>
      <c r="H201" s="3">
        <v>11.42</v>
      </c>
      <c r="I201" s="3">
        <v>1.4</v>
      </c>
      <c r="J201" s="3">
        <v>0.02</v>
      </c>
      <c r="K201" s="3">
        <v>0.13</v>
      </c>
      <c r="L201" s="3">
        <v>0.04</v>
      </c>
      <c r="M201" s="3">
        <v>0</v>
      </c>
      <c r="N201" s="3">
        <v>6</v>
      </c>
      <c r="O201" s="3">
        <v>16</v>
      </c>
      <c r="P201" s="3">
        <v>0.17</v>
      </c>
      <c r="Q201" s="3">
        <v>157</v>
      </c>
      <c r="R201" s="3">
        <v>0</v>
      </c>
      <c r="S201" s="3">
        <v>0.1</v>
      </c>
      <c r="T201" s="3">
        <v>10</v>
      </c>
      <c r="U201" s="3">
        <v>17</v>
      </c>
      <c r="V201" s="3">
        <v>5</v>
      </c>
      <c r="W201" s="3">
        <v>0</v>
      </c>
    </row>
    <row r="202" spans="1:23" x14ac:dyDescent="0.25">
      <c r="A202" s="3" t="s">
        <v>2026</v>
      </c>
      <c r="B202" s="3" t="s">
        <v>396</v>
      </c>
      <c r="C202" s="3"/>
      <c r="D202" s="3" t="s">
        <v>397</v>
      </c>
      <c r="E202" s="3">
        <v>267.66000000000003</v>
      </c>
      <c r="F202" s="3">
        <v>2.1800000000000002</v>
      </c>
      <c r="G202" s="3">
        <v>0.38</v>
      </c>
      <c r="H202" s="3">
        <v>63.88</v>
      </c>
      <c r="I202" s="3">
        <v>7.1</v>
      </c>
      <c r="J202" s="3">
        <v>0.09</v>
      </c>
      <c r="K202" s="3">
        <v>0.05</v>
      </c>
      <c r="L202" s="3">
        <v>0.06</v>
      </c>
      <c r="M202" s="3">
        <v>0</v>
      </c>
      <c r="N202" s="3">
        <v>43</v>
      </c>
      <c r="O202" s="3">
        <v>69</v>
      </c>
      <c r="P202" s="3">
        <v>0.93</v>
      </c>
      <c r="Q202" s="3">
        <v>732</v>
      </c>
      <c r="R202" s="3">
        <v>2</v>
      </c>
      <c r="S202" s="3">
        <v>0.44</v>
      </c>
      <c r="T202" s="3">
        <v>1</v>
      </c>
      <c r="U202" s="3">
        <v>39</v>
      </c>
      <c r="V202" s="3">
        <v>4</v>
      </c>
      <c r="W202" s="3">
        <v>0</v>
      </c>
    </row>
    <row r="203" spans="1:23" x14ac:dyDescent="0.25">
      <c r="A203" s="3" t="s">
        <v>2026</v>
      </c>
      <c r="B203" s="3" t="s">
        <v>398</v>
      </c>
      <c r="C203" s="3"/>
      <c r="D203" s="3" t="s">
        <v>399</v>
      </c>
      <c r="E203" s="3">
        <v>270</v>
      </c>
      <c r="F203" s="3">
        <v>2.5</v>
      </c>
      <c r="G203" s="3">
        <v>0</v>
      </c>
      <c r="H203" s="3">
        <v>65</v>
      </c>
      <c r="I203" s="3">
        <v>5</v>
      </c>
      <c r="J203" s="3">
        <v>0</v>
      </c>
      <c r="K203" s="3"/>
      <c r="L203" s="3"/>
      <c r="M203" s="3">
        <v>0</v>
      </c>
      <c r="N203" s="3"/>
      <c r="O203" s="3"/>
      <c r="P203" s="3"/>
      <c r="Q203" s="3"/>
      <c r="R203" s="3">
        <v>12.5</v>
      </c>
      <c r="S203" s="3"/>
      <c r="T203" s="3"/>
      <c r="U203" s="3"/>
      <c r="V203" s="3"/>
      <c r="W203" s="3"/>
    </row>
    <row r="204" spans="1:23" x14ac:dyDescent="0.25">
      <c r="A204" s="3" t="s">
        <v>2026</v>
      </c>
      <c r="B204" s="3" t="s">
        <v>400</v>
      </c>
      <c r="C204" s="3"/>
      <c r="D204" s="3" t="s">
        <v>401</v>
      </c>
      <c r="E204" s="3">
        <v>179.07</v>
      </c>
      <c r="F204" s="3">
        <v>0</v>
      </c>
      <c r="G204" s="3">
        <v>11.63</v>
      </c>
      <c r="H204" s="3">
        <v>18.600000000000001</v>
      </c>
      <c r="I204" s="3">
        <v>0</v>
      </c>
      <c r="J204" s="3">
        <v>2.33</v>
      </c>
      <c r="K204" s="3"/>
      <c r="L204" s="3"/>
      <c r="M204" s="3">
        <v>0</v>
      </c>
      <c r="N204" s="3"/>
      <c r="O204" s="3"/>
      <c r="P204" s="3"/>
      <c r="Q204" s="3"/>
      <c r="R204" s="3">
        <v>0</v>
      </c>
      <c r="S204" s="3"/>
      <c r="T204" s="3"/>
      <c r="U204" s="3"/>
      <c r="V204" s="3"/>
      <c r="W204" s="3"/>
    </row>
    <row r="205" spans="1:23" x14ac:dyDescent="0.25">
      <c r="A205" s="3" t="s">
        <v>2026</v>
      </c>
      <c r="B205" s="3" t="s">
        <v>403</v>
      </c>
      <c r="C205" s="3"/>
      <c r="D205" s="3" t="s">
        <v>404</v>
      </c>
      <c r="E205" s="3">
        <v>213.33</v>
      </c>
      <c r="F205" s="3">
        <v>3.33</v>
      </c>
      <c r="G205" s="3">
        <v>0</v>
      </c>
      <c r="H205" s="3">
        <v>50</v>
      </c>
      <c r="I205" s="3">
        <v>6.67</v>
      </c>
      <c r="J205" s="3">
        <v>0</v>
      </c>
      <c r="K205" s="3"/>
      <c r="L205" s="3"/>
      <c r="M205" s="3">
        <v>0</v>
      </c>
      <c r="N205" s="3"/>
      <c r="O205" s="3"/>
      <c r="P205" s="3"/>
      <c r="Q205" s="3"/>
      <c r="R205" s="3">
        <v>0</v>
      </c>
      <c r="S205" s="3"/>
      <c r="T205" s="3"/>
      <c r="U205" s="3"/>
      <c r="V205" s="3"/>
      <c r="W205" s="3"/>
    </row>
    <row r="206" spans="1:23" x14ac:dyDescent="0.25">
      <c r="A206" s="3" t="s">
        <v>2026</v>
      </c>
      <c r="B206" s="3" t="s">
        <v>405</v>
      </c>
      <c r="C206" s="3"/>
      <c r="D206" s="3" t="s">
        <v>406</v>
      </c>
      <c r="E206" s="3">
        <v>19.52</v>
      </c>
      <c r="F206" s="3">
        <v>0.72</v>
      </c>
      <c r="G206" s="3">
        <v>0.2</v>
      </c>
      <c r="H206" s="3">
        <v>3.71</v>
      </c>
      <c r="I206" s="3">
        <v>1.1000000000000001</v>
      </c>
      <c r="J206" s="3">
        <v>0.18</v>
      </c>
      <c r="K206" s="3">
        <v>0.01</v>
      </c>
      <c r="L206" s="3">
        <v>0</v>
      </c>
      <c r="M206" s="3">
        <v>0</v>
      </c>
      <c r="N206" s="3">
        <v>24</v>
      </c>
      <c r="O206" s="3">
        <v>20</v>
      </c>
      <c r="P206" s="3">
        <v>0.28999999999999998</v>
      </c>
      <c r="Q206" s="3">
        <v>250</v>
      </c>
      <c r="R206" s="3">
        <v>105</v>
      </c>
      <c r="S206" s="3">
        <v>0.1</v>
      </c>
      <c r="T206" s="3">
        <v>2</v>
      </c>
      <c r="U206" s="3">
        <v>0</v>
      </c>
      <c r="V206" s="3">
        <v>3</v>
      </c>
      <c r="W206" s="3">
        <v>0</v>
      </c>
    </row>
    <row r="207" spans="1:23" x14ac:dyDescent="0.25">
      <c r="A207" s="3" t="s">
        <v>2026</v>
      </c>
      <c r="B207" s="3" t="s">
        <v>407</v>
      </c>
      <c r="C207" s="3"/>
      <c r="D207" s="3" t="s">
        <v>408</v>
      </c>
      <c r="E207" s="3">
        <v>560</v>
      </c>
      <c r="F207" s="3">
        <v>4</v>
      </c>
      <c r="G207" s="3">
        <v>48</v>
      </c>
      <c r="H207" s="3">
        <v>28</v>
      </c>
      <c r="I207" s="3">
        <v>12</v>
      </c>
      <c r="J207" s="3">
        <v>44</v>
      </c>
      <c r="K207" s="3"/>
      <c r="L207" s="3"/>
      <c r="M207" s="3">
        <v>0</v>
      </c>
      <c r="N207" s="3"/>
      <c r="O207" s="3"/>
      <c r="P207" s="3"/>
      <c r="Q207" s="3"/>
      <c r="R207" s="3">
        <v>240</v>
      </c>
      <c r="S207" s="3"/>
      <c r="T207" s="3"/>
      <c r="U207" s="3"/>
      <c r="V207" s="3"/>
      <c r="W207" s="3"/>
    </row>
    <row r="208" spans="1:23" x14ac:dyDescent="0.25">
      <c r="A208" s="3" t="s">
        <v>2026</v>
      </c>
      <c r="B208" s="3" t="s">
        <v>409</v>
      </c>
      <c r="C208" s="3"/>
      <c r="D208" s="3" t="s">
        <v>410</v>
      </c>
      <c r="E208" s="3">
        <v>375.65</v>
      </c>
      <c r="F208" s="3">
        <v>3.33</v>
      </c>
      <c r="G208" s="3">
        <v>33.49</v>
      </c>
      <c r="H208" s="3">
        <v>15.23</v>
      </c>
      <c r="I208" s="3">
        <v>9</v>
      </c>
      <c r="J208" s="3">
        <v>29.7</v>
      </c>
      <c r="K208" s="3">
        <v>1.42</v>
      </c>
      <c r="L208" s="3">
        <v>0.37</v>
      </c>
      <c r="M208" s="3">
        <v>0</v>
      </c>
      <c r="N208" s="3">
        <v>14</v>
      </c>
      <c r="O208" s="3">
        <v>113</v>
      </c>
      <c r="P208" s="3">
        <v>2.4300000000000002</v>
      </c>
      <c r="Q208" s="3">
        <v>356</v>
      </c>
      <c r="R208" s="3">
        <v>20</v>
      </c>
      <c r="S208" s="3">
        <v>1.1000000000000001</v>
      </c>
      <c r="T208" s="3">
        <v>3</v>
      </c>
      <c r="U208" s="3">
        <v>0</v>
      </c>
      <c r="V208" s="3">
        <v>26</v>
      </c>
      <c r="W208" s="3">
        <v>0</v>
      </c>
    </row>
    <row r="209" spans="1:23" x14ac:dyDescent="0.25">
      <c r="A209" s="3" t="s">
        <v>2026</v>
      </c>
      <c r="B209" s="3" t="s">
        <v>411</v>
      </c>
      <c r="C209" s="3"/>
      <c r="D209" s="3" t="s">
        <v>412</v>
      </c>
      <c r="E209" s="3">
        <v>492.83</v>
      </c>
      <c r="F209" s="3">
        <v>3.28</v>
      </c>
      <c r="G209" s="3">
        <v>32.15</v>
      </c>
      <c r="H209" s="3">
        <v>47.59</v>
      </c>
      <c r="I209" s="3">
        <v>4.3</v>
      </c>
      <c r="J209" s="3">
        <v>28.51</v>
      </c>
      <c r="K209" s="3">
        <v>1.37</v>
      </c>
      <c r="L209" s="3">
        <v>0.35</v>
      </c>
      <c r="M209" s="3">
        <v>0</v>
      </c>
      <c r="N209" s="3">
        <v>14</v>
      </c>
      <c r="O209" s="3">
        <v>100</v>
      </c>
      <c r="P209" s="3">
        <v>1.8</v>
      </c>
      <c r="Q209" s="3">
        <v>316</v>
      </c>
      <c r="R209" s="3">
        <v>256</v>
      </c>
      <c r="S209" s="3">
        <v>1.75</v>
      </c>
      <c r="T209" s="3">
        <v>0</v>
      </c>
      <c r="U209" s="3">
        <v>0</v>
      </c>
      <c r="V209" s="3">
        <v>8</v>
      </c>
      <c r="W209" s="3">
        <v>0</v>
      </c>
    </row>
    <row r="210" spans="1:23" x14ac:dyDescent="0.25">
      <c r="A210" s="3" t="s">
        <v>2026</v>
      </c>
      <c r="B210" s="3" t="s">
        <v>413</v>
      </c>
      <c r="C210" s="3"/>
      <c r="D210" s="3" t="s">
        <v>414</v>
      </c>
      <c r="E210" s="3">
        <v>93.75</v>
      </c>
      <c r="F210" s="3">
        <v>0.39</v>
      </c>
      <c r="G210" s="3">
        <v>7.0000000000000007E-2</v>
      </c>
      <c r="H210" s="3">
        <v>22.89</v>
      </c>
      <c r="I210" s="3">
        <v>1.1000000000000001</v>
      </c>
      <c r="J210" s="3">
        <v>0.01</v>
      </c>
      <c r="K210" s="3">
        <v>0.01</v>
      </c>
      <c r="L210" s="3">
        <v>0.03</v>
      </c>
      <c r="M210" s="3">
        <v>0</v>
      </c>
      <c r="N210" s="3">
        <v>6</v>
      </c>
      <c r="O210" s="3">
        <v>11</v>
      </c>
      <c r="P210" s="3">
        <v>0.28000000000000003</v>
      </c>
      <c r="Q210" s="3">
        <v>86</v>
      </c>
      <c r="R210" s="3">
        <v>6</v>
      </c>
      <c r="S210" s="3">
        <v>0.08</v>
      </c>
      <c r="T210" s="3">
        <v>1.9</v>
      </c>
      <c r="U210" s="3">
        <v>10</v>
      </c>
      <c r="V210" s="3">
        <v>3</v>
      </c>
      <c r="W210" s="3">
        <v>0</v>
      </c>
    </row>
    <row r="211" spans="1:23" x14ac:dyDescent="0.25">
      <c r="A211" s="3" t="s">
        <v>2026</v>
      </c>
      <c r="B211" s="3" t="s">
        <v>415</v>
      </c>
      <c r="C211" s="3"/>
      <c r="D211" s="3" t="s">
        <v>416</v>
      </c>
      <c r="E211" s="3">
        <v>82.86</v>
      </c>
      <c r="F211" s="3">
        <v>0.71</v>
      </c>
      <c r="G211" s="3">
        <v>0</v>
      </c>
      <c r="H211" s="3">
        <v>20</v>
      </c>
      <c r="I211" s="3">
        <v>0.71</v>
      </c>
      <c r="J211" s="3">
        <v>0</v>
      </c>
      <c r="K211" s="3"/>
      <c r="L211" s="3"/>
      <c r="M211" s="3">
        <v>0</v>
      </c>
      <c r="N211" s="3"/>
      <c r="O211" s="3"/>
      <c r="P211" s="3"/>
      <c r="Q211" s="3"/>
      <c r="R211" s="3">
        <v>14.29</v>
      </c>
      <c r="S211" s="3"/>
      <c r="T211" s="3"/>
      <c r="U211" s="3"/>
      <c r="V211" s="3"/>
      <c r="W211" s="3"/>
    </row>
    <row r="212" spans="1:23" x14ac:dyDescent="0.25">
      <c r="A212" s="3" t="s">
        <v>2026</v>
      </c>
      <c r="B212" s="3" t="s">
        <v>417</v>
      </c>
      <c r="C212" s="3"/>
      <c r="D212" s="3" t="s">
        <v>418</v>
      </c>
      <c r="E212" s="3">
        <v>68</v>
      </c>
      <c r="F212" s="3">
        <v>-1</v>
      </c>
      <c r="G212" s="3">
        <v>0</v>
      </c>
      <c r="H212" s="3">
        <v>18</v>
      </c>
      <c r="I212" s="3">
        <v>0</v>
      </c>
      <c r="J212" s="3">
        <v>0</v>
      </c>
      <c r="K212" s="3"/>
      <c r="L212" s="3"/>
      <c r="M212" s="3">
        <v>0</v>
      </c>
      <c r="N212" s="3"/>
      <c r="O212" s="3"/>
      <c r="P212" s="3"/>
      <c r="Q212" s="3"/>
      <c r="R212" s="3">
        <v>3</v>
      </c>
      <c r="S212" s="3"/>
      <c r="T212" s="3"/>
      <c r="U212" s="3"/>
      <c r="V212" s="3"/>
      <c r="W212" s="3"/>
    </row>
    <row r="213" spans="1:23" x14ac:dyDescent="0.25">
      <c r="A213" s="3" t="s">
        <v>2026</v>
      </c>
      <c r="B213" s="3" t="s">
        <v>419</v>
      </c>
      <c r="C213" s="3"/>
      <c r="D213" s="3" t="s">
        <v>414</v>
      </c>
      <c r="E213" s="3">
        <v>77.42</v>
      </c>
      <c r="F213" s="3">
        <v>0.37</v>
      </c>
      <c r="G213" s="3">
        <v>0.1</v>
      </c>
      <c r="H213" s="3">
        <v>18.760000000000002</v>
      </c>
      <c r="I213" s="3">
        <v>1</v>
      </c>
      <c r="J213" s="3">
        <v>0.01</v>
      </c>
      <c r="K213" s="3">
        <v>0.02</v>
      </c>
      <c r="L213" s="3">
        <v>0.04</v>
      </c>
      <c r="M213" s="3">
        <v>0</v>
      </c>
      <c r="N213" s="3">
        <v>1</v>
      </c>
      <c r="O213" s="3">
        <v>10</v>
      </c>
      <c r="P213" s="3">
        <v>0.36</v>
      </c>
      <c r="Q213" s="3">
        <v>84</v>
      </c>
      <c r="R213" s="3">
        <v>4</v>
      </c>
      <c r="S213" s="3">
        <v>7.0000000000000007E-2</v>
      </c>
      <c r="T213" s="3">
        <v>69</v>
      </c>
      <c r="U213" s="3">
        <v>10</v>
      </c>
      <c r="V213" s="3">
        <v>3</v>
      </c>
      <c r="W213" s="3">
        <v>0</v>
      </c>
    </row>
    <row r="214" spans="1:23" x14ac:dyDescent="0.25">
      <c r="A214" s="3" t="s">
        <v>2026</v>
      </c>
      <c r="B214" s="3" t="s">
        <v>420</v>
      </c>
      <c r="C214" s="3"/>
      <c r="D214" s="3" t="s">
        <v>421</v>
      </c>
      <c r="E214" s="3">
        <v>58.2</v>
      </c>
      <c r="F214" s="3">
        <v>0.8</v>
      </c>
      <c r="G214" s="3">
        <v>0.2</v>
      </c>
      <c r="H214" s="3">
        <v>13.3</v>
      </c>
      <c r="I214" s="3">
        <v>1.5</v>
      </c>
      <c r="J214" s="3">
        <v>0.02</v>
      </c>
      <c r="K214" s="3">
        <v>7.0000000000000007E-2</v>
      </c>
      <c r="L214" s="3">
        <v>0.09</v>
      </c>
      <c r="M214" s="3">
        <v>0</v>
      </c>
      <c r="N214" s="3">
        <v>12</v>
      </c>
      <c r="O214" s="3">
        <v>26</v>
      </c>
      <c r="P214" s="3">
        <v>1.1000000000000001</v>
      </c>
      <c r="Q214" s="3">
        <v>190</v>
      </c>
      <c r="R214" s="3">
        <v>0</v>
      </c>
      <c r="S214" s="3">
        <v>0.17</v>
      </c>
      <c r="T214" s="3">
        <v>28</v>
      </c>
      <c r="U214" s="3">
        <v>16</v>
      </c>
      <c r="V214" s="3">
        <v>4</v>
      </c>
      <c r="W214" s="3">
        <v>0</v>
      </c>
    </row>
    <row r="215" spans="1:23" x14ac:dyDescent="0.25">
      <c r="A215" s="3" t="s">
        <v>2026</v>
      </c>
      <c r="B215" s="3" t="s">
        <v>422</v>
      </c>
      <c r="C215" s="3"/>
      <c r="D215" s="3" t="s">
        <v>423</v>
      </c>
      <c r="E215" s="3">
        <v>77.14</v>
      </c>
      <c r="F215" s="3">
        <v>0.71</v>
      </c>
      <c r="G215" s="3">
        <v>0</v>
      </c>
      <c r="H215" s="3">
        <v>18.57</v>
      </c>
      <c r="I215" s="3"/>
      <c r="J215" s="3">
        <v>0</v>
      </c>
      <c r="K215" s="3"/>
      <c r="L215" s="3"/>
      <c r="M215" s="3">
        <v>0</v>
      </c>
      <c r="N215" s="3"/>
      <c r="O215" s="3"/>
      <c r="P215" s="3"/>
      <c r="Q215" s="3"/>
      <c r="R215" s="3">
        <v>7.14</v>
      </c>
      <c r="S215" s="3"/>
      <c r="T215" s="3"/>
      <c r="U215" s="3"/>
      <c r="V215" s="3"/>
      <c r="W215" s="3"/>
    </row>
    <row r="216" spans="1:23" x14ac:dyDescent="0.25">
      <c r="A216" s="3" t="s">
        <v>2026</v>
      </c>
      <c r="B216" s="3" t="s">
        <v>424</v>
      </c>
      <c r="C216" s="3"/>
      <c r="D216" s="3" t="s">
        <v>425</v>
      </c>
      <c r="E216" s="3">
        <v>65.209999999999994</v>
      </c>
      <c r="F216" s="3">
        <v>0.43</v>
      </c>
      <c r="G216" s="3">
        <v>7.0000000000000007E-2</v>
      </c>
      <c r="H216" s="3">
        <v>15.71</v>
      </c>
      <c r="I216" s="3">
        <v>1.43</v>
      </c>
      <c r="J216" s="3">
        <v>7.0000000000000007E-2</v>
      </c>
      <c r="K216" s="3"/>
      <c r="L216" s="3"/>
      <c r="M216" s="3">
        <v>0</v>
      </c>
      <c r="N216" s="3"/>
      <c r="O216" s="3"/>
      <c r="P216" s="3"/>
      <c r="Q216" s="3"/>
      <c r="R216" s="3">
        <v>10</v>
      </c>
      <c r="S216" s="3"/>
      <c r="T216" s="3"/>
      <c r="U216" s="3"/>
      <c r="V216" s="3"/>
      <c r="W216" s="3"/>
    </row>
    <row r="217" spans="1:23" x14ac:dyDescent="0.25">
      <c r="A217" s="3" t="s">
        <v>2026</v>
      </c>
      <c r="B217" s="3" t="s">
        <v>426</v>
      </c>
      <c r="C217" s="3"/>
      <c r="D217" s="3" t="s">
        <v>427</v>
      </c>
      <c r="E217" s="3">
        <v>42.1</v>
      </c>
      <c r="F217" s="3">
        <v>0.6</v>
      </c>
      <c r="G217" s="3">
        <v>0.1</v>
      </c>
      <c r="H217" s="3">
        <v>9.6999999999999993</v>
      </c>
      <c r="I217" s="3"/>
      <c r="J217" s="3">
        <v>0.02</v>
      </c>
      <c r="K217" s="3">
        <v>0.06</v>
      </c>
      <c r="L217" s="3">
        <v>0.04</v>
      </c>
      <c r="M217" s="3">
        <v>0</v>
      </c>
      <c r="N217" s="3">
        <v>21</v>
      </c>
      <c r="O217" s="3"/>
      <c r="P217" s="3">
        <v>0.3</v>
      </c>
      <c r="Q217" s="3">
        <v>202</v>
      </c>
      <c r="R217" s="3">
        <v>1</v>
      </c>
      <c r="S217" s="3">
        <v>0.14000000000000001</v>
      </c>
      <c r="T217" s="3">
        <v>10</v>
      </c>
      <c r="U217" s="3">
        <v>35</v>
      </c>
      <c r="V217" s="3"/>
      <c r="W217" s="3"/>
    </row>
    <row r="218" spans="1:23" x14ac:dyDescent="0.25">
      <c r="A218" s="3" t="s">
        <v>2026</v>
      </c>
      <c r="B218" s="3" t="s">
        <v>428</v>
      </c>
      <c r="C218" s="3"/>
      <c r="D218" s="3" t="s">
        <v>429</v>
      </c>
      <c r="E218" s="3">
        <v>51.3</v>
      </c>
      <c r="F218" s="3">
        <v>0.9</v>
      </c>
      <c r="G218" s="3">
        <v>0.1</v>
      </c>
      <c r="H218" s="3">
        <v>11.7</v>
      </c>
      <c r="I218" s="3">
        <v>1.5</v>
      </c>
      <c r="J218" s="3">
        <v>0.02</v>
      </c>
      <c r="K218" s="3">
        <v>7.0000000000000007E-2</v>
      </c>
      <c r="L218" s="3">
        <v>0.09</v>
      </c>
      <c r="M218" s="3">
        <v>0</v>
      </c>
      <c r="N218" s="3">
        <v>16</v>
      </c>
      <c r="O218" s="3"/>
      <c r="P218" s="3">
        <v>0.1</v>
      </c>
      <c r="Q218" s="3">
        <v>190</v>
      </c>
      <c r="R218" s="3">
        <v>0</v>
      </c>
      <c r="S218" s="3">
        <v>0.17</v>
      </c>
      <c r="T218" s="3">
        <v>19</v>
      </c>
      <c r="U218" s="3">
        <v>22</v>
      </c>
      <c r="V218" s="3">
        <v>4</v>
      </c>
      <c r="W218" s="3">
        <v>0</v>
      </c>
    </row>
    <row r="219" spans="1:23" x14ac:dyDescent="0.25">
      <c r="A219" s="3" t="s">
        <v>2026</v>
      </c>
      <c r="B219" s="3" t="s">
        <v>430</v>
      </c>
      <c r="C219" s="3"/>
      <c r="D219" s="3" t="s">
        <v>431</v>
      </c>
      <c r="E219" s="3">
        <v>49.32</v>
      </c>
      <c r="F219" s="3">
        <v>1.06</v>
      </c>
      <c r="G219" s="3">
        <v>0.32</v>
      </c>
      <c r="H219" s="3">
        <v>10.55</v>
      </c>
      <c r="I219" s="3">
        <v>1.7</v>
      </c>
      <c r="J219" s="3">
        <v>0.03</v>
      </c>
      <c r="K219" s="3">
        <v>0.09</v>
      </c>
      <c r="L219" s="3">
        <v>0.11</v>
      </c>
      <c r="M219" s="3">
        <v>0</v>
      </c>
      <c r="N219" s="3">
        <v>6</v>
      </c>
      <c r="O219" s="3">
        <v>26</v>
      </c>
      <c r="P219" s="3">
        <v>0.28000000000000003</v>
      </c>
      <c r="Q219" s="3">
        <v>201</v>
      </c>
      <c r="R219" s="3">
        <v>0</v>
      </c>
      <c r="S219" s="3">
        <v>0.17</v>
      </c>
      <c r="T219" s="3">
        <v>5</v>
      </c>
      <c r="U219" s="3">
        <v>17</v>
      </c>
      <c r="V219" s="3">
        <v>5</v>
      </c>
      <c r="W219" s="3">
        <v>0</v>
      </c>
    </row>
    <row r="220" spans="1:23" x14ac:dyDescent="0.25">
      <c r="A220" s="3" t="s">
        <v>2026</v>
      </c>
      <c r="B220" s="3" t="s">
        <v>432</v>
      </c>
      <c r="C220" s="3"/>
      <c r="D220" s="3" t="s">
        <v>433</v>
      </c>
      <c r="E220" s="3">
        <v>82.46</v>
      </c>
      <c r="F220" s="3">
        <v>0.45</v>
      </c>
      <c r="G220" s="3">
        <v>0.1</v>
      </c>
      <c r="H220" s="3">
        <v>19.940000000000001</v>
      </c>
      <c r="I220" s="3">
        <v>1.3</v>
      </c>
      <c r="J220" s="3">
        <v>0.01</v>
      </c>
      <c r="K220" s="3">
        <v>0.04</v>
      </c>
      <c r="L220" s="3">
        <v>0.05</v>
      </c>
      <c r="M220" s="3">
        <v>0</v>
      </c>
      <c r="N220" s="3">
        <v>3</v>
      </c>
      <c r="O220" s="3">
        <v>11</v>
      </c>
      <c r="P220" s="3">
        <v>0.27</v>
      </c>
      <c r="Q220" s="3">
        <v>92</v>
      </c>
      <c r="R220" s="3">
        <v>6</v>
      </c>
      <c r="S220" s="3">
        <v>0.09</v>
      </c>
      <c r="T220" s="3">
        <v>3</v>
      </c>
      <c r="U220" s="3">
        <v>17</v>
      </c>
      <c r="V220" s="3">
        <v>3</v>
      </c>
      <c r="W220" s="3">
        <v>0</v>
      </c>
    </row>
    <row r="221" spans="1:23" x14ac:dyDescent="0.25">
      <c r="A221" s="3" t="s">
        <v>2026</v>
      </c>
      <c r="B221" s="3" t="s">
        <v>434</v>
      </c>
      <c r="C221" s="3"/>
      <c r="D221" s="3" t="s">
        <v>435</v>
      </c>
      <c r="E221" s="3">
        <v>297.14</v>
      </c>
      <c r="F221" s="3">
        <v>2.86</v>
      </c>
      <c r="G221" s="3">
        <v>0</v>
      </c>
      <c r="H221" s="3">
        <v>71.430000000000007</v>
      </c>
      <c r="I221" s="3">
        <v>8.57</v>
      </c>
      <c r="J221" s="3">
        <v>0</v>
      </c>
      <c r="K221" s="3">
        <v>0</v>
      </c>
      <c r="L221" s="3">
        <v>0</v>
      </c>
      <c r="M221" s="3">
        <v>0</v>
      </c>
      <c r="N221" s="3"/>
      <c r="O221" s="3"/>
      <c r="P221" s="3"/>
      <c r="Q221" s="3"/>
      <c r="R221" s="3">
        <v>0</v>
      </c>
      <c r="S221" s="3"/>
      <c r="T221" s="3"/>
      <c r="U221" s="3"/>
      <c r="V221" s="3"/>
      <c r="W221" s="3"/>
    </row>
    <row r="222" spans="1:23" x14ac:dyDescent="0.25">
      <c r="A222" s="3" t="s">
        <v>2026</v>
      </c>
      <c r="B222" s="3" t="s">
        <v>436</v>
      </c>
      <c r="C222" s="3"/>
      <c r="D222" s="3" t="s">
        <v>437</v>
      </c>
      <c r="E222" s="3">
        <v>114.83</v>
      </c>
      <c r="F222" s="3">
        <v>1.07</v>
      </c>
      <c r="G222" s="3">
        <v>0.23</v>
      </c>
      <c r="H222" s="3">
        <v>27.12</v>
      </c>
      <c r="I222" s="3">
        <v>4.9000000000000004</v>
      </c>
      <c r="J222" s="3">
        <v>0.05</v>
      </c>
      <c r="K222" s="3">
        <v>0.03</v>
      </c>
      <c r="L222" s="3">
        <v>7.0000000000000007E-2</v>
      </c>
      <c r="M222" s="3">
        <v>0</v>
      </c>
      <c r="N222" s="3">
        <v>17</v>
      </c>
      <c r="O222" s="3">
        <v>30</v>
      </c>
      <c r="P222" s="3">
        <v>0.54</v>
      </c>
      <c r="Q222" s="3">
        <v>490</v>
      </c>
      <c r="R222" s="3">
        <v>2</v>
      </c>
      <c r="S222" s="3" t="s">
        <v>438</v>
      </c>
      <c r="T222" s="3">
        <v>29</v>
      </c>
      <c r="U222" s="3">
        <v>0</v>
      </c>
      <c r="V222" s="3">
        <v>14</v>
      </c>
      <c r="W222" s="3">
        <v>0</v>
      </c>
    </row>
    <row r="223" spans="1:23" x14ac:dyDescent="0.25">
      <c r="A223" s="3" t="s">
        <v>2026</v>
      </c>
      <c r="B223" s="3" t="s">
        <v>439</v>
      </c>
      <c r="C223" s="3"/>
      <c r="D223" s="3" t="s">
        <v>440</v>
      </c>
      <c r="E223" s="3">
        <v>36.1</v>
      </c>
      <c r="F223" s="3">
        <v>0.67</v>
      </c>
      <c r="G223" s="3">
        <v>0.3</v>
      </c>
      <c r="H223" s="3">
        <v>7.68</v>
      </c>
      <c r="I223" s="3">
        <v>2</v>
      </c>
      <c r="J223" s="3">
        <v>0.01</v>
      </c>
      <c r="K223" s="3">
        <v>0.04</v>
      </c>
      <c r="L223" s="3">
        <v>0.16</v>
      </c>
      <c r="M223" s="3">
        <v>0</v>
      </c>
      <c r="N223" s="3">
        <v>16</v>
      </c>
      <c r="O223" s="3">
        <v>24</v>
      </c>
      <c r="P223" s="3">
        <v>0.42</v>
      </c>
      <c r="Q223" s="3">
        <v>153</v>
      </c>
      <c r="R223" s="3">
        <v>1</v>
      </c>
      <c r="S223" s="3">
        <v>0.14000000000000001</v>
      </c>
      <c r="T223" s="3">
        <v>59</v>
      </c>
      <c r="U223" s="3">
        <v>1</v>
      </c>
      <c r="V223" s="3">
        <v>24</v>
      </c>
      <c r="W223" s="3">
        <v>0</v>
      </c>
    </row>
    <row r="224" spans="1:23" x14ac:dyDescent="0.25">
      <c r="A224" s="3" t="s">
        <v>2026</v>
      </c>
      <c r="B224" s="3" t="s">
        <v>441</v>
      </c>
      <c r="C224" s="3"/>
      <c r="D224" s="3" t="s">
        <v>442</v>
      </c>
      <c r="E224" s="3">
        <v>348</v>
      </c>
      <c r="F224" s="3">
        <v>7</v>
      </c>
      <c r="G224" s="3">
        <v>0</v>
      </c>
      <c r="H224" s="3">
        <v>80</v>
      </c>
      <c r="I224" s="3">
        <v>20</v>
      </c>
      <c r="J224" s="3">
        <v>0</v>
      </c>
      <c r="K224" s="3"/>
      <c r="L224" s="3"/>
      <c r="M224" s="3">
        <v>0</v>
      </c>
      <c r="N224" s="3"/>
      <c r="O224" s="3"/>
      <c r="P224" s="3"/>
      <c r="Q224" s="3"/>
      <c r="R224" s="3">
        <v>0</v>
      </c>
      <c r="S224" s="3"/>
      <c r="T224" s="3"/>
      <c r="U224" s="3"/>
      <c r="V224" s="3"/>
      <c r="W224" s="3"/>
    </row>
    <row r="225" spans="1:23" x14ac:dyDescent="0.25">
      <c r="A225" s="3" t="s">
        <v>2026</v>
      </c>
      <c r="B225" s="3" t="s">
        <v>443</v>
      </c>
      <c r="C225" s="3"/>
      <c r="D225" s="3" t="s">
        <v>444</v>
      </c>
      <c r="E225" s="3">
        <v>104</v>
      </c>
      <c r="F225" s="3">
        <v>2.4</v>
      </c>
      <c r="G225" s="3">
        <v>2.8</v>
      </c>
      <c r="H225" s="3">
        <v>17.3</v>
      </c>
      <c r="I225" s="3"/>
      <c r="J225" s="3"/>
      <c r="K225" s="3"/>
      <c r="L225" s="3"/>
      <c r="M225" s="3">
        <v>0</v>
      </c>
      <c r="N225" s="3">
        <v>10</v>
      </c>
      <c r="O225" s="3">
        <v>64</v>
      </c>
      <c r="P225" s="3">
        <v>0.9</v>
      </c>
      <c r="Q225" s="3">
        <v>348</v>
      </c>
      <c r="R225" s="3">
        <v>28</v>
      </c>
      <c r="S225" s="3"/>
      <c r="T225" s="3">
        <v>20</v>
      </c>
      <c r="U225" s="3">
        <v>28</v>
      </c>
      <c r="V225" s="3"/>
      <c r="W225" s="3"/>
    </row>
    <row r="226" spans="1:23" x14ac:dyDescent="0.25">
      <c r="A226" s="3" t="s">
        <v>2026</v>
      </c>
      <c r="B226" s="3" t="s">
        <v>445</v>
      </c>
      <c r="C226" s="3"/>
      <c r="D226" s="3" t="s">
        <v>446</v>
      </c>
      <c r="E226" s="3">
        <v>32.479999999999997</v>
      </c>
      <c r="F226" s="3"/>
      <c r="G226" s="3"/>
      <c r="H226" s="3">
        <v>8.1199999999999992</v>
      </c>
      <c r="I226" s="3"/>
      <c r="J226" s="3"/>
      <c r="K226" s="3"/>
      <c r="L226" s="3"/>
      <c r="M226" s="3"/>
      <c r="N226" s="3">
        <v>3</v>
      </c>
      <c r="O226" s="3">
        <v>13</v>
      </c>
      <c r="P226" s="3">
        <v>0.15</v>
      </c>
      <c r="Q226" s="3">
        <v>151</v>
      </c>
      <c r="R226" s="3">
        <v>835</v>
      </c>
      <c r="S226" s="3">
        <v>0.18</v>
      </c>
      <c r="T226" s="3"/>
      <c r="U226" s="3"/>
      <c r="V226" s="3"/>
      <c r="W226" s="3"/>
    </row>
    <row r="227" spans="1:23" x14ac:dyDescent="0.25">
      <c r="A227" s="3" t="s">
        <v>2026</v>
      </c>
      <c r="B227" s="3" t="s">
        <v>447</v>
      </c>
      <c r="C227" s="3"/>
      <c r="D227" s="3" t="s">
        <v>448</v>
      </c>
      <c r="E227" s="3">
        <v>25.36</v>
      </c>
      <c r="F227" s="3"/>
      <c r="G227" s="3"/>
      <c r="H227" s="3">
        <v>6.34</v>
      </c>
      <c r="I227" s="3"/>
      <c r="J227" s="3"/>
      <c r="K227" s="3"/>
      <c r="L227" s="3"/>
      <c r="M227" s="3"/>
      <c r="N227" s="3">
        <v>1</v>
      </c>
      <c r="O227" s="3">
        <v>10</v>
      </c>
      <c r="P227" s="3">
        <v>0.15</v>
      </c>
      <c r="Q227" s="3">
        <v>135</v>
      </c>
      <c r="R227" s="3">
        <v>31</v>
      </c>
      <c r="S227" s="3">
        <v>0.06</v>
      </c>
      <c r="T227" s="3"/>
      <c r="U227" s="3"/>
      <c r="V227" s="3"/>
      <c r="W227" s="3"/>
    </row>
    <row r="228" spans="1:23" x14ac:dyDescent="0.25">
      <c r="A228" s="3" t="s">
        <v>2026</v>
      </c>
      <c r="B228" s="3" t="s">
        <v>449</v>
      </c>
      <c r="C228" s="3"/>
      <c r="D228" s="3" t="s">
        <v>450</v>
      </c>
      <c r="E228" s="3">
        <v>36.76</v>
      </c>
      <c r="F228" s="3">
        <v>0.8</v>
      </c>
      <c r="G228" s="3">
        <v>0.4</v>
      </c>
      <c r="H228" s="3">
        <v>7.49</v>
      </c>
      <c r="I228" s="3"/>
      <c r="J228" s="3"/>
      <c r="K228" s="3"/>
      <c r="L228" s="3"/>
      <c r="M228" s="3">
        <v>0</v>
      </c>
      <c r="N228" s="3">
        <v>9</v>
      </c>
      <c r="O228" s="3">
        <v>11</v>
      </c>
      <c r="P228" s="3">
        <v>0.2</v>
      </c>
      <c r="Q228" s="3">
        <v>103</v>
      </c>
      <c r="R228" s="3">
        <v>3</v>
      </c>
      <c r="S228" s="3"/>
      <c r="T228" s="3">
        <v>26.3</v>
      </c>
      <c r="U228" s="3">
        <v>75</v>
      </c>
      <c r="V228" s="3"/>
      <c r="W228" s="3">
        <v>0</v>
      </c>
    </row>
    <row r="229" spans="1:23" x14ac:dyDescent="0.25">
      <c r="A229" s="3" t="s">
        <v>2026</v>
      </c>
      <c r="B229" s="3" t="s">
        <v>451</v>
      </c>
      <c r="C229" s="3"/>
      <c r="D229" s="3" t="s">
        <v>452</v>
      </c>
      <c r="E229" s="3">
        <v>66.900000000000006</v>
      </c>
      <c r="F229" s="3">
        <v>1</v>
      </c>
      <c r="G229" s="3">
        <v>0.1</v>
      </c>
      <c r="H229" s="3">
        <v>15.5</v>
      </c>
      <c r="I229" s="3"/>
      <c r="J229" s="3"/>
      <c r="K229" s="3"/>
      <c r="L229" s="3"/>
      <c r="M229" s="3"/>
      <c r="N229" s="3">
        <v>21</v>
      </c>
      <c r="O229" s="3">
        <v>20</v>
      </c>
      <c r="P229" s="3">
        <v>0.9</v>
      </c>
      <c r="Q229" s="3"/>
      <c r="R229" s="3"/>
      <c r="S229" s="3"/>
      <c r="T229" s="3">
        <v>9</v>
      </c>
      <c r="U229" s="3"/>
      <c r="V229" s="3"/>
      <c r="W229" s="3"/>
    </row>
    <row r="230" spans="1:23" x14ac:dyDescent="0.25">
      <c r="A230" s="3" t="s">
        <v>2026</v>
      </c>
      <c r="B230" s="3" t="s">
        <v>453</v>
      </c>
      <c r="C230" s="3"/>
      <c r="D230" s="3" t="s">
        <v>454</v>
      </c>
      <c r="E230" s="3">
        <v>74.06</v>
      </c>
      <c r="F230" s="3">
        <v>1</v>
      </c>
      <c r="G230" s="3">
        <v>0.3</v>
      </c>
      <c r="H230" s="3">
        <v>16.84</v>
      </c>
      <c r="I230" s="3">
        <v>3.3</v>
      </c>
      <c r="J230" s="3">
        <v>0.05</v>
      </c>
      <c r="K230" s="3">
        <v>0.09</v>
      </c>
      <c r="L230" s="3">
        <v>7.0000000000000007E-2</v>
      </c>
      <c r="M230" s="3">
        <v>0</v>
      </c>
      <c r="N230" s="3">
        <v>14</v>
      </c>
      <c r="O230" s="3">
        <v>27</v>
      </c>
      <c r="P230" s="3">
        <v>0.6</v>
      </c>
      <c r="Q230" s="3">
        <v>278</v>
      </c>
      <c r="R230" s="3">
        <v>14</v>
      </c>
      <c r="S230" s="3">
        <v>0.1</v>
      </c>
      <c r="T230" s="3">
        <v>21</v>
      </c>
      <c r="U230" s="3">
        <v>0</v>
      </c>
      <c r="V230" s="3">
        <v>14</v>
      </c>
      <c r="W230" s="3">
        <v>0</v>
      </c>
    </row>
    <row r="231" spans="1:23" x14ac:dyDescent="0.25">
      <c r="A231" s="3" t="s">
        <v>2026</v>
      </c>
      <c r="B231" s="3" t="s">
        <v>455</v>
      </c>
      <c r="C231" s="3"/>
      <c r="D231" s="3" t="s">
        <v>456</v>
      </c>
      <c r="E231" s="3">
        <v>140</v>
      </c>
      <c r="F231" s="3">
        <v>0</v>
      </c>
      <c r="G231" s="3">
        <v>0</v>
      </c>
      <c r="H231" s="3">
        <v>35</v>
      </c>
      <c r="I231" s="3">
        <v>0</v>
      </c>
      <c r="J231" s="3"/>
      <c r="K231" s="3"/>
      <c r="L231" s="3"/>
      <c r="M231" s="3"/>
      <c r="N231" s="3"/>
      <c r="O231" s="3"/>
      <c r="P231" s="3"/>
      <c r="Q231" s="3"/>
      <c r="R231" s="3">
        <v>33.33</v>
      </c>
      <c r="S231" s="3"/>
      <c r="T231" s="3"/>
      <c r="U231" s="3"/>
      <c r="V231" s="3"/>
      <c r="W231" s="3"/>
    </row>
    <row r="232" spans="1:23" x14ac:dyDescent="0.25">
      <c r="A232" s="3" t="s">
        <v>2026</v>
      </c>
      <c r="B232" s="3" t="s">
        <v>457</v>
      </c>
      <c r="C232" s="3"/>
      <c r="D232" s="3" t="s">
        <v>458</v>
      </c>
      <c r="E232" s="3">
        <v>108</v>
      </c>
      <c r="F232" s="3">
        <v>0</v>
      </c>
      <c r="G232" s="3">
        <v>0</v>
      </c>
      <c r="H232" s="3">
        <v>27</v>
      </c>
      <c r="I232" s="3">
        <v>3</v>
      </c>
      <c r="J232" s="3">
        <v>0</v>
      </c>
      <c r="K232" s="3"/>
      <c r="L232" s="3"/>
      <c r="M232" s="3">
        <v>0</v>
      </c>
      <c r="N232" s="3"/>
      <c r="O232" s="3"/>
      <c r="P232" s="3"/>
      <c r="Q232" s="3"/>
      <c r="R232" s="3">
        <v>30</v>
      </c>
      <c r="S232" s="3"/>
      <c r="T232" s="3"/>
      <c r="U232" s="3"/>
      <c r="V232" s="3"/>
      <c r="W232" s="3"/>
    </row>
    <row r="233" spans="1:23" x14ac:dyDescent="0.25">
      <c r="A233" s="3" t="s">
        <v>2026</v>
      </c>
      <c r="B233" s="3" t="s">
        <v>459</v>
      </c>
      <c r="C233" s="3"/>
      <c r="D233" s="3" t="s">
        <v>460</v>
      </c>
      <c r="E233" s="3">
        <v>56.2</v>
      </c>
      <c r="F233" s="3">
        <v>0.8</v>
      </c>
      <c r="G233" s="3">
        <v>0.6</v>
      </c>
      <c r="H233" s="3">
        <v>11.9</v>
      </c>
      <c r="I233" s="3"/>
      <c r="J233" s="3">
        <v>0.17</v>
      </c>
      <c r="K233" s="3">
        <v>0.05</v>
      </c>
      <c r="L233" s="3">
        <v>0.18</v>
      </c>
      <c r="M233" s="3">
        <v>0</v>
      </c>
      <c r="N233" s="3">
        <v>20</v>
      </c>
      <c r="O233" s="3"/>
      <c r="P233" s="3">
        <v>0.3</v>
      </c>
      <c r="Q233" s="3">
        <v>284</v>
      </c>
      <c r="R233" s="3">
        <v>3</v>
      </c>
      <c r="S233" s="3">
        <v>0.23</v>
      </c>
      <c r="T233" s="3">
        <v>183</v>
      </c>
      <c r="U233" s="3">
        <v>32</v>
      </c>
      <c r="V233" s="3"/>
      <c r="W233" s="3">
        <v>0</v>
      </c>
    </row>
    <row r="234" spans="1:23" x14ac:dyDescent="0.25">
      <c r="A234" s="3" t="s">
        <v>2026</v>
      </c>
      <c r="B234" s="3" t="s">
        <v>461</v>
      </c>
      <c r="C234" s="3"/>
      <c r="D234" s="3" t="s">
        <v>462</v>
      </c>
      <c r="E234" s="3">
        <v>277.05</v>
      </c>
      <c r="F234" s="3">
        <v>3.3</v>
      </c>
      <c r="G234" s="3">
        <v>0.93</v>
      </c>
      <c r="H234" s="3">
        <v>63.87</v>
      </c>
      <c r="I234" s="3">
        <v>9.8000000000000007</v>
      </c>
      <c r="J234" s="3">
        <v>0.14000000000000001</v>
      </c>
      <c r="K234" s="3">
        <v>0.16</v>
      </c>
      <c r="L234" s="3">
        <v>0.34</v>
      </c>
      <c r="M234" s="3">
        <v>0</v>
      </c>
      <c r="N234" s="3">
        <v>162</v>
      </c>
      <c r="O234" s="3">
        <v>67</v>
      </c>
      <c r="P234" s="3">
        <v>2.0299999999999998</v>
      </c>
      <c r="Q234" s="3">
        <v>680</v>
      </c>
      <c r="R234" s="3">
        <v>10</v>
      </c>
      <c r="S234" s="3">
        <v>0.55000000000000004</v>
      </c>
      <c r="T234" s="3">
        <v>1</v>
      </c>
      <c r="U234" s="3">
        <v>0</v>
      </c>
      <c r="V234" s="3">
        <v>9</v>
      </c>
      <c r="W234" s="3">
        <v>0</v>
      </c>
    </row>
    <row r="235" spans="1:23" x14ac:dyDescent="0.25">
      <c r="A235" s="3" t="s">
        <v>2026</v>
      </c>
      <c r="B235" s="3" t="s">
        <v>463</v>
      </c>
      <c r="C235" s="3"/>
      <c r="D235" s="3" t="s">
        <v>464</v>
      </c>
      <c r="E235" s="3">
        <v>94.02</v>
      </c>
      <c r="F235" s="3">
        <v>0.38</v>
      </c>
      <c r="G235" s="3">
        <v>0.1</v>
      </c>
      <c r="H235" s="3">
        <v>22.9</v>
      </c>
      <c r="I235" s="3">
        <v>2.2000000000000002</v>
      </c>
      <c r="J235" s="3">
        <v>0.02</v>
      </c>
      <c r="K235" s="3">
        <v>0.02</v>
      </c>
      <c r="L235" s="3">
        <v>0.05</v>
      </c>
      <c r="M235" s="3">
        <v>0</v>
      </c>
      <c r="N235" s="3">
        <v>27</v>
      </c>
      <c r="O235" s="3">
        <v>10</v>
      </c>
      <c r="P235" s="3">
        <v>0.28000000000000003</v>
      </c>
      <c r="Q235" s="3">
        <v>99</v>
      </c>
      <c r="R235" s="3">
        <v>1</v>
      </c>
      <c r="S235" s="3">
        <v>0.11</v>
      </c>
      <c r="T235" s="3">
        <v>1</v>
      </c>
      <c r="U235" s="3">
        <v>2</v>
      </c>
      <c r="V235" s="3">
        <v>2</v>
      </c>
      <c r="W235" s="3">
        <v>0</v>
      </c>
    </row>
    <row r="236" spans="1:23" x14ac:dyDescent="0.25">
      <c r="A236" s="3" t="s">
        <v>2026</v>
      </c>
      <c r="B236" s="3" t="s">
        <v>465</v>
      </c>
      <c r="C236" s="3"/>
      <c r="D236" s="3" t="s">
        <v>466</v>
      </c>
      <c r="E236" s="3">
        <v>232</v>
      </c>
      <c r="F236" s="3">
        <v>0</v>
      </c>
      <c r="G236" s="3">
        <v>0</v>
      </c>
      <c r="H236" s="3">
        <v>58</v>
      </c>
      <c r="I236" s="3">
        <v>0</v>
      </c>
      <c r="J236" s="3"/>
      <c r="K236" s="3"/>
      <c r="L236" s="3"/>
      <c r="M236" s="3">
        <v>0</v>
      </c>
      <c r="N236" s="3"/>
      <c r="O236" s="3"/>
      <c r="P236" s="3"/>
      <c r="Q236" s="3"/>
      <c r="R236" s="3">
        <v>55</v>
      </c>
      <c r="S236" s="3"/>
      <c r="T236" s="3"/>
      <c r="U236" s="3"/>
      <c r="V236" s="3"/>
      <c r="W236" s="3"/>
    </row>
    <row r="237" spans="1:23" x14ac:dyDescent="0.25">
      <c r="A237" s="3" t="s">
        <v>2026</v>
      </c>
      <c r="B237" s="3" t="s">
        <v>467</v>
      </c>
      <c r="C237" s="3"/>
      <c r="D237" s="3" t="s">
        <v>468</v>
      </c>
      <c r="E237" s="3">
        <v>82.42</v>
      </c>
      <c r="F237" s="3">
        <v>0.75</v>
      </c>
      <c r="G237" s="3">
        <v>0.3</v>
      </c>
      <c r="H237" s="3">
        <v>19.18</v>
      </c>
      <c r="I237" s="3">
        <v>2.9</v>
      </c>
      <c r="J237" s="3">
        <v>0.06</v>
      </c>
      <c r="K237" s="3">
        <v>7.0000000000000007E-2</v>
      </c>
      <c r="L237" s="3">
        <v>0.14000000000000001</v>
      </c>
      <c r="M237" s="3">
        <v>0</v>
      </c>
      <c r="N237" s="3">
        <v>35</v>
      </c>
      <c r="O237" s="3">
        <v>14</v>
      </c>
      <c r="P237" s="3">
        <v>0.37</v>
      </c>
      <c r="Q237" s="3">
        <v>232</v>
      </c>
      <c r="R237" s="3">
        <v>1</v>
      </c>
      <c r="S237" s="3">
        <v>0.15</v>
      </c>
      <c r="T237" s="3">
        <v>2</v>
      </c>
      <c r="U237" s="3">
        <v>7</v>
      </c>
      <c r="V237" s="3">
        <v>6</v>
      </c>
      <c r="W237" s="3">
        <v>0</v>
      </c>
    </row>
    <row r="238" spans="1:23" x14ac:dyDescent="0.25">
      <c r="A238" s="3" t="s">
        <v>2026</v>
      </c>
      <c r="B238" s="3" t="s">
        <v>469</v>
      </c>
      <c r="C238" s="3"/>
      <c r="D238" s="3" t="s">
        <v>470</v>
      </c>
      <c r="E238" s="3">
        <v>67.88</v>
      </c>
      <c r="F238" s="3">
        <v>1.1399999999999999</v>
      </c>
      <c r="G238" s="3">
        <v>0.52</v>
      </c>
      <c r="H238" s="3">
        <v>14.66</v>
      </c>
      <c r="I238" s="3">
        <v>3</v>
      </c>
      <c r="J238" s="3">
        <v>0.03</v>
      </c>
      <c r="K238" s="3">
        <v>0.05</v>
      </c>
      <c r="L238" s="3">
        <v>0.28999999999999998</v>
      </c>
      <c r="M238" s="3">
        <v>0</v>
      </c>
      <c r="N238" s="3">
        <v>34</v>
      </c>
      <c r="O238" s="3">
        <v>34</v>
      </c>
      <c r="P238" s="3">
        <v>0.31</v>
      </c>
      <c r="Q238" s="3">
        <v>312</v>
      </c>
      <c r="R238" s="3">
        <v>3</v>
      </c>
      <c r="S238" s="3">
        <v>0.14000000000000001</v>
      </c>
      <c r="T238" s="3">
        <v>93</v>
      </c>
      <c r="U238" s="3">
        <v>4</v>
      </c>
      <c r="V238" s="3">
        <v>25</v>
      </c>
      <c r="W238" s="3">
        <v>0</v>
      </c>
    </row>
    <row r="239" spans="1:23" x14ac:dyDescent="0.25">
      <c r="A239" s="3" t="s">
        <v>2026</v>
      </c>
      <c r="B239" s="3" t="s">
        <v>471</v>
      </c>
      <c r="C239" s="3"/>
      <c r="D239" s="3" t="s">
        <v>472</v>
      </c>
      <c r="E239" s="3">
        <v>46.76</v>
      </c>
      <c r="F239" s="3">
        <v>0.7</v>
      </c>
      <c r="G239" s="3">
        <v>0.2</v>
      </c>
      <c r="H239" s="3">
        <v>10.54</v>
      </c>
      <c r="I239" s="3">
        <v>2.8</v>
      </c>
      <c r="J239" s="3">
        <v>0.02</v>
      </c>
      <c r="K239" s="3">
        <v>0.02</v>
      </c>
      <c r="L239" s="3">
        <v>0.06</v>
      </c>
      <c r="M239" s="3">
        <v>0</v>
      </c>
      <c r="N239" s="3">
        <v>33</v>
      </c>
      <c r="O239" s="3">
        <v>18</v>
      </c>
      <c r="P239" s="3">
        <v>0.6</v>
      </c>
      <c r="Q239" s="3">
        <v>102</v>
      </c>
      <c r="R239" s="3">
        <v>2</v>
      </c>
      <c r="S239" s="3">
        <v>0.11</v>
      </c>
      <c r="T239" s="3">
        <v>29.1</v>
      </c>
      <c r="U239" s="3">
        <v>2</v>
      </c>
      <c r="V239" s="3">
        <v>8</v>
      </c>
      <c r="W239" s="3">
        <v>0</v>
      </c>
    </row>
    <row r="240" spans="1:23" x14ac:dyDescent="0.25">
      <c r="A240" s="3" t="s">
        <v>2026</v>
      </c>
      <c r="B240" s="3" t="s">
        <v>473</v>
      </c>
      <c r="C240" s="3"/>
      <c r="D240" s="3" t="s">
        <v>474</v>
      </c>
      <c r="E240" s="3">
        <v>44.38</v>
      </c>
      <c r="F240" s="3">
        <v>1.1000000000000001</v>
      </c>
      <c r="G240" s="3">
        <v>0.3</v>
      </c>
      <c r="H240" s="3">
        <v>9.32</v>
      </c>
      <c r="I240" s="3">
        <v>2.8</v>
      </c>
      <c r="J240" s="3">
        <v>0.04</v>
      </c>
      <c r="K240" s="3">
        <v>0.01</v>
      </c>
      <c r="L240" s="3">
        <v>0.09</v>
      </c>
      <c r="M240" s="3">
        <v>0</v>
      </c>
      <c r="N240" s="3">
        <v>26</v>
      </c>
      <c r="O240" s="3">
        <v>16</v>
      </c>
      <c r="P240" s="3">
        <v>0.6</v>
      </c>
      <c r="Q240" s="3">
        <v>138</v>
      </c>
      <c r="R240" s="3">
        <v>2</v>
      </c>
      <c r="S240" s="3">
        <v>0.06</v>
      </c>
      <c r="T240" s="3">
        <v>53</v>
      </c>
      <c r="U240" s="3">
        <v>1</v>
      </c>
      <c r="V240" s="3">
        <v>11</v>
      </c>
      <c r="W240" s="3">
        <v>0</v>
      </c>
    </row>
    <row r="241" spans="1:23" x14ac:dyDescent="0.25">
      <c r="A241" s="3" t="s">
        <v>2026</v>
      </c>
      <c r="B241" s="3" t="s">
        <v>475</v>
      </c>
      <c r="C241" s="3"/>
      <c r="D241" s="3" t="s">
        <v>476</v>
      </c>
      <c r="E241" s="3">
        <v>31.16</v>
      </c>
      <c r="F241" s="3">
        <v>0.35</v>
      </c>
      <c r="G241" s="3">
        <v>0.24</v>
      </c>
      <c r="H241" s="3">
        <v>6.9</v>
      </c>
      <c r="I241" s="3">
        <v>0.3</v>
      </c>
      <c r="J241" s="3">
        <v>0.04</v>
      </c>
      <c r="K241" s="3">
        <v>0.01</v>
      </c>
      <c r="L241" s="3">
        <v>0.02</v>
      </c>
      <c r="M241" s="3">
        <v>0</v>
      </c>
      <c r="N241" s="3">
        <v>6</v>
      </c>
      <c r="O241" s="3">
        <v>8</v>
      </c>
      <c r="P241" s="3">
        <v>0.08</v>
      </c>
      <c r="Q241" s="3">
        <v>103</v>
      </c>
      <c r="R241" s="3">
        <v>1</v>
      </c>
      <c r="S241" s="3">
        <v>0.05</v>
      </c>
      <c r="T241" s="3">
        <v>38.700000000000003</v>
      </c>
      <c r="U241" s="3">
        <v>0</v>
      </c>
      <c r="V241" s="3">
        <v>20</v>
      </c>
      <c r="W241" s="3">
        <v>0</v>
      </c>
    </row>
    <row r="242" spans="1:23" x14ac:dyDescent="0.25">
      <c r="A242" s="3" t="s">
        <v>2026</v>
      </c>
      <c r="B242" s="3" t="s">
        <v>477</v>
      </c>
      <c r="C242" s="3"/>
      <c r="D242" s="3" t="s">
        <v>478</v>
      </c>
      <c r="E242" s="3">
        <v>56.5</v>
      </c>
      <c r="F242" s="3">
        <v>0.5</v>
      </c>
      <c r="G242" s="3">
        <v>0.5</v>
      </c>
      <c r="H242" s="3">
        <v>12.5</v>
      </c>
      <c r="I242" s="3">
        <v>3</v>
      </c>
      <c r="J242" s="3">
        <v>0.14000000000000001</v>
      </c>
      <c r="K242" s="3">
        <v>0.2</v>
      </c>
      <c r="L242" s="3">
        <v>0.08</v>
      </c>
      <c r="M242" s="3">
        <v>0</v>
      </c>
      <c r="N242" s="3">
        <v>11</v>
      </c>
      <c r="O242" s="3">
        <v>11</v>
      </c>
      <c r="P242" s="3">
        <v>0.7</v>
      </c>
      <c r="Q242" s="3">
        <v>47</v>
      </c>
      <c r="R242" s="3">
        <v>15</v>
      </c>
      <c r="S242" s="3">
        <v>0.1</v>
      </c>
      <c r="T242" s="3">
        <v>14</v>
      </c>
      <c r="U242" s="3">
        <v>12</v>
      </c>
      <c r="V242" s="3">
        <v>14</v>
      </c>
      <c r="W242" s="3">
        <v>0</v>
      </c>
    </row>
    <row r="243" spans="1:23" x14ac:dyDescent="0.25">
      <c r="A243" s="3" t="s">
        <v>2026</v>
      </c>
      <c r="B243" s="3" t="s">
        <v>479</v>
      </c>
      <c r="C243" s="3"/>
      <c r="D243" s="3" t="s">
        <v>480</v>
      </c>
      <c r="E243" s="3">
        <v>59.39</v>
      </c>
      <c r="F243" s="3">
        <v>0.81</v>
      </c>
      <c r="G243" s="3">
        <v>0.31</v>
      </c>
      <c r="H243" s="3">
        <v>13.34</v>
      </c>
      <c r="I243" s="3">
        <v>1.8</v>
      </c>
      <c r="J243" s="3">
        <v>0.04</v>
      </c>
      <c r="K243" s="3">
        <v>0.06</v>
      </c>
      <c r="L243" s="3">
        <v>0.06</v>
      </c>
      <c r="M243" s="3">
        <v>0</v>
      </c>
      <c r="N243" s="3">
        <v>37</v>
      </c>
      <c r="O243" s="3">
        <v>20</v>
      </c>
      <c r="P243" s="3">
        <v>0.15</v>
      </c>
      <c r="Q243" s="3">
        <v>166</v>
      </c>
      <c r="R243" s="3">
        <v>2</v>
      </c>
      <c r="S243" s="3">
        <v>7.0000000000000007E-2</v>
      </c>
      <c r="T243" s="3">
        <v>27</v>
      </c>
      <c r="U243" s="3">
        <v>34</v>
      </c>
      <c r="V243" s="3">
        <v>16</v>
      </c>
      <c r="W243" s="3">
        <v>0</v>
      </c>
    </row>
    <row r="244" spans="1:23" x14ac:dyDescent="0.25">
      <c r="A244" s="3" t="s">
        <v>2026</v>
      </c>
      <c r="B244" s="3" t="s">
        <v>481</v>
      </c>
      <c r="C244" s="3"/>
      <c r="D244" s="3" t="s">
        <v>482</v>
      </c>
      <c r="E244" s="3">
        <v>39.200000000000003</v>
      </c>
      <c r="F244" s="3">
        <v>0.8</v>
      </c>
      <c r="G244" s="3">
        <v>0</v>
      </c>
      <c r="H244" s="3">
        <v>9</v>
      </c>
      <c r="I244" s="3"/>
      <c r="J244" s="3"/>
      <c r="K244" s="3"/>
      <c r="L244" s="3"/>
      <c r="M244" s="3"/>
      <c r="N244" s="3">
        <v>14</v>
      </c>
      <c r="O244" s="3"/>
      <c r="P244" s="3">
        <v>1.3</v>
      </c>
      <c r="Q244" s="3">
        <v>189</v>
      </c>
      <c r="R244" s="3">
        <v>7</v>
      </c>
      <c r="S244" s="3"/>
      <c r="T244" s="3">
        <v>80</v>
      </c>
      <c r="U244" s="3">
        <v>240</v>
      </c>
      <c r="V244" s="3"/>
      <c r="W244" s="3"/>
    </row>
    <row r="245" spans="1:23" x14ac:dyDescent="0.25">
      <c r="A245" s="3" t="s">
        <v>2026</v>
      </c>
      <c r="B245" s="3" t="s">
        <v>483</v>
      </c>
      <c r="C245" s="3"/>
      <c r="D245" s="3" t="s">
        <v>484</v>
      </c>
      <c r="E245" s="3">
        <v>293.04000000000002</v>
      </c>
      <c r="F245" s="3">
        <v>3.33</v>
      </c>
      <c r="G245" s="3">
        <v>0</v>
      </c>
      <c r="H245" s="3">
        <v>69.930000000000007</v>
      </c>
      <c r="I245" s="3">
        <v>3.33</v>
      </c>
      <c r="J245" s="3">
        <v>0</v>
      </c>
      <c r="K245" s="3"/>
      <c r="L245" s="3"/>
      <c r="M245" s="3">
        <v>0</v>
      </c>
      <c r="N245" s="3"/>
      <c r="O245" s="3"/>
      <c r="P245" s="3"/>
      <c r="Q245" s="3"/>
      <c r="R245" s="3">
        <v>16.649999999999999</v>
      </c>
      <c r="S245" s="3"/>
      <c r="T245" s="3"/>
      <c r="U245" s="3"/>
      <c r="V245" s="3"/>
      <c r="W245" s="3"/>
    </row>
    <row r="246" spans="1:23" x14ac:dyDescent="0.25">
      <c r="A246" s="3" t="s">
        <v>2026</v>
      </c>
      <c r="B246" s="3" t="s">
        <v>485</v>
      </c>
      <c r="C246" s="3"/>
      <c r="D246" s="3" t="s">
        <v>486</v>
      </c>
      <c r="E246" s="3">
        <v>65.400000000000006</v>
      </c>
      <c r="F246" s="3">
        <v>0.5</v>
      </c>
      <c r="G246" s="3">
        <v>0.2</v>
      </c>
      <c r="H246" s="3">
        <v>15.4</v>
      </c>
      <c r="I246" s="3">
        <v>1.8</v>
      </c>
      <c r="J246" s="3">
        <v>7.0000000000000007E-2</v>
      </c>
      <c r="K246" s="3">
        <v>0.1</v>
      </c>
      <c r="L246" s="3">
        <v>0.05</v>
      </c>
      <c r="M246" s="3">
        <v>0</v>
      </c>
      <c r="N246" s="3">
        <v>12</v>
      </c>
      <c r="O246" s="3">
        <v>12</v>
      </c>
      <c r="P246" s="3">
        <v>0.8</v>
      </c>
      <c r="Q246" s="3">
        <v>156</v>
      </c>
      <c r="R246" s="3">
        <v>2</v>
      </c>
      <c r="S246" s="3">
        <v>0.04</v>
      </c>
      <c r="T246" s="3">
        <v>53</v>
      </c>
      <c r="U246" s="3">
        <v>38</v>
      </c>
      <c r="V246" s="3">
        <v>14</v>
      </c>
      <c r="W246" s="3">
        <v>0</v>
      </c>
    </row>
    <row r="247" spans="1:23" x14ac:dyDescent="0.25">
      <c r="A247" s="3" t="s">
        <v>2026</v>
      </c>
      <c r="B247" s="3" t="s">
        <v>487</v>
      </c>
      <c r="C247" s="3"/>
      <c r="D247" s="3" t="s">
        <v>488</v>
      </c>
      <c r="E247" s="3">
        <v>49.4</v>
      </c>
      <c r="F247" s="3">
        <v>0.4</v>
      </c>
      <c r="G247" s="3">
        <v>0.2</v>
      </c>
      <c r="H247" s="3">
        <v>11.5</v>
      </c>
      <c r="I247" s="3"/>
      <c r="J247" s="3"/>
      <c r="K247" s="3"/>
      <c r="L247" s="3"/>
      <c r="M247" s="3"/>
      <c r="N247" s="3">
        <v>14</v>
      </c>
      <c r="O247" s="3">
        <v>10</v>
      </c>
      <c r="P247" s="3">
        <v>0.4</v>
      </c>
      <c r="Q247" s="3"/>
      <c r="R247" s="3"/>
      <c r="S247" s="3"/>
      <c r="T247" s="3">
        <v>128</v>
      </c>
      <c r="U247" s="3"/>
      <c r="V247" s="3"/>
      <c r="W247" s="3"/>
    </row>
    <row r="248" spans="1:23" x14ac:dyDescent="0.25">
      <c r="A248" s="3" t="s">
        <v>2026</v>
      </c>
      <c r="B248" s="3" t="s">
        <v>489</v>
      </c>
      <c r="C248" s="3"/>
      <c r="D248" s="3" t="s">
        <v>490</v>
      </c>
      <c r="E248" s="3">
        <v>57.81</v>
      </c>
      <c r="F248" s="3">
        <v>0.26</v>
      </c>
      <c r="G248" s="3">
        <v>0.17</v>
      </c>
      <c r="H248" s="3">
        <v>13.81</v>
      </c>
      <c r="I248" s="3">
        <v>2.4</v>
      </c>
      <c r="J248" s="3">
        <v>0.03</v>
      </c>
      <c r="K248" s="3">
        <v>0.01</v>
      </c>
      <c r="L248" s="3">
        <v>0.05</v>
      </c>
      <c r="M248" s="3">
        <v>0</v>
      </c>
      <c r="N248" s="3">
        <v>6</v>
      </c>
      <c r="O248" s="3">
        <v>11</v>
      </c>
      <c r="P248" s="3">
        <v>0.12</v>
      </c>
      <c r="Q248" s="3">
        <v>107</v>
      </c>
      <c r="R248" s="3">
        <v>1</v>
      </c>
      <c r="S248" s="3">
        <v>0.04</v>
      </c>
      <c r="T248" s="3">
        <v>5</v>
      </c>
      <c r="U248" s="3">
        <v>3</v>
      </c>
      <c r="V248" s="3">
        <v>3</v>
      </c>
      <c r="W248" s="3">
        <v>0</v>
      </c>
    </row>
    <row r="249" spans="1:23" x14ac:dyDescent="0.25">
      <c r="A249" s="3" t="s">
        <v>2026</v>
      </c>
      <c r="B249" s="3" t="s">
        <v>491</v>
      </c>
      <c r="C249" s="3"/>
      <c r="D249" s="3" t="s">
        <v>492</v>
      </c>
      <c r="E249" s="3">
        <v>27.9</v>
      </c>
      <c r="F249" s="3">
        <v>0.6</v>
      </c>
      <c r="G249" s="3">
        <v>0.3</v>
      </c>
      <c r="H249" s="3">
        <v>5.7</v>
      </c>
      <c r="I249" s="3"/>
      <c r="J249" s="3"/>
      <c r="K249" s="3"/>
      <c r="L249" s="3"/>
      <c r="M249" s="3">
        <v>0</v>
      </c>
      <c r="N249" s="3">
        <v>29</v>
      </c>
      <c r="O249" s="3">
        <v>8</v>
      </c>
      <c r="P249" s="3">
        <v>7.0000000000000007E-2</v>
      </c>
      <c r="Q249" s="3">
        <v>123</v>
      </c>
      <c r="R249" s="3">
        <v>0</v>
      </c>
      <c r="S249" s="3">
        <v>0.06</v>
      </c>
      <c r="T249" s="3">
        <v>22</v>
      </c>
      <c r="U249" s="3">
        <v>17</v>
      </c>
      <c r="V249" s="3"/>
      <c r="W249" s="3">
        <v>0</v>
      </c>
    </row>
    <row r="250" spans="1:23" x14ac:dyDescent="0.25">
      <c r="A250" s="3" t="s">
        <v>2026</v>
      </c>
      <c r="B250" s="3" t="s">
        <v>493</v>
      </c>
      <c r="C250" s="3"/>
      <c r="D250" s="3" t="s">
        <v>494</v>
      </c>
      <c r="E250" s="3">
        <v>384.62</v>
      </c>
      <c r="F250" s="3">
        <v>1.32</v>
      </c>
      <c r="G250" s="3">
        <v>0.57999999999999996</v>
      </c>
      <c r="H250" s="3">
        <v>93.53</v>
      </c>
      <c r="I250" s="3">
        <v>12.4</v>
      </c>
      <c r="J250" s="3">
        <v>0.09</v>
      </c>
      <c r="K250" s="3">
        <v>0.02</v>
      </c>
      <c r="L250" s="3">
        <v>0.17</v>
      </c>
      <c r="M250" s="3">
        <v>0</v>
      </c>
      <c r="N250" s="3">
        <v>19</v>
      </c>
      <c r="O250" s="3">
        <v>55</v>
      </c>
      <c r="P250" s="3">
        <v>2</v>
      </c>
      <c r="Q250" s="3">
        <v>640</v>
      </c>
      <c r="R250" s="3">
        <v>124</v>
      </c>
      <c r="S250" s="3">
        <v>0.28999999999999998</v>
      </c>
      <c r="T250" s="3">
        <v>2</v>
      </c>
      <c r="U250" s="3">
        <v>4</v>
      </c>
      <c r="V250" s="3">
        <v>1</v>
      </c>
      <c r="W250" s="3">
        <v>0</v>
      </c>
    </row>
    <row r="251" spans="1:23" x14ac:dyDescent="0.25">
      <c r="A251" s="3" t="s">
        <v>2026</v>
      </c>
      <c r="B251" s="3" t="s">
        <v>495</v>
      </c>
      <c r="C251" s="3"/>
      <c r="D251" s="3" t="s">
        <v>496</v>
      </c>
      <c r="E251" s="3">
        <v>60.5</v>
      </c>
      <c r="F251" s="3">
        <v>0.3</v>
      </c>
      <c r="G251" s="3">
        <v>0.1</v>
      </c>
      <c r="H251" s="3">
        <v>14.6</v>
      </c>
      <c r="I251" s="3">
        <v>1.3</v>
      </c>
      <c r="J251" s="3">
        <v>0.02</v>
      </c>
      <c r="K251" s="3">
        <v>0</v>
      </c>
      <c r="L251" s="3">
        <v>0.04</v>
      </c>
      <c r="M251" s="3">
        <v>0</v>
      </c>
      <c r="N251" s="3">
        <v>4</v>
      </c>
      <c r="O251" s="3">
        <v>8</v>
      </c>
      <c r="P251" s="3">
        <v>0.7</v>
      </c>
      <c r="Q251" s="3">
        <v>90</v>
      </c>
      <c r="R251" s="3">
        <v>0</v>
      </c>
      <c r="S251" s="3">
        <v>0.05</v>
      </c>
      <c r="T251" s="3">
        <v>8</v>
      </c>
      <c r="U251" s="3">
        <v>2</v>
      </c>
      <c r="V251" s="3">
        <v>0</v>
      </c>
      <c r="W251" s="3">
        <v>0</v>
      </c>
    </row>
    <row r="252" spans="1:23" x14ac:dyDescent="0.25">
      <c r="A252" s="3" t="s">
        <v>2026</v>
      </c>
      <c r="B252" s="3" t="s">
        <v>497</v>
      </c>
      <c r="C252" s="3"/>
      <c r="D252" s="3" t="s">
        <v>498</v>
      </c>
      <c r="E252" s="3">
        <v>108.62</v>
      </c>
      <c r="F252" s="3">
        <v>2.2000000000000002</v>
      </c>
      <c r="G252" s="3">
        <v>0.7</v>
      </c>
      <c r="H252" s="3">
        <v>23.38</v>
      </c>
      <c r="I252" s="3">
        <v>10.4</v>
      </c>
      <c r="J252" s="3">
        <v>0.06</v>
      </c>
      <c r="K252" s="3">
        <v>0.09</v>
      </c>
      <c r="L252" s="3">
        <v>0.41</v>
      </c>
      <c r="M252" s="3">
        <v>0</v>
      </c>
      <c r="N252" s="3">
        <v>12</v>
      </c>
      <c r="O252" s="3">
        <v>68</v>
      </c>
      <c r="P252" s="3">
        <v>1.6</v>
      </c>
      <c r="Q252" s="3">
        <v>348</v>
      </c>
      <c r="R252" s="3">
        <v>28</v>
      </c>
      <c r="S252" s="3">
        <v>0.1</v>
      </c>
      <c r="T252" s="3">
        <v>30</v>
      </c>
      <c r="U252" s="3">
        <v>64</v>
      </c>
      <c r="V252" s="3">
        <v>14</v>
      </c>
      <c r="W252" s="3">
        <v>0</v>
      </c>
    </row>
    <row r="253" spans="1:23" x14ac:dyDescent="0.25">
      <c r="A253" s="3" t="s">
        <v>2026</v>
      </c>
      <c r="B253" s="3" t="s">
        <v>499</v>
      </c>
      <c r="C253" s="3"/>
      <c r="D253" s="3" t="s">
        <v>500</v>
      </c>
      <c r="E253" s="3">
        <v>39.78</v>
      </c>
      <c r="F253" s="3">
        <v>0.54</v>
      </c>
      <c r="G253" s="3">
        <v>0.14000000000000001</v>
      </c>
      <c r="H253" s="3">
        <v>9.09</v>
      </c>
      <c r="I253" s="3">
        <v>0.8</v>
      </c>
      <c r="J253" s="3">
        <v>0.04</v>
      </c>
      <c r="K253" s="3">
        <v>0</v>
      </c>
      <c r="L253" s="3">
        <v>0.06</v>
      </c>
      <c r="M253" s="3">
        <v>0</v>
      </c>
      <c r="N253" s="3">
        <v>6</v>
      </c>
      <c r="O253" s="3">
        <v>11</v>
      </c>
      <c r="P253" s="3">
        <v>0.17</v>
      </c>
      <c r="Q253" s="3">
        <v>228</v>
      </c>
      <c r="R253" s="3">
        <v>18</v>
      </c>
      <c r="S253" s="3">
        <v>0.09</v>
      </c>
      <c r="T253" s="3">
        <v>18</v>
      </c>
      <c r="U253" s="3">
        <v>3</v>
      </c>
      <c r="V253" s="3">
        <v>19</v>
      </c>
      <c r="W253" s="3">
        <v>0</v>
      </c>
    </row>
    <row r="254" spans="1:23" x14ac:dyDescent="0.25">
      <c r="A254" s="3" t="s">
        <v>2026</v>
      </c>
      <c r="B254" s="3" t="s">
        <v>501</v>
      </c>
      <c r="C254" s="3"/>
      <c r="D254" s="3" t="s">
        <v>502</v>
      </c>
      <c r="E254" s="3">
        <v>37.71</v>
      </c>
      <c r="F254" s="3">
        <v>0.84</v>
      </c>
      <c r="G254" s="3">
        <v>0.19</v>
      </c>
      <c r="H254" s="3">
        <v>8.16</v>
      </c>
      <c r="I254" s="3">
        <v>0.9</v>
      </c>
      <c r="J254" s="3">
        <v>0.05</v>
      </c>
      <c r="K254" s="3">
        <v>0</v>
      </c>
      <c r="L254" s="3">
        <v>0.08</v>
      </c>
      <c r="M254" s="3">
        <v>0</v>
      </c>
      <c r="N254" s="3">
        <v>9</v>
      </c>
      <c r="O254" s="3">
        <v>15</v>
      </c>
      <c r="P254" s="3">
        <v>0.21</v>
      </c>
      <c r="Q254" s="3">
        <v>267</v>
      </c>
      <c r="R254" s="3">
        <v>16</v>
      </c>
      <c r="S254" s="3">
        <v>0.18</v>
      </c>
      <c r="T254" s="3">
        <v>37</v>
      </c>
      <c r="U254" s="3">
        <v>169</v>
      </c>
      <c r="V254" s="3">
        <v>21</v>
      </c>
      <c r="W254" s="3">
        <v>0</v>
      </c>
    </row>
    <row r="255" spans="1:23" x14ac:dyDescent="0.25">
      <c r="A255" s="3" t="s">
        <v>2026</v>
      </c>
      <c r="B255" s="3" t="s">
        <v>503</v>
      </c>
      <c r="C255" s="3"/>
      <c r="D255" s="3" t="s">
        <v>504</v>
      </c>
      <c r="E255" s="3">
        <v>63.7</v>
      </c>
      <c r="F255" s="3">
        <v>0.4</v>
      </c>
      <c r="G255" s="3">
        <v>0.1</v>
      </c>
      <c r="H255" s="3">
        <v>15.3</v>
      </c>
      <c r="I255" s="3">
        <v>1.9</v>
      </c>
      <c r="J255" s="3">
        <v>0.01</v>
      </c>
      <c r="K255" s="3">
        <v>0.04</v>
      </c>
      <c r="L255" s="3">
        <v>0.05</v>
      </c>
      <c r="M255" s="3">
        <v>0</v>
      </c>
      <c r="N255" s="3">
        <v>11</v>
      </c>
      <c r="O255" s="3">
        <v>17</v>
      </c>
      <c r="P255" s="3">
        <v>0.7</v>
      </c>
      <c r="Q255" s="3">
        <v>197</v>
      </c>
      <c r="R255" s="3">
        <v>4</v>
      </c>
      <c r="S255" s="3">
        <v>0.04</v>
      </c>
      <c r="T255" s="3">
        <v>15</v>
      </c>
      <c r="U255" s="3">
        <v>2</v>
      </c>
      <c r="V255" s="3">
        <v>3</v>
      </c>
      <c r="W255" s="3">
        <v>0</v>
      </c>
    </row>
    <row r="256" spans="1:23" x14ac:dyDescent="0.25">
      <c r="A256" s="3" t="s">
        <v>2026</v>
      </c>
      <c r="B256" s="3" t="s">
        <v>505</v>
      </c>
      <c r="C256" s="3"/>
      <c r="D256" s="3" t="s">
        <v>506</v>
      </c>
      <c r="E256" s="3">
        <v>477</v>
      </c>
      <c r="F256" s="3">
        <v>2</v>
      </c>
      <c r="G256" s="3">
        <v>21</v>
      </c>
      <c r="H256" s="3">
        <v>70</v>
      </c>
      <c r="I256" s="3"/>
      <c r="J256" s="3">
        <v>9</v>
      </c>
      <c r="K256" s="3">
        <v>9</v>
      </c>
      <c r="L256" s="3">
        <v>2.5</v>
      </c>
      <c r="M256" s="3">
        <v>0</v>
      </c>
      <c r="N256" s="3"/>
      <c r="O256" s="3"/>
      <c r="P256" s="3"/>
      <c r="Q256" s="3"/>
      <c r="R256" s="3">
        <v>5</v>
      </c>
      <c r="S256" s="3"/>
      <c r="T256" s="3"/>
      <c r="U256" s="3"/>
      <c r="V256" s="3"/>
      <c r="W256" s="3"/>
    </row>
    <row r="257" spans="1:23" x14ac:dyDescent="0.25">
      <c r="A257" s="3" t="s">
        <v>2026</v>
      </c>
      <c r="B257" s="3" t="s">
        <v>507</v>
      </c>
      <c r="C257" s="3"/>
      <c r="D257" s="3" t="s">
        <v>508</v>
      </c>
      <c r="E257" s="3">
        <v>477</v>
      </c>
      <c r="F257" s="3">
        <v>2</v>
      </c>
      <c r="G257" s="3">
        <v>21</v>
      </c>
      <c r="H257" s="3">
        <v>70</v>
      </c>
      <c r="I257" s="3"/>
      <c r="J257" s="3">
        <v>9</v>
      </c>
      <c r="K257" s="3">
        <v>9</v>
      </c>
      <c r="L257" s="3">
        <v>2.5</v>
      </c>
      <c r="M257" s="3">
        <v>0</v>
      </c>
      <c r="N257" s="3"/>
      <c r="O257" s="3"/>
      <c r="P257" s="3"/>
      <c r="Q257" s="3"/>
      <c r="R257" s="3">
        <v>5</v>
      </c>
      <c r="S257" s="3"/>
      <c r="T257" s="3"/>
      <c r="U257" s="3"/>
      <c r="V257" s="3"/>
      <c r="W257" s="3"/>
    </row>
    <row r="258" spans="1:23" x14ac:dyDescent="0.25">
      <c r="A258" s="3" t="s">
        <v>2026</v>
      </c>
      <c r="B258" s="3" t="s">
        <v>509</v>
      </c>
      <c r="C258" s="3"/>
      <c r="D258" s="3" t="s">
        <v>510</v>
      </c>
      <c r="E258" s="3">
        <v>430</v>
      </c>
      <c r="F258" s="3">
        <v>10</v>
      </c>
      <c r="G258" s="3">
        <v>16.670000000000002</v>
      </c>
      <c r="H258" s="3">
        <v>60</v>
      </c>
      <c r="I258" s="3">
        <v>3.33</v>
      </c>
      <c r="J258" s="3">
        <v>3.33</v>
      </c>
      <c r="K258" s="3">
        <v>10</v>
      </c>
      <c r="L258" s="3">
        <v>0</v>
      </c>
      <c r="M258" s="3">
        <v>0</v>
      </c>
      <c r="N258" s="3"/>
      <c r="O258" s="3"/>
      <c r="P258" s="3"/>
      <c r="Q258" s="3"/>
      <c r="R258" s="3">
        <v>50</v>
      </c>
      <c r="S258" s="3"/>
      <c r="T258" s="3"/>
      <c r="U258" s="3"/>
      <c r="V258" s="3"/>
      <c r="W258" s="3"/>
    </row>
    <row r="259" spans="1:23" x14ac:dyDescent="0.25">
      <c r="A259" s="3" t="s">
        <v>2026</v>
      </c>
      <c r="B259" s="3" t="s">
        <v>511</v>
      </c>
      <c r="C259" s="3"/>
      <c r="D259" s="3" t="s">
        <v>512</v>
      </c>
      <c r="E259" s="3">
        <v>48.41</v>
      </c>
      <c r="F259" s="3">
        <v>1.39</v>
      </c>
      <c r="G259" s="3">
        <v>0.49</v>
      </c>
      <c r="H259" s="3">
        <v>9.61</v>
      </c>
      <c r="I259" s="3">
        <v>5.3</v>
      </c>
      <c r="J259" s="3">
        <v>0.01</v>
      </c>
      <c r="K259" s="3">
        <v>0.05</v>
      </c>
      <c r="L259" s="3">
        <v>0.28000000000000003</v>
      </c>
      <c r="M259" s="3">
        <v>0</v>
      </c>
      <c r="N259" s="3">
        <v>29</v>
      </c>
      <c r="O259" s="3">
        <v>22</v>
      </c>
      <c r="P259" s="3">
        <v>0.62</v>
      </c>
      <c r="Q259" s="3">
        <v>162</v>
      </c>
      <c r="R259" s="3">
        <v>1</v>
      </c>
      <c r="S259" s="3">
        <v>0.53</v>
      </c>
      <c r="T259" s="3">
        <v>21</v>
      </c>
      <c r="U259" s="3">
        <v>11</v>
      </c>
      <c r="V259" s="3">
        <v>25</v>
      </c>
      <c r="W259" s="3">
        <v>0</v>
      </c>
    </row>
    <row r="260" spans="1:23" x14ac:dyDescent="0.25">
      <c r="A260" s="3" t="s">
        <v>2026</v>
      </c>
      <c r="B260" s="3" t="s">
        <v>513</v>
      </c>
      <c r="C260" s="3"/>
      <c r="D260" s="3" t="s">
        <v>514</v>
      </c>
      <c r="E260" s="3">
        <v>63.49</v>
      </c>
      <c r="F260" s="3">
        <v>0.64</v>
      </c>
      <c r="G260" s="3">
        <v>0.33</v>
      </c>
      <c r="H260" s="3">
        <v>14.49</v>
      </c>
      <c r="I260" s="3">
        <v>2.4</v>
      </c>
      <c r="J260" s="3">
        <v>0.03</v>
      </c>
      <c r="K260" s="3">
        <v>0.05</v>
      </c>
      <c r="L260" s="3">
        <v>0.15</v>
      </c>
      <c r="M260" s="3">
        <v>0</v>
      </c>
      <c r="N260" s="3">
        <v>6</v>
      </c>
      <c r="O260" s="3">
        <v>12</v>
      </c>
      <c r="P260" s="3">
        <v>0.28000000000000003</v>
      </c>
      <c r="Q260" s="3">
        <v>77</v>
      </c>
      <c r="R260" s="3">
        <v>1</v>
      </c>
      <c r="S260" s="3">
        <v>0.16</v>
      </c>
      <c r="T260" s="3">
        <v>9.6999999999999993</v>
      </c>
      <c r="U260" s="3">
        <v>3</v>
      </c>
      <c r="V260" s="3">
        <v>6</v>
      </c>
      <c r="W260" s="3">
        <v>0</v>
      </c>
    </row>
    <row r="261" spans="1:23" x14ac:dyDescent="0.25">
      <c r="A261" s="3" t="s">
        <v>2026</v>
      </c>
      <c r="B261" s="3" t="s">
        <v>515</v>
      </c>
      <c r="C261" s="3"/>
      <c r="D261" s="3" t="s">
        <v>516</v>
      </c>
      <c r="E261" s="3">
        <v>55.7</v>
      </c>
      <c r="F261" s="3">
        <v>0.7</v>
      </c>
      <c r="G261" s="3">
        <v>0.1</v>
      </c>
      <c r="H261" s="3">
        <v>13</v>
      </c>
      <c r="I261" s="3"/>
      <c r="J261" s="3"/>
      <c r="K261" s="3"/>
      <c r="L261" s="3"/>
      <c r="M261" s="3">
        <v>0</v>
      </c>
      <c r="N261" s="3">
        <v>43</v>
      </c>
      <c r="O261" s="3">
        <v>17</v>
      </c>
      <c r="P261" s="3">
        <v>0.6</v>
      </c>
      <c r="Q261" s="3">
        <v>200</v>
      </c>
      <c r="R261" s="3">
        <v>1</v>
      </c>
      <c r="S261" s="3">
        <v>0.05</v>
      </c>
      <c r="T261" s="3">
        <v>42</v>
      </c>
      <c r="U261" s="3">
        <v>10</v>
      </c>
      <c r="V261" s="3"/>
      <c r="W261" s="3"/>
    </row>
    <row r="262" spans="1:23" x14ac:dyDescent="0.25">
      <c r="A262" s="3" t="s">
        <v>2026</v>
      </c>
      <c r="B262" s="3" t="s">
        <v>517</v>
      </c>
      <c r="C262" s="3"/>
      <c r="D262" s="3" t="s">
        <v>518</v>
      </c>
      <c r="E262" s="3">
        <v>44.6</v>
      </c>
      <c r="F262" s="3">
        <v>0.7</v>
      </c>
      <c r="G262" s="3">
        <v>0.2</v>
      </c>
      <c r="H262" s="3">
        <v>10</v>
      </c>
      <c r="I262" s="3"/>
      <c r="J262" s="3"/>
      <c r="K262" s="3"/>
      <c r="L262" s="3"/>
      <c r="M262" s="3"/>
      <c r="N262" s="3">
        <v>44</v>
      </c>
      <c r="O262" s="3">
        <v>15</v>
      </c>
      <c r="P262" s="3">
        <v>0.3</v>
      </c>
      <c r="Q262" s="3"/>
      <c r="R262" s="3"/>
      <c r="S262" s="3"/>
      <c r="T262" s="3">
        <v>42</v>
      </c>
      <c r="U262" s="3"/>
      <c r="V262" s="3"/>
      <c r="W262" s="3"/>
    </row>
    <row r="263" spans="1:23" x14ac:dyDescent="0.25">
      <c r="A263" s="3" t="s">
        <v>2026</v>
      </c>
      <c r="B263" s="3" t="s">
        <v>519</v>
      </c>
      <c r="C263" s="3"/>
      <c r="D263" s="3" t="s">
        <v>520</v>
      </c>
      <c r="E263" s="3">
        <v>51.84</v>
      </c>
      <c r="F263" s="3">
        <v>0.94</v>
      </c>
      <c r="G263" s="3">
        <v>0.12</v>
      </c>
      <c r="H263" s="3">
        <v>11.75</v>
      </c>
      <c r="I263" s="3">
        <v>2.4</v>
      </c>
      <c r="J263" s="3">
        <v>0.01</v>
      </c>
      <c r="K263" s="3">
        <v>0.02</v>
      </c>
      <c r="L263" s="3">
        <v>0.03</v>
      </c>
      <c r="M263" s="3">
        <v>0</v>
      </c>
      <c r="N263" s="3">
        <v>40</v>
      </c>
      <c r="O263" s="3">
        <v>14</v>
      </c>
      <c r="P263" s="3">
        <v>0.1</v>
      </c>
      <c r="Q263" s="3">
        <v>181</v>
      </c>
      <c r="R263" s="3">
        <v>0</v>
      </c>
      <c r="S263" s="3">
        <v>7.0000000000000007E-2</v>
      </c>
      <c r="T263" s="3">
        <v>53</v>
      </c>
      <c r="U263" s="3">
        <v>11</v>
      </c>
      <c r="V263" s="3">
        <v>30</v>
      </c>
      <c r="W263" s="3">
        <v>0</v>
      </c>
    </row>
    <row r="264" spans="1:23" x14ac:dyDescent="0.25">
      <c r="A264" s="3" t="s">
        <v>2026</v>
      </c>
      <c r="B264" s="3" t="s">
        <v>521</v>
      </c>
      <c r="C264" s="3"/>
      <c r="D264" s="3" t="s">
        <v>522</v>
      </c>
      <c r="E264" s="3">
        <v>35.479999999999997</v>
      </c>
      <c r="F264" s="3"/>
      <c r="G264" s="3"/>
      <c r="H264" s="3">
        <v>8.8699999999999992</v>
      </c>
      <c r="I264" s="3"/>
      <c r="J264" s="3"/>
      <c r="K264" s="3"/>
      <c r="L264" s="3"/>
      <c r="M264" s="3"/>
      <c r="N264" s="3">
        <v>2</v>
      </c>
      <c r="O264" s="3">
        <v>23</v>
      </c>
      <c r="P264" s="3">
        <v>0.24</v>
      </c>
      <c r="Q264" s="3">
        <v>448</v>
      </c>
      <c r="R264" s="3">
        <v>14</v>
      </c>
      <c r="S264" s="3">
        <v>0.22</v>
      </c>
      <c r="T264" s="3"/>
      <c r="U264" s="3"/>
      <c r="V264" s="3"/>
      <c r="W264" s="3"/>
    </row>
    <row r="265" spans="1:23" x14ac:dyDescent="0.25">
      <c r="A265" s="3" t="s">
        <v>2026</v>
      </c>
      <c r="B265" s="3" t="s">
        <v>523</v>
      </c>
      <c r="C265" s="3"/>
      <c r="D265" s="3" t="s">
        <v>524</v>
      </c>
      <c r="E265" s="3">
        <v>30.9</v>
      </c>
      <c r="F265" s="3">
        <v>0.7</v>
      </c>
      <c r="G265" s="3">
        <v>0.1</v>
      </c>
      <c r="H265" s="3">
        <v>6.8</v>
      </c>
      <c r="I265" s="3"/>
      <c r="J265" s="3"/>
      <c r="K265" s="3"/>
      <c r="L265" s="3"/>
      <c r="M265" s="3"/>
      <c r="N265" s="3">
        <v>8</v>
      </c>
      <c r="O265" s="3">
        <v>14</v>
      </c>
      <c r="P265" s="3">
        <v>0.4</v>
      </c>
      <c r="Q265" s="3">
        <v>294</v>
      </c>
      <c r="R265" s="3">
        <v>4</v>
      </c>
      <c r="S265" s="3"/>
      <c r="T265" s="3">
        <v>65</v>
      </c>
      <c r="U265" s="3"/>
      <c r="V265" s="3"/>
      <c r="W265" s="3"/>
    </row>
    <row r="266" spans="1:23" x14ac:dyDescent="0.25">
      <c r="A266" s="3" t="s">
        <v>2026</v>
      </c>
      <c r="B266" s="3" t="s">
        <v>525</v>
      </c>
      <c r="C266" s="3"/>
      <c r="D266" s="3" t="s">
        <v>526</v>
      </c>
      <c r="E266" s="3">
        <v>52.08</v>
      </c>
      <c r="F266" s="3">
        <v>0.43</v>
      </c>
      <c r="G266" s="3">
        <v>0.2</v>
      </c>
      <c r="H266" s="3">
        <v>12.14</v>
      </c>
      <c r="I266" s="3">
        <v>1.7</v>
      </c>
      <c r="J266" s="3">
        <v>0.04</v>
      </c>
      <c r="K266" s="3">
        <v>0.01</v>
      </c>
      <c r="L266" s="3">
        <v>0.09</v>
      </c>
      <c r="M266" s="3">
        <v>0</v>
      </c>
      <c r="N266" s="3">
        <v>16</v>
      </c>
      <c r="O266" s="3">
        <v>27</v>
      </c>
      <c r="P266" s="3">
        <v>0.28000000000000003</v>
      </c>
      <c r="Q266" s="3">
        <v>266</v>
      </c>
      <c r="R266" s="3">
        <v>1</v>
      </c>
      <c r="S266" s="3">
        <v>0.05</v>
      </c>
      <c r="T266" s="3">
        <v>1</v>
      </c>
      <c r="U266" s="3">
        <v>76</v>
      </c>
      <c r="V266" s="3">
        <v>14</v>
      </c>
      <c r="W266" s="3">
        <v>0</v>
      </c>
    </row>
    <row r="267" spans="1:23" x14ac:dyDescent="0.25">
      <c r="A267" s="3" t="s">
        <v>2026</v>
      </c>
      <c r="B267" s="3" t="s">
        <v>527</v>
      </c>
      <c r="C267" s="3"/>
      <c r="D267" s="3" t="s">
        <v>528</v>
      </c>
      <c r="E267" s="3">
        <v>42.94</v>
      </c>
      <c r="F267" s="3">
        <v>0.61</v>
      </c>
      <c r="G267" s="3">
        <v>0.14000000000000001</v>
      </c>
      <c r="H267" s="3">
        <v>9.81</v>
      </c>
      <c r="I267" s="3">
        <v>1.8</v>
      </c>
      <c r="J267" s="3">
        <v>0.04</v>
      </c>
      <c r="K267" s="3">
        <v>0.04</v>
      </c>
      <c r="L267" s="3">
        <v>0.03</v>
      </c>
      <c r="M267" s="3">
        <v>0</v>
      </c>
      <c r="N267" s="3">
        <v>24</v>
      </c>
      <c r="O267" s="3">
        <v>5</v>
      </c>
      <c r="P267" s="3">
        <v>0.1</v>
      </c>
      <c r="Q267" s="3">
        <v>257</v>
      </c>
      <c r="R267" s="3">
        <v>3</v>
      </c>
      <c r="S267" s="3">
        <v>7.0000000000000007E-2</v>
      </c>
      <c r="T267" s="3">
        <v>62</v>
      </c>
      <c r="U267" s="3">
        <v>55</v>
      </c>
      <c r="V267" s="3">
        <v>38</v>
      </c>
      <c r="W267" s="3">
        <v>0</v>
      </c>
    </row>
    <row r="268" spans="1:23" x14ac:dyDescent="0.25">
      <c r="A268" s="3" t="s">
        <v>2026</v>
      </c>
      <c r="B268" s="3" t="s">
        <v>529</v>
      </c>
      <c r="C268" s="3"/>
      <c r="D268" s="3" t="s">
        <v>530</v>
      </c>
      <c r="E268" s="3">
        <v>335</v>
      </c>
      <c r="F268" s="3">
        <v>3.28</v>
      </c>
      <c r="G268" s="3">
        <v>0.2</v>
      </c>
      <c r="H268" s="3">
        <v>80.02</v>
      </c>
      <c r="I268" s="3">
        <v>3.3</v>
      </c>
      <c r="J268" s="3">
        <v>7.0000000000000007E-2</v>
      </c>
      <c r="K268" s="3">
        <v>0.01</v>
      </c>
      <c r="L268" s="3">
        <v>0.06</v>
      </c>
      <c r="M268" s="3">
        <v>0</v>
      </c>
      <c r="N268" s="3">
        <v>64</v>
      </c>
      <c r="O268" s="3">
        <v>101</v>
      </c>
      <c r="P268" s="3">
        <v>0.98</v>
      </c>
      <c r="Q268" s="3">
        <v>746</v>
      </c>
      <c r="R268" s="3">
        <v>24</v>
      </c>
      <c r="S268" s="3">
        <v>0.37</v>
      </c>
      <c r="T268" s="3">
        <v>3.2</v>
      </c>
      <c r="U268" s="3">
        <v>0</v>
      </c>
      <c r="V268" s="3">
        <v>3</v>
      </c>
      <c r="W268" s="3">
        <v>0</v>
      </c>
    </row>
    <row r="269" spans="1:23" x14ac:dyDescent="0.25">
      <c r="A269" s="3" t="s">
        <v>2026</v>
      </c>
      <c r="B269" s="3" t="s">
        <v>531</v>
      </c>
      <c r="C269" s="3"/>
      <c r="D269" s="3" t="s">
        <v>532</v>
      </c>
      <c r="E269" s="3">
        <v>260</v>
      </c>
      <c r="F269" s="3">
        <v>2.5</v>
      </c>
      <c r="G269" s="3">
        <v>0</v>
      </c>
      <c r="H269" s="3">
        <v>62.5</v>
      </c>
      <c r="I269" s="3">
        <v>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x14ac:dyDescent="0.25">
      <c r="A270" s="3" t="s">
        <v>2026</v>
      </c>
      <c r="B270" s="3" t="s">
        <v>533</v>
      </c>
      <c r="C270" s="3"/>
      <c r="D270" s="3" t="s">
        <v>534</v>
      </c>
      <c r="E270" s="3">
        <v>320</v>
      </c>
      <c r="F270" s="3">
        <v>2.5</v>
      </c>
      <c r="G270" s="3">
        <v>0</v>
      </c>
      <c r="H270" s="3">
        <v>77.5</v>
      </c>
      <c r="I270" s="3">
        <v>5</v>
      </c>
      <c r="J270" s="3">
        <v>0</v>
      </c>
      <c r="K270" s="3"/>
      <c r="L270" s="3"/>
      <c r="M270" s="3">
        <v>0</v>
      </c>
      <c r="N270" s="3">
        <v>50</v>
      </c>
      <c r="O270" s="3"/>
      <c r="P270" s="3">
        <v>2.7</v>
      </c>
      <c r="Q270" s="3">
        <v>775</v>
      </c>
      <c r="R270" s="3">
        <v>25</v>
      </c>
      <c r="S270" s="3"/>
      <c r="T270" s="3">
        <v>0</v>
      </c>
      <c r="U270" s="3">
        <v>0</v>
      </c>
      <c r="V270" s="3"/>
      <c r="W270" s="3"/>
    </row>
    <row r="271" spans="1:23" x14ac:dyDescent="0.25">
      <c r="A271" s="3" t="s">
        <v>2026</v>
      </c>
      <c r="B271" s="3" t="s">
        <v>535</v>
      </c>
      <c r="C271" s="3"/>
      <c r="D271" s="3" t="s">
        <v>536</v>
      </c>
      <c r="E271" s="3">
        <v>35.799999999999997</v>
      </c>
      <c r="F271" s="3">
        <v>0.4</v>
      </c>
      <c r="G271" s="3">
        <v>1</v>
      </c>
      <c r="H271" s="3">
        <v>6.3</v>
      </c>
      <c r="I271" s="3"/>
      <c r="J271" s="3"/>
      <c r="K271" s="3"/>
      <c r="L271" s="3"/>
      <c r="M271" s="3"/>
      <c r="N271" s="3">
        <v>18</v>
      </c>
      <c r="O271" s="3">
        <v>14</v>
      </c>
      <c r="P271" s="3">
        <v>0.8</v>
      </c>
      <c r="Q271" s="3"/>
      <c r="R271" s="3"/>
      <c r="S271" s="3"/>
      <c r="T271" s="3">
        <v>32</v>
      </c>
      <c r="U271" s="3">
        <v>28</v>
      </c>
      <c r="V271" s="3"/>
      <c r="W271" s="3"/>
    </row>
    <row r="272" spans="1:23" x14ac:dyDescent="0.25">
      <c r="A272" s="3" t="s">
        <v>2026</v>
      </c>
      <c r="B272" s="3" t="s">
        <v>537</v>
      </c>
      <c r="C272" s="3"/>
      <c r="D272" s="3" t="s">
        <v>538</v>
      </c>
      <c r="E272" s="3">
        <v>64.44</v>
      </c>
      <c r="F272" s="3">
        <v>0.38</v>
      </c>
      <c r="G272" s="3">
        <v>0.12</v>
      </c>
      <c r="H272" s="3">
        <v>15.46</v>
      </c>
      <c r="I272" s="3">
        <v>3.1</v>
      </c>
      <c r="J272" s="3">
        <v>0.01</v>
      </c>
      <c r="K272" s="3">
        <v>0.03</v>
      </c>
      <c r="L272" s="3">
        <v>0.03</v>
      </c>
      <c r="M272" s="3">
        <v>0</v>
      </c>
      <c r="N272" s="3">
        <v>9</v>
      </c>
      <c r="O272" s="3">
        <v>11</v>
      </c>
      <c r="P272" s="3">
        <v>0.17</v>
      </c>
      <c r="Q272" s="3">
        <v>119</v>
      </c>
      <c r="R272" s="3">
        <v>1</v>
      </c>
      <c r="S272" s="3">
        <v>0.1</v>
      </c>
      <c r="T272" s="3">
        <v>4</v>
      </c>
      <c r="U272" s="3">
        <v>1</v>
      </c>
      <c r="V272" s="3">
        <v>7</v>
      </c>
      <c r="W272" s="3">
        <v>0</v>
      </c>
    </row>
    <row r="273" spans="1:23" x14ac:dyDescent="0.25">
      <c r="A273" s="3" t="s">
        <v>2026</v>
      </c>
      <c r="B273" s="3" t="s">
        <v>539</v>
      </c>
      <c r="C273" s="3"/>
      <c r="D273" s="3" t="s">
        <v>540</v>
      </c>
      <c r="E273" s="3">
        <v>370</v>
      </c>
      <c r="F273" s="3">
        <v>0</v>
      </c>
      <c r="G273" s="3">
        <v>0</v>
      </c>
      <c r="H273" s="3">
        <v>92.5</v>
      </c>
      <c r="I273" s="3">
        <v>2.5</v>
      </c>
      <c r="J273" s="3">
        <v>0.09</v>
      </c>
      <c r="K273" s="3">
        <v>0.02</v>
      </c>
      <c r="L273" s="3">
        <v>0.17</v>
      </c>
      <c r="M273" s="3">
        <v>0</v>
      </c>
      <c r="N273" s="3">
        <v>50</v>
      </c>
      <c r="O273" s="3">
        <v>55</v>
      </c>
      <c r="P273" s="3">
        <v>2</v>
      </c>
      <c r="Q273" s="3">
        <v>640</v>
      </c>
      <c r="R273" s="3">
        <v>124</v>
      </c>
      <c r="S273" s="3">
        <v>0.28999999999999998</v>
      </c>
      <c r="T273" s="3">
        <v>2</v>
      </c>
      <c r="U273" s="3">
        <v>4</v>
      </c>
      <c r="V273" s="3">
        <v>1</v>
      </c>
      <c r="W273" s="3">
        <v>0</v>
      </c>
    </row>
    <row r="274" spans="1:23" x14ac:dyDescent="0.25">
      <c r="A274" s="3" t="s">
        <v>2026</v>
      </c>
      <c r="B274" s="3" t="s">
        <v>541</v>
      </c>
      <c r="C274" s="3"/>
      <c r="D274" s="3" t="s">
        <v>542</v>
      </c>
      <c r="E274" s="3">
        <v>57.11</v>
      </c>
      <c r="F274" s="3">
        <v>0.53</v>
      </c>
      <c r="G274" s="3">
        <v>0.11</v>
      </c>
      <c r="H274" s="3">
        <v>13.5</v>
      </c>
      <c r="I274" s="3">
        <v>1.4</v>
      </c>
      <c r="J274" s="3"/>
      <c r="K274" s="3"/>
      <c r="L274" s="3"/>
      <c r="M274" s="3"/>
      <c r="N274" s="3">
        <v>13</v>
      </c>
      <c r="O274" s="3">
        <v>8</v>
      </c>
      <c r="P274" s="3">
        <v>0.28000000000000003</v>
      </c>
      <c r="Q274" s="3">
        <v>108</v>
      </c>
      <c r="R274" s="3">
        <v>1</v>
      </c>
      <c r="S274" s="3">
        <v>0.12</v>
      </c>
      <c r="T274" s="3">
        <v>56</v>
      </c>
      <c r="U274" s="3">
        <v>3</v>
      </c>
      <c r="V274" s="3">
        <v>19</v>
      </c>
      <c r="W274" s="3"/>
    </row>
    <row r="275" spans="1:23" x14ac:dyDescent="0.25">
      <c r="A275" s="3" t="s">
        <v>2026</v>
      </c>
      <c r="B275" s="3" t="s">
        <v>543</v>
      </c>
      <c r="C275" s="3"/>
      <c r="D275" s="3" t="s">
        <v>544</v>
      </c>
      <c r="E275" s="3">
        <v>66.680000000000007</v>
      </c>
      <c r="F275" s="3">
        <v>0</v>
      </c>
      <c r="G275" s="3">
        <v>0</v>
      </c>
      <c r="H275" s="3">
        <v>16.670000000000002</v>
      </c>
      <c r="I275" s="3">
        <v>1.67</v>
      </c>
      <c r="J275" s="3">
        <v>0</v>
      </c>
      <c r="K275" s="3"/>
      <c r="L275" s="3"/>
      <c r="M275" s="3"/>
      <c r="N275" s="3"/>
      <c r="O275" s="3"/>
      <c r="P275" s="3"/>
      <c r="Q275" s="3"/>
      <c r="R275" s="3">
        <v>0</v>
      </c>
      <c r="S275" s="3"/>
      <c r="T275" s="3"/>
      <c r="U275" s="3"/>
      <c r="V275" s="3"/>
      <c r="W275" s="3"/>
    </row>
    <row r="276" spans="1:23" x14ac:dyDescent="0.25">
      <c r="A276" s="3" t="s">
        <v>2026</v>
      </c>
      <c r="B276" s="3" t="s">
        <v>545</v>
      </c>
      <c r="C276" s="3"/>
      <c r="D276" s="3" t="s">
        <v>546</v>
      </c>
      <c r="E276" s="3">
        <v>83.19</v>
      </c>
      <c r="F276" s="3">
        <v>0.35</v>
      </c>
      <c r="G276" s="3">
        <v>0.11</v>
      </c>
      <c r="H276" s="3">
        <v>20.2</v>
      </c>
      <c r="I276" s="3">
        <v>0.8</v>
      </c>
      <c r="J276" s="3">
        <v>0.01</v>
      </c>
      <c r="K276" s="3">
        <v>0.01</v>
      </c>
      <c r="L276" s="3">
        <v>0.04</v>
      </c>
      <c r="M276" s="3">
        <v>0</v>
      </c>
      <c r="N276" s="3">
        <v>14</v>
      </c>
      <c r="O276" s="3">
        <v>7</v>
      </c>
      <c r="P276" s="3">
        <v>0.38</v>
      </c>
      <c r="Q276" s="3">
        <v>104</v>
      </c>
      <c r="R276" s="3">
        <v>1</v>
      </c>
      <c r="S276" s="3">
        <v>0.12</v>
      </c>
      <c r="T276" s="3">
        <v>7</v>
      </c>
      <c r="U276" s="3">
        <v>1</v>
      </c>
      <c r="V276" s="3">
        <v>5</v>
      </c>
      <c r="W276" s="3">
        <v>0</v>
      </c>
    </row>
    <row r="277" spans="1:23" x14ac:dyDescent="0.25">
      <c r="A277" s="3" t="s">
        <v>2026</v>
      </c>
      <c r="B277" s="3" t="s">
        <v>547</v>
      </c>
      <c r="C277" s="3"/>
      <c r="D277" s="3" t="s">
        <v>548</v>
      </c>
      <c r="E277" s="3">
        <v>56.9</v>
      </c>
      <c r="F277" s="3">
        <v>0.4</v>
      </c>
      <c r="G277" s="3">
        <v>0.1</v>
      </c>
      <c r="H277" s="3">
        <v>13.6</v>
      </c>
      <c r="I277" s="3">
        <v>3.3</v>
      </c>
      <c r="J277" s="3"/>
      <c r="K277" s="3"/>
      <c r="L277" s="3"/>
      <c r="M277" s="3"/>
      <c r="N277" s="3">
        <v>26</v>
      </c>
      <c r="O277" s="3">
        <v>26</v>
      </c>
      <c r="P277" s="3">
        <v>0.3</v>
      </c>
      <c r="Q277" s="3">
        <v>155</v>
      </c>
      <c r="R277" s="3">
        <v>4</v>
      </c>
      <c r="S277" s="3">
        <v>0.1</v>
      </c>
      <c r="T277" s="3">
        <v>20</v>
      </c>
      <c r="U277" s="3">
        <v>2</v>
      </c>
      <c r="V277" s="3">
        <v>20</v>
      </c>
      <c r="W277" s="3">
        <v>0</v>
      </c>
    </row>
    <row r="278" spans="1:23" x14ac:dyDescent="0.25">
      <c r="A278" s="3" t="s">
        <v>2026</v>
      </c>
      <c r="B278" s="3" t="s">
        <v>549</v>
      </c>
      <c r="C278" s="3"/>
      <c r="D278" s="3" t="s">
        <v>550</v>
      </c>
      <c r="E278" s="3">
        <v>62</v>
      </c>
      <c r="F278" s="3">
        <v>1.4</v>
      </c>
      <c r="G278" s="3">
        <v>0.4</v>
      </c>
      <c r="H278" s="3">
        <v>13.2</v>
      </c>
      <c r="I278" s="3"/>
      <c r="J278" s="3"/>
      <c r="K278" s="3"/>
      <c r="L278" s="3"/>
      <c r="M278" s="3"/>
      <c r="N278" s="3">
        <v>10</v>
      </c>
      <c r="O278" s="3">
        <v>26</v>
      </c>
      <c r="P278" s="3">
        <v>1.3</v>
      </c>
      <c r="Q278" s="3"/>
      <c r="R278" s="3"/>
      <c r="S278" s="3"/>
      <c r="T278" s="3">
        <v>8</v>
      </c>
      <c r="U278" s="3">
        <v>0</v>
      </c>
      <c r="V278" s="3"/>
      <c r="W278" s="3"/>
    </row>
    <row r="279" spans="1:23" x14ac:dyDescent="0.25">
      <c r="A279" s="3" t="s">
        <v>2026</v>
      </c>
      <c r="B279" s="3" t="s">
        <v>551</v>
      </c>
      <c r="C279" s="3"/>
      <c r="D279" s="3" t="s">
        <v>552</v>
      </c>
      <c r="E279" s="3">
        <v>118.2</v>
      </c>
      <c r="F279" s="3">
        <v>1.4</v>
      </c>
      <c r="G279" s="3">
        <v>0.2</v>
      </c>
      <c r="H279" s="3">
        <v>27.7</v>
      </c>
      <c r="I279" s="3"/>
      <c r="J279" s="3"/>
      <c r="K279" s="3"/>
      <c r="L279" s="3"/>
      <c r="M279" s="3"/>
      <c r="N279" s="3">
        <v>12</v>
      </c>
      <c r="O279" s="3">
        <v>20</v>
      </c>
      <c r="P279" s="3">
        <v>0.5</v>
      </c>
      <c r="Q279" s="3">
        <v>370</v>
      </c>
      <c r="R279" s="3">
        <v>1</v>
      </c>
      <c r="S279" s="3">
        <v>0.16</v>
      </c>
      <c r="T279" s="3">
        <v>10</v>
      </c>
      <c r="U279" s="3">
        <v>42</v>
      </c>
      <c r="V279" s="3"/>
      <c r="W279" s="3">
        <v>0</v>
      </c>
    </row>
    <row r="280" spans="1:23" x14ac:dyDescent="0.25">
      <c r="A280" s="3" t="s">
        <v>2026</v>
      </c>
      <c r="B280" s="3" t="s">
        <v>553</v>
      </c>
      <c r="C280" s="3"/>
      <c r="D280" s="3" t="s">
        <v>554</v>
      </c>
      <c r="E280" s="3">
        <v>33.99</v>
      </c>
      <c r="F280" s="3">
        <v>0.61</v>
      </c>
      <c r="G280" s="3">
        <v>0.15</v>
      </c>
      <c r="H280" s="3">
        <v>7.55</v>
      </c>
      <c r="I280" s="3">
        <v>0.4</v>
      </c>
      <c r="J280" s="3">
        <v>0.02</v>
      </c>
      <c r="K280" s="3">
        <v>0.04</v>
      </c>
      <c r="L280" s="3">
        <v>0.05</v>
      </c>
      <c r="M280" s="3">
        <v>0</v>
      </c>
      <c r="N280" s="3">
        <v>7</v>
      </c>
      <c r="O280" s="3">
        <v>11</v>
      </c>
      <c r="P280" s="3">
        <v>0.24</v>
      </c>
      <c r="Q280" s="3">
        <v>112</v>
      </c>
      <c r="R280" s="3">
        <v>1</v>
      </c>
      <c r="S280" s="3">
        <v>0.1</v>
      </c>
      <c r="T280" s="3">
        <v>8</v>
      </c>
      <c r="U280" s="3">
        <v>28</v>
      </c>
      <c r="V280" s="3">
        <v>3</v>
      </c>
      <c r="W280" s="3">
        <v>0</v>
      </c>
    </row>
    <row r="281" spans="1:23" x14ac:dyDescent="0.25">
      <c r="A281" s="3" t="s">
        <v>2026</v>
      </c>
      <c r="B281" s="3" t="s">
        <v>555</v>
      </c>
      <c r="C281" s="3"/>
      <c r="D281" s="3" t="s">
        <v>556</v>
      </c>
      <c r="E281" s="3">
        <v>106.67</v>
      </c>
      <c r="F281" s="3">
        <v>0</v>
      </c>
      <c r="G281" s="3">
        <v>0</v>
      </c>
      <c r="H281" s="3">
        <v>26.67</v>
      </c>
      <c r="I281" s="3"/>
      <c r="J281" s="3">
        <v>0</v>
      </c>
      <c r="K281" s="3"/>
      <c r="L281" s="3"/>
      <c r="M281" s="3">
        <v>0</v>
      </c>
      <c r="N281" s="3"/>
      <c r="O281" s="3"/>
      <c r="P281" s="3"/>
      <c r="Q281" s="3"/>
      <c r="R281" s="3">
        <v>0</v>
      </c>
      <c r="S281" s="3"/>
      <c r="T281" s="3"/>
      <c r="U281" s="3"/>
      <c r="V281" s="3"/>
      <c r="W281" s="3"/>
    </row>
    <row r="282" spans="1:23" x14ac:dyDescent="0.25">
      <c r="A282" s="3" t="s">
        <v>2026</v>
      </c>
      <c r="B282" s="3" t="s">
        <v>557</v>
      </c>
      <c r="C282" s="3"/>
      <c r="D282" s="3" t="s">
        <v>558</v>
      </c>
      <c r="E282" s="3">
        <v>266.60000000000002</v>
      </c>
      <c r="F282" s="3">
        <v>2.8</v>
      </c>
      <c r="G282" s="3">
        <v>0.6</v>
      </c>
      <c r="H282" s="3">
        <v>62.5</v>
      </c>
      <c r="I282" s="3">
        <v>5.0999999999999996</v>
      </c>
      <c r="J282" s="3">
        <v>0.27</v>
      </c>
      <c r="K282" s="3">
        <v>0.18</v>
      </c>
      <c r="L282" s="3">
        <v>0.06</v>
      </c>
      <c r="M282" s="3">
        <v>0</v>
      </c>
      <c r="N282" s="3">
        <v>74</v>
      </c>
      <c r="O282" s="3">
        <v>113</v>
      </c>
      <c r="P282" s="3">
        <v>2.8</v>
      </c>
      <c r="Q282" s="3">
        <v>628</v>
      </c>
      <c r="R282" s="3">
        <v>28</v>
      </c>
      <c r="S282" s="3">
        <v>0.1</v>
      </c>
      <c r="T282" s="3">
        <v>3.5</v>
      </c>
      <c r="U282" s="3">
        <v>2</v>
      </c>
      <c r="V282" s="3">
        <v>14</v>
      </c>
      <c r="W282" s="3">
        <v>0</v>
      </c>
    </row>
    <row r="283" spans="1:23" x14ac:dyDescent="0.25">
      <c r="A283" s="3" t="s">
        <v>2026</v>
      </c>
      <c r="B283" s="3" t="s">
        <v>559</v>
      </c>
      <c r="C283" s="3"/>
      <c r="D283" s="3" t="s">
        <v>560</v>
      </c>
      <c r="E283" s="3">
        <v>24.72</v>
      </c>
      <c r="F283" s="3">
        <v>3.09</v>
      </c>
      <c r="G283" s="3">
        <v>0</v>
      </c>
      <c r="H283" s="3">
        <v>3.09</v>
      </c>
      <c r="I283" s="3">
        <v>0</v>
      </c>
      <c r="J283" s="3">
        <v>0</v>
      </c>
      <c r="K283" s="3"/>
      <c r="L283" s="3"/>
      <c r="M283" s="3">
        <v>0</v>
      </c>
      <c r="N283" s="3">
        <v>381</v>
      </c>
      <c r="O283" s="3"/>
      <c r="P283" s="3">
        <v>0.56000000000000005</v>
      </c>
      <c r="Q283" s="3"/>
      <c r="R283" s="3">
        <v>1</v>
      </c>
      <c r="S283" s="3"/>
      <c r="T283" s="3">
        <v>39.6</v>
      </c>
      <c r="U283" s="3">
        <v>417.6</v>
      </c>
      <c r="V283" s="3"/>
      <c r="W283" s="3"/>
    </row>
    <row r="284" spans="1:23" x14ac:dyDescent="0.25">
      <c r="A284" s="3" t="s">
        <v>2026</v>
      </c>
      <c r="B284" s="3" t="s">
        <v>561</v>
      </c>
      <c r="C284" s="3"/>
      <c r="D284" s="3" t="s">
        <v>562</v>
      </c>
      <c r="E284" s="3">
        <v>58.1</v>
      </c>
      <c r="F284" s="3">
        <v>2.2000000000000002</v>
      </c>
      <c r="G284" s="3">
        <v>0.9</v>
      </c>
      <c r="H284" s="3">
        <v>10.3</v>
      </c>
      <c r="I284" s="3"/>
      <c r="J284" s="3"/>
      <c r="K284" s="3"/>
      <c r="L284" s="3"/>
      <c r="M284" s="3"/>
      <c r="N284" s="3">
        <v>9</v>
      </c>
      <c r="O284" s="3">
        <v>48</v>
      </c>
      <c r="P284" s="3">
        <v>0.8</v>
      </c>
      <c r="Q284" s="3"/>
      <c r="R284" s="3"/>
      <c r="S284" s="3"/>
      <c r="T284" s="3">
        <v>29</v>
      </c>
      <c r="U284" s="3">
        <v>300</v>
      </c>
      <c r="V284" s="3"/>
      <c r="W284" s="3"/>
    </row>
    <row r="285" spans="1:23" x14ac:dyDescent="0.25">
      <c r="A285" s="3" t="s">
        <v>2026</v>
      </c>
      <c r="B285" s="3" t="s">
        <v>563</v>
      </c>
      <c r="C285" s="3"/>
      <c r="D285" s="3" t="s">
        <v>564</v>
      </c>
      <c r="E285" s="3">
        <v>33.33</v>
      </c>
      <c r="F285" s="3">
        <v>1.67</v>
      </c>
      <c r="G285" s="3">
        <v>0</v>
      </c>
      <c r="H285" s="3">
        <v>6.67</v>
      </c>
      <c r="I285" s="3">
        <v>0</v>
      </c>
      <c r="J285" s="3"/>
      <c r="K285" s="3"/>
      <c r="L285" s="3"/>
      <c r="M285" s="3"/>
      <c r="N285" s="3"/>
      <c r="O285" s="3"/>
      <c r="P285" s="3"/>
      <c r="Q285" s="3"/>
      <c r="R285" s="3">
        <v>58.33</v>
      </c>
      <c r="S285" s="3"/>
      <c r="T285" s="3"/>
      <c r="U285" s="3"/>
      <c r="V285" s="3"/>
      <c r="W285" s="3"/>
    </row>
    <row r="286" spans="1:23" x14ac:dyDescent="0.25">
      <c r="A286" s="3" t="s">
        <v>2026</v>
      </c>
      <c r="B286" s="3" t="s">
        <v>565</v>
      </c>
      <c r="C286" s="3"/>
      <c r="D286" s="3" t="s">
        <v>566</v>
      </c>
      <c r="E286" s="3">
        <v>46.98</v>
      </c>
      <c r="F286" s="3">
        <v>0.77</v>
      </c>
      <c r="G286" s="3">
        <v>0.14000000000000001</v>
      </c>
      <c r="H286" s="3">
        <v>10.66</v>
      </c>
      <c r="I286" s="3">
        <v>1.6</v>
      </c>
      <c r="J286" s="3">
        <v>0.02</v>
      </c>
      <c r="K286" s="3">
        <v>0.02</v>
      </c>
      <c r="L286" s="3">
        <v>0.04</v>
      </c>
      <c r="M286" s="3">
        <v>0</v>
      </c>
      <c r="N286" s="3">
        <v>22</v>
      </c>
      <c r="O286" s="3">
        <v>18</v>
      </c>
      <c r="P286" s="3">
        <v>0.08</v>
      </c>
      <c r="Q286" s="3">
        <v>135</v>
      </c>
      <c r="R286" s="3">
        <v>0</v>
      </c>
      <c r="S286" s="3">
        <v>7.0000000000000007E-2</v>
      </c>
      <c r="T286" s="3">
        <v>31</v>
      </c>
      <c r="U286" s="3">
        <v>58</v>
      </c>
      <c r="V286" s="3">
        <v>13</v>
      </c>
      <c r="W286" s="3">
        <v>0</v>
      </c>
    </row>
    <row r="287" spans="1:23" x14ac:dyDescent="0.25">
      <c r="A287" s="3" t="s">
        <v>2026</v>
      </c>
      <c r="B287" s="3" t="s">
        <v>567</v>
      </c>
      <c r="C287" s="3"/>
      <c r="D287" s="3" t="s">
        <v>568</v>
      </c>
      <c r="E287" s="3">
        <v>74.400000000000006</v>
      </c>
      <c r="F287" s="3">
        <v>1.1000000000000001</v>
      </c>
      <c r="G287" s="3">
        <v>0.4</v>
      </c>
      <c r="H287" s="3">
        <v>16.600000000000001</v>
      </c>
      <c r="I287" s="3">
        <v>3.6</v>
      </c>
      <c r="J287" s="3">
        <v>7.0000000000000007E-2</v>
      </c>
      <c r="K287" s="3">
        <v>0.08</v>
      </c>
      <c r="L287" s="3">
        <v>0.21</v>
      </c>
      <c r="M287" s="3">
        <v>0</v>
      </c>
      <c r="N287" s="3">
        <v>57</v>
      </c>
      <c r="O287" s="3">
        <v>32</v>
      </c>
      <c r="P287" s="3">
        <v>1.2</v>
      </c>
      <c r="Q287" s="3">
        <v>220</v>
      </c>
      <c r="R287" s="3">
        <v>5</v>
      </c>
      <c r="S287" s="3">
        <v>0.12</v>
      </c>
      <c r="T287" s="3">
        <v>18</v>
      </c>
      <c r="U287" s="3">
        <v>2</v>
      </c>
      <c r="V287" s="3">
        <v>6</v>
      </c>
      <c r="W287" s="3">
        <v>0</v>
      </c>
    </row>
    <row r="288" spans="1:23" x14ac:dyDescent="0.25">
      <c r="A288" s="3" t="s">
        <v>2026</v>
      </c>
      <c r="B288" s="3" t="s">
        <v>569</v>
      </c>
      <c r="C288" s="3"/>
      <c r="D288" s="3" t="s">
        <v>570</v>
      </c>
      <c r="E288" s="3">
        <v>74.27</v>
      </c>
      <c r="F288" s="3">
        <v>0.63</v>
      </c>
      <c r="G288" s="3">
        <v>0.35</v>
      </c>
      <c r="H288" s="3">
        <v>17.149999999999999</v>
      </c>
      <c r="I288" s="3">
        <v>0.9</v>
      </c>
      <c r="J288" s="3">
        <v>0.11</v>
      </c>
      <c r="K288" s="3">
        <v>5.01</v>
      </c>
      <c r="L288" s="3">
        <v>0.1</v>
      </c>
      <c r="M288" s="3">
        <v>0</v>
      </c>
      <c r="N288" s="3">
        <v>14</v>
      </c>
      <c r="O288" s="3">
        <v>10</v>
      </c>
      <c r="P288" s="3">
        <v>0.28999999999999998</v>
      </c>
      <c r="Q288" s="3">
        <v>191</v>
      </c>
      <c r="R288" s="3">
        <v>2</v>
      </c>
      <c r="S288" s="3">
        <v>0.04</v>
      </c>
      <c r="T288" s="3">
        <v>4</v>
      </c>
      <c r="U288" s="3">
        <v>5</v>
      </c>
      <c r="V288" s="3">
        <v>4</v>
      </c>
      <c r="W288" s="3">
        <v>0</v>
      </c>
    </row>
    <row r="289" spans="1:23" x14ac:dyDescent="0.25">
      <c r="A289" s="3" t="s">
        <v>2026</v>
      </c>
      <c r="B289" s="3" t="s">
        <v>571</v>
      </c>
      <c r="C289" s="3"/>
      <c r="D289" s="3" t="s">
        <v>572</v>
      </c>
      <c r="E289" s="3">
        <v>73.3</v>
      </c>
      <c r="F289" s="3">
        <v>0.4</v>
      </c>
      <c r="G289" s="3">
        <v>0.1</v>
      </c>
      <c r="H289" s="3">
        <v>17.7</v>
      </c>
      <c r="I289" s="3">
        <v>0.9</v>
      </c>
      <c r="J289" s="3"/>
      <c r="K289" s="3"/>
      <c r="L289" s="3"/>
      <c r="M289" s="3"/>
      <c r="N289" s="3">
        <v>19</v>
      </c>
      <c r="O289" s="3">
        <v>28</v>
      </c>
      <c r="P289" s="3">
        <v>0.5</v>
      </c>
      <c r="Q289" s="3"/>
      <c r="R289" s="3"/>
      <c r="S289" s="3">
        <v>7.0000000000000007E-2</v>
      </c>
      <c r="T289" s="3">
        <v>2.8</v>
      </c>
      <c r="U289" s="3">
        <v>3</v>
      </c>
      <c r="V289" s="3"/>
      <c r="W289" s="3"/>
    </row>
    <row r="290" spans="1:23" x14ac:dyDescent="0.25">
      <c r="A290" s="3" t="s">
        <v>2026</v>
      </c>
      <c r="B290" s="3" t="s">
        <v>573</v>
      </c>
      <c r="C290" s="3"/>
      <c r="D290" s="3" t="s">
        <v>574</v>
      </c>
      <c r="E290" s="3">
        <v>331.43</v>
      </c>
      <c r="F290" s="3">
        <v>2.86</v>
      </c>
      <c r="G290" s="3">
        <v>0</v>
      </c>
      <c r="H290" s="3">
        <v>80</v>
      </c>
      <c r="I290" s="3">
        <v>8.57</v>
      </c>
      <c r="J290" s="3">
        <v>0</v>
      </c>
      <c r="K290" s="3"/>
      <c r="L290" s="3"/>
      <c r="M290" s="3">
        <v>0</v>
      </c>
      <c r="N290" s="3"/>
      <c r="O290" s="3"/>
      <c r="P290" s="3"/>
      <c r="Q290" s="3"/>
      <c r="R290" s="3">
        <v>0</v>
      </c>
      <c r="S290" s="3"/>
      <c r="T290" s="3"/>
      <c r="U290" s="3"/>
      <c r="V290" s="3"/>
      <c r="W290" s="3"/>
    </row>
    <row r="291" spans="1:23" x14ac:dyDescent="0.25">
      <c r="A291" s="3" t="s">
        <v>2026</v>
      </c>
      <c r="B291" s="3" t="s">
        <v>575</v>
      </c>
      <c r="C291" s="3"/>
      <c r="D291" s="3" t="s">
        <v>576</v>
      </c>
      <c r="E291" s="3">
        <v>271.43</v>
      </c>
      <c r="F291" s="3">
        <v>7.14</v>
      </c>
      <c r="G291" s="3">
        <v>0</v>
      </c>
      <c r="H291" s="3">
        <v>60.71</v>
      </c>
      <c r="I291" s="3">
        <v>21.43</v>
      </c>
      <c r="J291" s="3">
        <v>0</v>
      </c>
      <c r="K291" s="3"/>
      <c r="L291" s="3"/>
      <c r="M291" s="3">
        <v>0</v>
      </c>
      <c r="N291" s="3"/>
      <c r="O291" s="3"/>
      <c r="P291" s="3"/>
      <c r="Q291" s="3">
        <v>1778.57</v>
      </c>
      <c r="R291" s="3">
        <v>0</v>
      </c>
      <c r="S291" s="3"/>
      <c r="T291" s="3"/>
      <c r="U291" s="3"/>
      <c r="V291" s="3"/>
      <c r="W291" s="3"/>
    </row>
    <row r="292" spans="1:23" x14ac:dyDescent="0.25">
      <c r="A292" s="3" t="s">
        <v>2026</v>
      </c>
      <c r="B292" s="3" t="s">
        <v>577</v>
      </c>
      <c r="C292" s="3"/>
      <c r="D292" s="3" t="s">
        <v>578</v>
      </c>
      <c r="E292" s="3">
        <v>271.39999999999998</v>
      </c>
      <c r="F292" s="3">
        <v>7.14</v>
      </c>
      <c r="G292" s="3">
        <v>0</v>
      </c>
      <c r="H292" s="3">
        <v>60.71</v>
      </c>
      <c r="I292" s="3">
        <v>21.43</v>
      </c>
      <c r="J292" s="3"/>
      <c r="K292" s="3"/>
      <c r="L292" s="3"/>
      <c r="M292" s="3"/>
      <c r="N292" s="3"/>
      <c r="O292" s="3"/>
      <c r="P292" s="3"/>
      <c r="Q292" s="3">
        <v>1778.57</v>
      </c>
      <c r="R292" s="3">
        <v>0</v>
      </c>
      <c r="S292" s="3"/>
      <c r="T292" s="3"/>
      <c r="U292" s="3"/>
      <c r="V292" s="3"/>
      <c r="W292" s="3"/>
    </row>
    <row r="293" spans="1:23" x14ac:dyDescent="0.25">
      <c r="A293" s="3" t="s">
        <v>2026</v>
      </c>
      <c r="B293" s="3" t="s">
        <v>579</v>
      </c>
      <c r="C293" s="3"/>
      <c r="D293" s="3" t="s">
        <v>580</v>
      </c>
      <c r="E293" s="3">
        <v>308.39</v>
      </c>
      <c r="F293" s="3">
        <v>6.67</v>
      </c>
      <c r="G293" s="3">
        <v>1.67</v>
      </c>
      <c r="H293" s="3">
        <v>66.67</v>
      </c>
      <c r="I293" s="3">
        <v>16.7</v>
      </c>
      <c r="J293" s="3">
        <v>0</v>
      </c>
      <c r="K293" s="3"/>
      <c r="L293" s="3"/>
      <c r="M293" s="3">
        <v>0</v>
      </c>
      <c r="N293" s="3">
        <v>30</v>
      </c>
      <c r="O293" s="3"/>
      <c r="P293" s="3">
        <v>3.33</v>
      </c>
      <c r="Q293" s="3">
        <v>1830</v>
      </c>
      <c r="R293" s="3">
        <v>0</v>
      </c>
      <c r="S293" s="3"/>
      <c r="T293" s="3"/>
      <c r="U293" s="3"/>
      <c r="V293" s="3"/>
      <c r="W293" s="3"/>
    </row>
    <row r="294" spans="1:23" x14ac:dyDescent="0.25">
      <c r="A294" s="3" t="s">
        <v>2026</v>
      </c>
      <c r="B294" s="3" t="s">
        <v>581</v>
      </c>
      <c r="C294" s="3"/>
      <c r="D294" s="3" t="s">
        <v>582</v>
      </c>
      <c r="E294" s="3">
        <v>138.34</v>
      </c>
      <c r="F294" s="3">
        <v>1.45</v>
      </c>
      <c r="G294" s="3">
        <v>0.46</v>
      </c>
      <c r="H294" s="3">
        <v>32.1</v>
      </c>
      <c r="I294" s="3">
        <v>5.4</v>
      </c>
      <c r="J294" s="3">
        <v>0.17</v>
      </c>
      <c r="K294" s="3">
        <v>0.1</v>
      </c>
      <c r="L294" s="3">
        <v>0.1</v>
      </c>
      <c r="M294" s="3">
        <v>0</v>
      </c>
      <c r="N294" s="3">
        <v>18</v>
      </c>
      <c r="O294" s="3">
        <v>26</v>
      </c>
      <c r="P294" s="3">
        <v>0.78</v>
      </c>
      <c r="Q294" s="3">
        <v>454</v>
      </c>
      <c r="R294" s="3">
        <v>7</v>
      </c>
      <c r="S294" s="3">
        <v>0.19</v>
      </c>
      <c r="T294" s="3">
        <v>23</v>
      </c>
      <c r="U294" s="3">
        <v>7</v>
      </c>
      <c r="V294" s="3">
        <v>7</v>
      </c>
      <c r="W294" s="3">
        <v>0</v>
      </c>
    </row>
    <row r="295" spans="1:23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x14ac:dyDescent="0.25">
      <c r="A296" s="3" t="s">
        <v>2027</v>
      </c>
      <c r="B296" s="3" t="s">
        <v>583</v>
      </c>
      <c r="C296" s="3"/>
      <c r="D296" s="3" t="s">
        <v>584</v>
      </c>
      <c r="E296" s="3">
        <v>24.76</v>
      </c>
      <c r="F296" s="3">
        <v>1.88</v>
      </c>
      <c r="G296" s="3">
        <v>0.08</v>
      </c>
      <c r="H296" s="3">
        <v>4.13</v>
      </c>
      <c r="I296" s="3">
        <v>2.1</v>
      </c>
      <c r="J296" s="3">
        <v>0.01</v>
      </c>
      <c r="K296" s="3">
        <v>0.02</v>
      </c>
      <c r="L296" s="3">
        <v>0.03</v>
      </c>
      <c r="M296" s="3">
        <v>0</v>
      </c>
      <c r="N296" s="3">
        <v>58</v>
      </c>
      <c r="O296" s="3">
        <v>33</v>
      </c>
      <c r="P296" s="3">
        <v>2.2599999999999998</v>
      </c>
      <c r="Q296" s="3">
        <v>549</v>
      </c>
      <c r="R296" s="3">
        <v>179</v>
      </c>
      <c r="S296" s="3">
        <v>0.33</v>
      </c>
      <c r="T296" s="3">
        <v>18</v>
      </c>
      <c r="U296" s="3">
        <v>306</v>
      </c>
      <c r="V296" s="3">
        <v>9</v>
      </c>
      <c r="W296" s="3">
        <v>0</v>
      </c>
    </row>
    <row r="297" spans="1:23" x14ac:dyDescent="0.25">
      <c r="A297" s="3" t="s">
        <v>2027</v>
      </c>
      <c r="B297" s="3" t="s">
        <v>585</v>
      </c>
      <c r="C297" s="3"/>
      <c r="D297" s="3" t="s">
        <v>586</v>
      </c>
      <c r="E297" s="3">
        <v>33.5</v>
      </c>
      <c r="F297" s="3">
        <v>2.9</v>
      </c>
      <c r="G297" s="3">
        <v>0.3</v>
      </c>
      <c r="H297" s="3">
        <v>4.8</v>
      </c>
      <c r="I297" s="3"/>
      <c r="J297" s="3"/>
      <c r="K297" s="3"/>
      <c r="L297" s="3"/>
      <c r="M297" s="3">
        <v>0</v>
      </c>
      <c r="N297" s="3">
        <v>62</v>
      </c>
      <c r="O297" s="3"/>
      <c r="P297" s="3">
        <v>3.9</v>
      </c>
      <c r="Q297" s="3">
        <v>550</v>
      </c>
      <c r="R297" s="3">
        <v>147</v>
      </c>
      <c r="S297" s="3">
        <v>0.02</v>
      </c>
      <c r="T297" s="3">
        <v>6</v>
      </c>
      <c r="U297" s="3">
        <v>330</v>
      </c>
      <c r="V297" s="3"/>
      <c r="W297" s="3">
        <v>0</v>
      </c>
    </row>
    <row r="298" spans="1:23" x14ac:dyDescent="0.25">
      <c r="A298" s="3" t="s">
        <v>2027</v>
      </c>
      <c r="B298" s="3" t="s">
        <v>587</v>
      </c>
      <c r="C298" s="3"/>
      <c r="D298" s="3" t="s">
        <v>588</v>
      </c>
      <c r="E298" s="3">
        <v>22.26</v>
      </c>
      <c r="F298" s="3">
        <v>0.84</v>
      </c>
      <c r="G298" s="3">
        <v>0.18</v>
      </c>
      <c r="H298" s="3">
        <v>4.32</v>
      </c>
      <c r="I298" s="3">
        <v>2</v>
      </c>
      <c r="J298" s="3">
        <v>0.01</v>
      </c>
      <c r="K298" s="3">
        <v>0.03</v>
      </c>
      <c r="L298" s="3">
        <v>0.08</v>
      </c>
      <c r="M298" s="3">
        <v>0</v>
      </c>
      <c r="N298" s="3">
        <v>9</v>
      </c>
      <c r="O298" s="3">
        <v>36</v>
      </c>
      <c r="P298" s="3">
        <v>38</v>
      </c>
      <c r="Q298" s="3">
        <v>319</v>
      </c>
      <c r="R298" s="3">
        <v>6</v>
      </c>
      <c r="S298" s="3">
        <v>0.77</v>
      </c>
      <c r="T298" s="3">
        <v>33</v>
      </c>
      <c r="U298" s="3">
        <v>6</v>
      </c>
      <c r="V298" s="3">
        <v>51</v>
      </c>
      <c r="W298" s="3">
        <v>0</v>
      </c>
    </row>
    <row r="299" spans="1:23" x14ac:dyDescent="0.25">
      <c r="A299" s="3" t="s">
        <v>2027</v>
      </c>
      <c r="B299" s="3" t="s">
        <v>589</v>
      </c>
      <c r="C299" s="3"/>
      <c r="D299" s="3" t="s">
        <v>590</v>
      </c>
      <c r="E299" s="3">
        <v>17.2</v>
      </c>
      <c r="F299" s="3"/>
      <c r="G299" s="3"/>
      <c r="H299" s="3">
        <v>4.3</v>
      </c>
      <c r="I299" s="3"/>
      <c r="J299" s="3"/>
      <c r="K299" s="3"/>
      <c r="L299" s="3"/>
      <c r="M299" s="3"/>
      <c r="N299" s="3">
        <v>17</v>
      </c>
      <c r="O299" s="3">
        <v>17</v>
      </c>
      <c r="P299" s="3">
        <v>0.18</v>
      </c>
      <c r="Q299" s="3">
        <v>170</v>
      </c>
      <c r="R299" s="3">
        <v>3</v>
      </c>
      <c r="S299" s="3">
        <v>0.08</v>
      </c>
      <c r="T299" s="3"/>
      <c r="U299" s="3"/>
      <c r="V299" s="3"/>
      <c r="W299" s="3"/>
    </row>
    <row r="300" spans="1:23" x14ac:dyDescent="0.25">
      <c r="A300" s="3" t="s">
        <v>2027</v>
      </c>
      <c r="B300" s="3" t="s">
        <v>591</v>
      </c>
      <c r="C300" s="3"/>
      <c r="D300" s="3" t="s">
        <v>592</v>
      </c>
      <c r="E300" s="3">
        <v>45.1</v>
      </c>
      <c r="F300" s="3">
        <v>0.9</v>
      </c>
      <c r="G300" s="3">
        <v>0.7</v>
      </c>
      <c r="H300" s="3">
        <v>8.8000000000000007</v>
      </c>
      <c r="I300" s="3"/>
      <c r="J300" s="3"/>
      <c r="K300" s="3"/>
      <c r="L300" s="3"/>
      <c r="M300" s="3"/>
      <c r="N300" s="3">
        <v>31</v>
      </c>
      <c r="O300" s="3">
        <v>21</v>
      </c>
      <c r="P300" s="3">
        <v>0.9</v>
      </c>
      <c r="Q300" s="3"/>
      <c r="R300" s="3"/>
      <c r="S300" s="3"/>
      <c r="T300" s="3">
        <v>60</v>
      </c>
      <c r="U300" s="3">
        <v>445</v>
      </c>
      <c r="V300" s="3"/>
      <c r="W300" s="3"/>
    </row>
    <row r="301" spans="1:23" x14ac:dyDescent="0.25">
      <c r="A301" s="3" t="s">
        <v>2027</v>
      </c>
      <c r="B301" s="3" t="s">
        <v>593</v>
      </c>
      <c r="C301" s="3"/>
      <c r="D301" s="3" t="s">
        <v>594</v>
      </c>
      <c r="E301" s="3">
        <v>46.68</v>
      </c>
      <c r="F301" s="3">
        <v>1.87</v>
      </c>
      <c r="G301" s="3">
        <v>0.44</v>
      </c>
      <c r="H301" s="3">
        <v>8.81</v>
      </c>
      <c r="I301" s="3">
        <v>1.5</v>
      </c>
      <c r="J301" s="3">
        <v>0.04</v>
      </c>
      <c r="K301" s="3">
        <v>0.02</v>
      </c>
      <c r="L301" s="3">
        <v>0.24</v>
      </c>
      <c r="M301" s="3">
        <v>0</v>
      </c>
      <c r="N301" s="3">
        <v>14</v>
      </c>
      <c r="O301" s="3">
        <v>43</v>
      </c>
      <c r="P301" s="3">
        <v>1.03</v>
      </c>
      <c r="Q301" s="3">
        <v>322</v>
      </c>
      <c r="R301" s="3">
        <v>9</v>
      </c>
      <c r="S301" s="3">
        <v>0.26</v>
      </c>
      <c r="T301" s="3">
        <v>143.69999999999999</v>
      </c>
      <c r="U301" s="3">
        <v>48</v>
      </c>
      <c r="V301" s="3">
        <v>23</v>
      </c>
      <c r="W301" s="3">
        <v>0</v>
      </c>
    </row>
    <row r="302" spans="1:23" x14ac:dyDescent="0.25">
      <c r="A302" s="3" t="s">
        <v>2027</v>
      </c>
      <c r="B302" s="3" t="s">
        <v>595</v>
      </c>
      <c r="C302" s="3"/>
      <c r="D302" s="3" t="s">
        <v>596</v>
      </c>
      <c r="E302" s="3">
        <v>162.18</v>
      </c>
      <c r="F302" s="3">
        <v>6.36</v>
      </c>
      <c r="G302" s="3">
        <v>0.5</v>
      </c>
      <c r="H302" s="3">
        <v>33.06</v>
      </c>
      <c r="I302" s="3">
        <v>2.1</v>
      </c>
      <c r="J302" s="3">
        <v>0.09</v>
      </c>
      <c r="K302" s="3">
        <v>0.01</v>
      </c>
      <c r="L302" s="3">
        <v>0.25</v>
      </c>
      <c r="M302" s="3">
        <v>0</v>
      </c>
      <c r="N302" s="3">
        <v>181</v>
      </c>
      <c r="O302" s="3">
        <v>153</v>
      </c>
      <c r="P302" s="3">
        <v>1.7</v>
      </c>
      <c r="Q302" s="3">
        <v>401</v>
      </c>
      <c r="R302" s="3">
        <v>17</v>
      </c>
      <c r="S302" s="3">
        <v>1.1599999999999999</v>
      </c>
      <c r="T302" s="3">
        <v>31.2</v>
      </c>
      <c r="U302" s="3">
        <v>0</v>
      </c>
      <c r="V302" s="3">
        <v>3</v>
      </c>
      <c r="W302" s="3">
        <v>0</v>
      </c>
    </row>
    <row r="303" spans="1:23" x14ac:dyDescent="0.25">
      <c r="A303" s="3" t="s">
        <v>2027</v>
      </c>
      <c r="B303" s="3" t="s">
        <v>597</v>
      </c>
      <c r="C303" s="3"/>
      <c r="D303" s="3" t="s">
        <v>598</v>
      </c>
      <c r="E303" s="3">
        <v>28.96</v>
      </c>
      <c r="F303" s="3">
        <v>3.15</v>
      </c>
      <c r="G303" s="3">
        <v>0.64</v>
      </c>
      <c r="H303" s="3">
        <v>2.65</v>
      </c>
      <c r="I303" s="3">
        <v>1.6</v>
      </c>
      <c r="J303" s="3">
        <v>0.04</v>
      </c>
      <c r="K303" s="3">
        <v>0.09</v>
      </c>
      <c r="L303" s="3">
        <v>0.39</v>
      </c>
      <c r="M303" s="3">
        <v>0</v>
      </c>
      <c r="N303" s="3">
        <v>177</v>
      </c>
      <c r="O303" s="3">
        <v>56</v>
      </c>
      <c r="P303" s="3">
        <v>3.17</v>
      </c>
      <c r="Q303" s="3">
        <v>295</v>
      </c>
      <c r="R303" s="3">
        <v>4</v>
      </c>
      <c r="S303" s="3">
        <v>0.81</v>
      </c>
      <c r="T303" s="3">
        <v>18</v>
      </c>
      <c r="U303" s="3">
        <v>264</v>
      </c>
      <c r="V303" s="3">
        <v>68</v>
      </c>
      <c r="W303" s="3">
        <v>0</v>
      </c>
    </row>
    <row r="304" spans="1:23" x14ac:dyDescent="0.25">
      <c r="A304" s="3" t="s">
        <v>2027</v>
      </c>
      <c r="B304" s="3" t="s">
        <v>599</v>
      </c>
      <c r="C304" s="3"/>
      <c r="D304" s="3" t="s">
        <v>600</v>
      </c>
      <c r="E304" s="3">
        <v>62.42</v>
      </c>
      <c r="F304" s="3">
        <v>2.89</v>
      </c>
      <c r="G304" s="3">
        <v>0.34</v>
      </c>
      <c r="H304" s="3">
        <v>11.95</v>
      </c>
      <c r="I304" s="3">
        <v>5.7</v>
      </c>
      <c r="J304" s="3">
        <v>0.08</v>
      </c>
      <c r="K304" s="3">
        <v>0.01</v>
      </c>
      <c r="L304" s="3">
        <v>0.15</v>
      </c>
      <c r="M304" s="3">
        <v>0</v>
      </c>
      <c r="N304" s="3">
        <v>21</v>
      </c>
      <c r="O304" s="3">
        <v>73</v>
      </c>
      <c r="P304" s="3">
        <v>0.61</v>
      </c>
      <c r="Q304" s="3">
        <v>286</v>
      </c>
      <c r="R304" s="3">
        <v>60</v>
      </c>
      <c r="S304" s="3">
        <v>0.4</v>
      </c>
      <c r="T304" s="3">
        <v>7.4</v>
      </c>
      <c r="U304" s="3">
        <v>1</v>
      </c>
      <c r="V304" s="3">
        <v>89</v>
      </c>
      <c r="W304" s="3">
        <v>0</v>
      </c>
    </row>
    <row r="305" spans="1:23" x14ac:dyDescent="0.25">
      <c r="A305" s="3" t="s">
        <v>2027</v>
      </c>
      <c r="B305" s="3" t="s">
        <v>601</v>
      </c>
      <c r="C305" s="3"/>
      <c r="D305" s="3" t="s">
        <v>602</v>
      </c>
      <c r="E305" s="3">
        <v>56.47</v>
      </c>
      <c r="F305" s="3">
        <v>3.27</v>
      </c>
      <c r="G305" s="3">
        <v>0.15</v>
      </c>
      <c r="H305" s="3">
        <v>10.51</v>
      </c>
      <c r="I305" s="3">
        <v>5.4</v>
      </c>
      <c r="J305" s="3">
        <v>0.04</v>
      </c>
      <c r="K305" s="3">
        <v>0</v>
      </c>
      <c r="L305" s="3">
        <v>0.06</v>
      </c>
      <c r="M305" s="3">
        <v>0</v>
      </c>
      <c r="N305" s="3">
        <v>44</v>
      </c>
      <c r="O305" s="3">
        <v>90</v>
      </c>
      <c r="P305" s="3">
        <v>1.28</v>
      </c>
      <c r="Q305" s="3">
        <v>370</v>
      </c>
      <c r="R305" s="3">
        <v>94</v>
      </c>
      <c r="S305" s="3">
        <v>0.49</v>
      </c>
      <c r="T305" s="3">
        <v>12</v>
      </c>
      <c r="U305" s="3">
        <v>9</v>
      </c>
      <c r="V305" s="3">
        <v>68</v>
      </c>
      <c r="W305" s="3">
        <v>0</v>
      </c>
    </row>
    <row r="306" spans="1:23" x14ac:dyDescent="0.25">
      <c r="A306" s="3" t="s">
        <v>2027</v>
      </c>
      <c r="B306" s="3" t="s">
        <v>603</v>
      </c>
      <c r="C306" s="3"/>
      <c r="D306" s="3" t="s">
        <v>604</v>
      </c>
      <c r="E306" s="3">
        <v>37.29</v>
      </c>
      <c r="F306" s="3">
        <v>3.99</v>
      </c>
      <c r="G306" s="3">
        <v>0.69</v>
      </c>
      <c r="H306" s="3">
        <v>3.78</v>
      </c>
      <c r="I306" s="3">
        <v>2.5</v>
      </c>
      <c r="J306" s="3">
        <v>7.0000000000000007E-2</v>
      </c>
      <c r="K306" s="3">
        <v>0.06</v>
      </c>
      <c r="L306" s="3">
        <v>0.41</v>
      </c>
      <c r="M306" s="3">
        <v>0</v>
      </c>
      <c r="N306" s="3">
        <v>32</v>
      </c>
      <c r="O306" s="3">
        <v>70</v>
      </c>
      <c r="P306" s="3">
        <v>0.96</v>
      </c>
      <c r="Q306" s="3">
        <v>79</v>
      </c>
      <c r="R306" s="3">
        <v>6</v>
      </c>
      <c r="S306" s="3">
        <v>0.92</v>
      </c>
      <c r="T306" s="3">
        <v>8</v>
      </c>
      <c r="U306" s="3">
        <v>8</v>
      </c>
      <c r="V306" s="3">
        <v>36</v>
      </c>
      <c r="W306" s="3">
        <v>0</v>
      </c>
    </row>
    <row r="307" spans="1:23" x14ac:dyDescent="0.25">
      <c r="A307" s="3" t="s">
        <v>2027</v>
      </c>
      <c r="B307" s="3" t="s">
        <v>605</v>
      </c>
      <c r="C307" s="3"/>
      <c r="D307" s="3" t="s">
        <v>606</v>
      </c>
      <c r="E307" s="3">
        <v>16.170000000000002</v>
      </c>
      <c r="F307" s="3">
        <v>0.69</v>
      </c>
      <c r="G307" s="3">
        <v>0.17</v>
      </c>
      <c r="H307" s="3">
        <v>2.97</v>
      </c>
      <c r="I307" s="3">
        <v>1.6</v>
      </c>
      <c r="J307" s="3">
        <v>0.04</v>
      </c>
      <c r="K307" s="3">
        <v>0.03</v>
      </c>
      <c r="L307" s="3">
        <v>0.08</v>
      </c>
      <c r="M307" s="3">
        <v>0</v>
      </c>
      <c r="N307" s="3">
        <v>40</v>
      </c>
      <c r="O307" s="3">
        <v>24</v>
      </c>
      <c r="P307" s="3">
        <v>0.2</v>
      </c>
      <c r="Q307" s="3">
        <v>260</v>
      </c>
      <c r="R307" s="3">
        <v>80</v>
      </c>
      <c r="S307" s="3">
        <v>0.13</v>
      </c>
      <c r="T307" s="3">
        <v>3</v>
      </c>
      <c r="U307" s="3">
        <v>22</v>
      </c>
      <c r="V307" s="3">
        <v>36</v>
      </c>
      <c r="W307" s="3">
        <v>0</v>
      </c>
    </row>
    <row r="308" spans="1:23" x14ac:dyDescent="0.25">
      <c r="A308" s="3" t="s">
        <v>2027</v>
      </c>
      <c r="B308" s="3" t="s">
        <v>607</v>
      </c>
      <c r="C308" s="3"/>
      <c r="D308" s="3" t="s">
        <v>608</v>
      </c>
      <c r="E308" s="3">
        <v>80.069999999999993</v>
      </c>
      <c r="F308" s="3">
        <v>5.15</v>
      </c>
      <c r="G308" s="3">
        <v>0.27</v>
      </c>
      <c r="H308" s="3">
        <v>14.26</v>
      </c>
      <c r="I308" s="3">
        <v>4.5</v>
      </c>
      <c r="J308" s="3">
        <v>0.05</v>
      </c>
      <c r="K308" s="3">
        <v>0.02</v>
      </c>
      <c r="L308" s="3">
        <v>0.13</v>
      </c>
      <c r="M308" s="3">
        <v>0</v>
      </c>
      <c r="N308" s="3">
        <v>24</v>
      </c>
      <c r="O308" s="3">
        <v>77</v>
      </c>
      <c r="P308" s="3">
        <v>1.52</v>
      </c>
      <c r="Q308" s="3">
        <v>110</v>
      </c>
      <c r="R308" s="3">
        <v>72</v>
      </c>
      <c r="S308" s="3">
        <v>0.67</v>
      </c>
      <c r="T308" s="3">
        <v>9.9</v>
      </c>
      <c r="U308" s="3">
        <v>105</v>
      </c>
      <c r="V308" s="3">
        <v>59</v>
      </c>
      <c r="W308" s="3">
        <v>0</v>
      </c>
    </row>
    <row r="309" spans="1:23" x14ac:dyDescent="0.25">
      <c r="A309" s="3" t="s">
        <v>2027</v>
      </c>
      <c r="B309" s="3" t="s">
        <v>609</v>
      </c>
      <c r="C309" s="3"/>
      <c r="D309" s="3" t="s">
        <v>610</v>
      </c>
      <c r="E309" s="3">
        <v>71.150000000000006</v>
      </c>
      <c r="F309" s="3">
        <v>4.42</v>
      </c>
      <c r="G309" s="3">
        <v>0.35</v>
      </c>
      <c r="H309" s="3">
        <v>12.58</v>
      </c>
      <c r="I309" s="3">
        <v>4.0999999999999996</v>
      </c>
      <c r="J309" s="3">
        <v>0.06</v>
      </c>
      <c r="K309" s="3">
        <v>0.03</v>
      </c>
      <c r="L309" s="3">
        <v>0.16</v>
      </c>
      <c r="M309" s="3">
        <v>0</v>
      </c>
      <c r="N309" s="3">
        <v>20</v>
      </c>
      <c r="O309" s="3">
        <v>67</v>
      </c>
      <c r="P309" s="3">
        <v>0.95</v>
      </c>
      <c r="Q309" s="3">
        <v>173</v>
      </c>
      <c r="R309" s="3">
        <v>252</v>
      </c>
      <c r="S309" s="3">
        <v>0.71</v>
      </c>
      <c r="T309" s="3">
        <v>10</v>
      </c>
      <c r="U309" s="3">
        <v>27</v>
      </c>
      <c r="V309" s="3">
        <v>44</v>
      </c>
      <c r="W309" s="3">
        <v>0</v>
      </c>
    </row>
    <row r="310" spans="1:23" x14ac:dyDescent="0.25">
      <c r="A310" s="3" t="s">
        <v>2027</v>
      </c>
      <c r="B310" s="3" t="s">
        <v>611</v>
      </c>
      <c r="C310" s="3"/>
      <c r="D310" s="3" t="s">
        <v>612</v>
      </c>
      <c r="E310" s="3">
        <v>85.98</v>
      </c>
      <c r="F310" s="3">
        <v>5.36</v>
      </c>
      <c r="G310" s="3">
        <v>0.22</v>
      </c>
      <c r="H310" s="3">
        <v>15.64</v>
      </c>
      <c r="I310" s="3">
        <v>5.5</v>
      </c>
      <c r="J310" s="3">
        <v>0.04</v>
      </c>
      <c r="K310" s="3">
        <v>0.02</v>
      </c>
      <c r="L310" s="3">
        <v>0.1</v>
      </c>
      <c r="M310" s="3">
        <v>0</v>
      </c>
      <c r="N310" s="3">
        <v>27</v>
      </c>
      <c r="O310" s="3">
        <v>117</v>
      </c>
      <c r="P310" s="3">
        <v>1.54</v>
      </c>
      <c r="Q310" s="3">
        <v>271</v>
      </c>
      <c r="R310" s="3">
        <v>3</v>
      </c>
      <c r="S310" s="3">
        <v>1.19</v>
      </c>
      <c r="T310" s="3">
        <v>14</v>
      </c>
      <c r="U310" s="3">
        <v>40</v>
      </c>
      <c r="V310" s="3">
        <v>63</v>
      </c>
      <c r="W310" s="3">
        <v>0</v>
      </c>
    </row>
    <row r="311" spans="1:23" x14ac:dyDescent="0.25">
      <c r="A311" s="3" t="s">
        <v>2027</v>
      </c>
      <c r="B311" s="3" t="s">
        <v>613</v>
      </c>
      <c r="C311" s="3"/>
      <c r="D311" s="3" t="s">
        <v>614</v>
      </c>
      <c r="E311" s="3">
        <v>83.12</v>
      </c>
      <c r="F311" s="3">
        <v>5.42</v>
      </c>
      <c r="G311" s="3">
        <v>0.4</v>
      </c>
      <c r="H311" s="3">
        <v>14.46</v>
      </c>
      <c r="I311" s="3">
        <v>5.0999999999999996</v>
      </c>
      <c r="J311" s="3">
        <v>7.0000000000000007E-2</v>
      </c>
      <c r="K311" s="3">
        <v>0.04</v>
      </c>
      <c r="L311" s="3">
        <v>0.19</v>
      </c>
      <c r="M311" s="3">
        <v>0</v>
      </c>
      <c r="N311" s="3">
        <v>25</v>
      </c>
      <c r="O311" s="3">
        <v>108</v>
      </c>
      <c r="P311" s="3">
        <v>1.47</v>
      </c>
      <c r="Q311" s="3">
        <v>244</v>
      </c>
      <c r="R311" s="3">
        <v>5</v>
      </c>
      <c r="S311" s="3">
        <v>1.24</v>
      </c>
      <c r="T311" s="3">
        <v>40</v>
      </c>
      <c r="U311" s="3">
        <v>38</v>
      </c>
      <c r="V311" s="3">
        <v>65</v>
      </c>
      <c r="W311" s="3">
        <v>0</v>
      </c>
    </row>
    <row r="312" spans="1:23" x14ac:dyDescent="0.25">
      <c r="A312" s="3" t="s">
        <v>2027</v>
      </c>
      <c r="B312" s="3" t="s">
        <v>615</v>
      </c>
      <c r="C312" s="3"/>
      <c r="D312" s="3" t="s">
        <v>616</v>
      </c>
      <c r="E312" s="3">
        <v>40.31</v>
      </c>
      <c r="F312" s="3">
        <v>0.83</v>
      </c>
      <c r="G312" s="3">
        <v>0.23</v>
      </c>
      <c r="H312" s="3">
        <v>8.73</v>
      </c>
      <c r="I312" s="3">
        <v>2.5</v>
      </c>
      <c r="J312" s="3">
        <v>0.04</v>
      </c>
      <c r="K312" s="3">
        <v>0.02</v>
      </c>
      <c r="L312" s="3">
        <v>0.09</v>
      </c>
      <c r="M312" s="3">
        <v>0</v>
      </c>
      <c r="N312" s="3">
        <v>6</v>
      </c>
      <c r="O312" s="3">
        <v>15</v>
      </c>
      <c r="P312" s="3">
        <v>0.25</v>
      </c>
      <c r="Q312" s="3">
        <v>123</v>
      </c>
      <c r="R312" s="3">
        <v>1</v>
      </c>
      <c r="S312" s="3">
        <v>0.12</v>
      </c>
      <c r="T312" s="3">
        <v>1</v>
      </c>
      <c r="U312" s="3">
        <v>2</v>
      </c>
      <c r="V312" s="3">
        <v>14</v>
      </c>
      <c r="W312" s="3">
        <v>0</v>
      </c>
    </row>
    <row r="313" spans="1:23" x14ac:dyDescent="0.25">
      <c r="A313" s="3" t="s">
        <v>2027</v>
      </c>
      <c r="B313" s="3" t="s">
        <v>617</v>
      </c>
      <c r="C313" s="3"/>
      <c r="D313" s="3" t="s">
        <v>618</v>
      </c>
      <c r="E313" s="3">
        <v>28.55</v>
      </c>
      <c r="F313" s="3">
        <v>1.01</v>
      </c>
      <c r="G313" s="3">
        <v>0.19</v>
      </c>
      <c r="H313" s="3">
        <v>5.7</v>
      </c>
      <c r="I313" s="3">
        <v>3.4</v>
      </c>
      <c r="J313" s="3">
        <v>0.03</v>
      </c>
      <c r="K313" s="3">
        <v>0.02</v>
      </c>
      <c r="L313" s="3">
        <v>0.08</v>
      </c>
      <c r="M313" s="3">
        <v>0</v>
      </c>
      <c r="N313" s="3">
        <v>9</v>
      </c>
      <c r="O313" s="3">
        <v>25</v>
      </c>
      <c r="P313" s="3">
        <v>0.24</v>
      </c>
      <c r="Q313" s="3">
        <v>230</v>
      </c>
      <c r="R313" s="3">
        <v>2</v>
      </c>
      <c r="S313" s="3">
        <v>0.16</v>
      </c>
      <c r="T313" s="3">
        <v>2</v>
      </c>
      <c r="U313" s="3">
        <v>1</v>
      </c>
      <c r="V313" s="3">
        <v>22</v>
      </c>
      <c r="W313" s="3">
        <v>0</v>
      </c>
    </row>
    <row r="314" spans="1:23" x14ac:dyDescent="0.25">
      <c r="A314" s="3" t="s">
        <v>2027</v>
      </c>
      <c r="B314" s="3" t="s">
        <v>619</v>
      </c>
      <c r="C314" s="3"/>
      <c r="D314" s="3" t="s">
        <v>620</v>
      </c>
      <c r="E314" s="3">
        <v>28</v>
      </c>
      <c r="F314" s="3">
        <v>2.8</v>
      </c>
      <c r="G314" s="3">
        <v>0.4</v>
      </c>
      <c r="H314" s="3">
        <v>3.3</v>
      </c>
      <c r="I314" s="3">
        <v>1.51</v>
      </c>
      <c r="J314" s="3">
        <v>0.02</v>
      </c>
      <c r="K314" s="3">
        <v>0.24</v>
      </c>
      <c r="L314" s="3">
        <v>0.23</v>
      </c>
      <c r="M314" s="3">
        <v>0</v>
      </c>
      <c r="N314" s="3">
        <v>117</v>
      </c>
      <c r="O314" s="3">
        <v>76</v>
      </c>
      <c r="P314" s="3">
        <v>1.9</v>
      </c>
      <c r="Q314" s="3">
        <v>606</v>
      </c>
      <c r="R314" s="3">
        <v>14</v>
      </c>
      <c r="S314" s="3">
        <v>0.23</v>
      </c>
      <c r="T314" s="3">
        <v>44</v>
      </c>
      <c r="U314" s="3">
        <v>161</v>
      </c>
      <c r="V314" s="3">
        <v>80</v>
      </c>
      <c r="W314" s="3">
        <v>0</v>
      </c>
    </row>
    <row r="315" spans="1:23" x14ac:dyDescent="0.25">
      <c r="A315" s="3" t="s">
        <v>2027</v>
      </c>
      <c r="B315" s="3" t="s">
        <v>621</v>
      </c>
      <c r="C315" s="3"/>
      <c r="D315" s="3" t="s">
        <v>622</v>
      </c>
      <c r="E315" s="3">
        <v>41.93</v>
      </c>
      <c r="F315" s="3">
        <v>2.38</v>
      </c>
      <c r="G315" s="3">
        <v>0.41</v>
      </c>
      <c r="H315" s="3">
        <v>7.18</v>
      </c>
      <c r="I315" s="3">
        <v>3.3</v>
      </c>
      <c r="J315" s="3">
        <v>0.08</v>
      </c>
      <c r="K315" s="3">
        <v>0.04</v>
      </c>
      <c r="L315" s="3">
        <v>0.17</v>
      </c>
      <c r="M315" s="3">
        <v>0</v>
      </c>
      <c r="N315" s="3">
        <v>40</v>
      </c>
      <c r="O315" s="3">
        <v>67</v>
      </c>
      <c r="P315" s="3">
        <v>0.67</v>
      </c>
      <c r="Q315" s="3">
        <v>293</v>
      </c>
      <c r="R315" s="3">
        <v>41</v>
      </c>
      <c r="S315" s="3">
        <v>0.45</v>
      </c>
      <c r="T315" s="3">
        <v>65</v>
      </c>
      <c r="U315" s="3">
        <v>77</v>
      </c>
      <c r="V315" s="3">
        <v>108</v>
      </c>
      <c r="W315" s="3">
        <v>0</v>
      </c>
    </row>
    <row r="316" spans="1:23" x14ac:dyDescent="0.25">
      <c r="A316" s="3" t="s">
        <v>2027</v>
      </c>
      <c r="B316" s="3" t="s">
        <v>623</v>
      </c>
      <c r="C316" s="3"/>
      <c r="D316" s="3" t="s">
        <v>624</v>
      </c>
      <c r="E316" s="3">
        <v>41.17</v>
      </c>
      <c r="F316" s="3">
        <v>2.82</v>
      </c>
      <c r="G316" s="3">
        <v>0.37</v>
      </c>
      <c r="H316" s="3">
        <v>6.64</v>
      </c>
      <c r="I316" s="3">
        <v>2.6</v>
      </c>
      <c r="J316" s="3">
        <v>0.04</v>
      </c>
      <c r="K316" s="3">
        <v>0.01</v>
      </c>
      <c r="L316" s="3">
        <v>0.04</v>
      </c>
      <c r="M316" s="3">
        <v>0</v>
      </c>
      <c r="N316" s="3">
        <v>47</v>
      </c>
      <c r="O316" s="3">
        <v>66</v>
      </c>
      <c r="P316" s="3">
        <v>0.73</v>
      </c>
      <c r="Q316" s="3">
        <v>316</v>
      </c>
      <c r="R316" s="3">
        <v>33</v>
      </c>
      <c r="S316" s="3">
        <v>0.41</v>
      </c>
      <c r="T316" s="3">
        <v>89</v>
      </c>
      <c r="U316" s="3">
        <v>31</v>
      </c>
      <c r="V316" s="3">
        <v>63</v>
      </c>
      <c r="W316" s="3">
        <v>0</v>
      </c>
    </row>
    <row r="317" spans="1:23" x14ac:dyDescent="0.25">
      <c r="A317" s="3" t="s">
        <v>2027</v>
      </c>
      <c r="B317" s="3" t="s">
        <v>625</v>
      </c>
      <c r="C317" s="3"/>
      <c r="D317" s="3" t="s">
        <v>626</v>
      </c>
      <c r="E317" s="3">
        <v>38.39</v>
      </c>
      <c r="F317" s="3">
        <v>1.83</v>
      </c>
      <c r="G317" s="3">
        <v>0.19</v>
      </c>
      <c r="H317" s="3">
        <v>7.34</v>
      </c>
      <c r="I317" s="3">
        <v>2.6</v>
      </c>
      <c r="J317" s="3">
        <v>0.03</v>
      </c>
      <c r="K317" s="3">
        <v>0.03</v>
      </c>
      <c r="L317" s="3">
        <v>7.0000000000000007E-2</v>
      </c>
      <c r="M317" s="3">
        <v>0</v>
      </c>
      <c r="N317" s="3">
        <v>72</v>
      </c>
      <c r="O317" s="3">
        <v>37</v>
      </c>
      <c r="P317" s="3">
        <v>1.48</v>
      </c>
      <c r="Q317" s="3">
        <v>276</v>
      </c>
      <c r="R317" s="3">
        <v>16</v>
      </c>
      <c r="S317" s="3">
        <v>0.39</v>
      </c>
      <c r="T317" s="3">
        <v>18.8</v>
      </c>
      <c r="U317" s="3">
        <v>50</v>
      </c>
      <c r="V317" s="3">
        <v>64</v>
      </c>
      <c r="W317" s="3">
        <v>0</v>
      </c>
    </row>
    <row r="318" spans="1:23" x14ac:dyDescent="0.25">
      <c r="A318" s="3" t="s">
        <v>2027</v>
      </c>
      <c r="B318" s="3" t="s">
        <v>627</v>
      </c>
      <c r="C318" s="3"/>
      <c r="D318" s="3" t="s">
        <v>628</v>
      </c>
      <c r="E318" s="3">
        <v>42.66</v>
      </c>
      <c r="F318" s="3">
        <v>1.1000000000000001</v>
      </c>
      <c r="G318" s="3">
        <v>0.1</v>
      </c>
      <c r="H318" s="3">
        <v>9.34</v>
      </c>
      <c r="I318" s="3">
        <v>1.7</v>
      </c>
      <c r="J318" s="3">
        <v>0.04</v>
      </c>
      <c r="K318" s="3">
        <v>0.01</v>
      </c>
      <c r="L318" s="3">
        <v>0.02</v>
      </c>
      <c r="M318" s="3">
        <v>0</v>
      </c>
      <c r="N318" s="3">
        <v>23</v>
      </c>
      <c r="O318" s="3">
        <v>29</v>
      </c>
      <c r="P318" s="3">
        <v>0.21</v>
      </c>
      <c r="Q318" s="3">
        <v>146</v>
      </c>
      <c r="R318" s="3">
        <v>4</v>
      </c>
      <c r="S318" s="3">
        <v>0.17</v>
      </c>
      <c r="T318" s="3">
        <v>7.4</v>
      </c>
      <c r="U318" s="3">
        <v>0</v>
      </c>
      <c r="V318" s="3">
        <v>19</v>
      </c>
      <c r="W318" s="3">
        <v>0</v>
      </c>
    </row>
    <row r="319" spans="1:23" x14ac:dyDescent="0.25">
      <c r="A319" s="3" t="s">
        <v>2027</v>
      </c>
      <c r="B319" s="3" t="s">
        <v>629</v>
      </c>
      <c r="C319" s="3"/>
      <c r="D319" s="3" t="s">
        <v>630</v>
      </c>
      <c r="E319" s="3">
        <v>65.3</v>
      </c>
      <c r="F319" s="3">
        <v>1.5</v>
      </c>
      <c r="G319" s="3">
        <v>0.3</v>
      </c>
      <c r="H319" s="3">
        <v>14.15</v>
      </c>
      <c r="I319" s="3">
        <v>1.8</v>
      </c>
      <c r="J319" s="3">
        <v>0.04</v>
      </c>
      <c r="K319" s="3">
        <v>0</v>
      </c>
      <c r="L319" s="3">
        <v>0.17</v>
      </c>
      <c r="M319" s="3">
        <v>0</v>
      </c>
      <c r="N319" s="3">
        <v>59</v>
      </c>
      <c r="O319" s="3">
        <v>35</v>
      </c>
      <c r="P319" s="3">
        <v>2.1</v>
      </c>
      <c r="Q319" s="3">
        <v>180</v>
      </c>
      <c r="R319" s="3">
        <v>20</v>
      </c>
      <c r="S319" s="3">
        <v>0.12</v>
      </c>
      <c r="T319" s="3">
        <v>12</v>
      </c>
      <c r="U319" s="3">
        <v>83</v>
      </c>
      <c r="V319" s="3">
        <v>64</v>
      </c>
      <c r="W319" s="3">
        <v>0</v>
      </c>
    </row>
    <row r="320" spans="1:23" x14ac:dyDescent="0.25">
      <c r="A320" s="3" t="s">
        <v>2027</v>
      </c>
      <c r="B320" s="3" t="s">
        <v>631</v>
      </c>
      <c r="C320" s="3"/>
      <c r="D320" s="3" t="s">
        <v>632</v>
      </c>
      <c r="E320" s="3">
        <v>27.7</v>
      </c>
      <c r="F320" s="3">
        <v>0.8</v>
      </c>
      <c r="G320" s="3">
        <v>0.1</v>
      </c>
      <c r="H320" s="3">
        <v>5.9</v>
      </c>
      <c r="I320" s="3">
        <v>1.4</v>
      </c>
      <c r="J320" s="3"/>
      <c r="K320" s="3"/>
      <c r="L320" s="3"/>
      <c r="M320" s="3"/>
      <c r="N320" s="3">
        <v>20</v>
      </c>
      <c r="O320" s="3">
        <v>17</v>
      </c>
      <c r="P320" s="3">
        <v>1</v>
      </c>
      <c r="Q320" s="3"/>
      <c r="R320" s="3"/>
      <c r="S320" s="3">
        <v>0.16</v>
      </c>
      <c r="T320" s="3">
        <v>3.7</v>
      </c>
      <c r="U320" s="3">
        <v>0</v>
      </c>
      <c r="V320" s="3"/>
      <c r="W320" s="3"/>
    </row>
    <row r="321" spans="1:23" x14ac:dyDescent="0.25">
      <c r="A321" s="3" t="s">
        <v>2027</v>
      </c>
      <c r="B321" s="3" t="s">
        <v>633</v>
      </c>
      <c r="C321" s="3"/>
      <c r="D321" s="3" t="s">
        <v>634</v>
      </c>
      <c r="E321" s="3">
        <v>37.049999999999997</v>
      </c>
      <c r="F321" s="3">
        <v>3.27</v>
      </c>
      <c r="G321" s="3">
        <v>0.73</v>
      </c>
      <c r="H321" s="3">
        <v>4.3499999999999996</v>
      </c>
      <c r="I321" s="3">
        <v>2.5</v>
      </c>
      <c r="J321" s="3">
        <v>0.15</v>
      </c>
      <c r="K321" s="3">
        <v>0.1</v>
      </c>
      <c r="L321" s="3">
        <v>0.27</v>
      </c>
      <c r="M321" s="3">
        <v>0</v>
      </c>
      <c r="N321" s="3">
        <v>92</v>
      </c>
      <c r="O321" s="3">
        <v>58</v>
      </c>
      <c r="P321" s="3">
        <v>1.6</v>
      </c>
      <c r="Q321" s="3">
        <v>296</v>
      </c>
      <c r="R321" s="3">
        <v>3</v>
      </c>
      <c r="S321" s="3">
        <v>0.56000000000000005</v>
      </c>
      <c r="T321" s="3">
        <v>58.1</v>
      </c>
      <c r="U321" s="3">
        <v>218</v>
      </c>
      <c r="V321" s="3">
        <v>105</v>
      </c>
      <c r="W321" s="3">
        <v>0</v>
      </c>
    </row>
    <row r="322" spans="1:23" x14ac:dyDescent="0.25">
      <c r="A322" s="3" t="s">
        <v>2027</v>
      </c>
      <c r="B322" s="3" t="s">
        <v>635</v>
      </c>
      <c r="C322" s="3"/>
      <c r="D322" s="3" t="s">
        <v>636</v>
      </c>
      <c r="E322" s="3">
        <v>30.45</v>
      </c>
      <c r="F322" s="3">
        <v>1.87</v>
      </c>
      <c r="G322" s="3">
        <v>0.28999999999999998</v>
      </c>
      <c r="H322" s="3">
        <v>5.09</v>
      </c>
      <c r="I322" s="3">
        <v>2.4</v>
      </c>
      <c r="J322" s="3">
        <v>0.04</v>
      </c>
      <c r="K322" s="3">
        <v>0.01</v>
      </c>
      <c r="L322" s="3">
        <v>0.11</v>
      </c>
      <c r="M322" s="3">
        <v>0</v>
      </c>
      <c r="N322" s="3">
        <v>11</v>
      </c>
      <c r="O322" s="3">
        <v>66</v>
      </c>
      <c r="P322" s="3">
        <v>0.79</v>
      </c>
      <c r="Q322" s="3">
        <v>129</v>
      </c>
      <c r="R322" s="3">
        <v>425</v>
      </c>
      <c r="S322" s="3">
        <v>0.72</v>
      </c>
      <c r="T322" s="3">
        <v>0</v>
      </c>
      <c r="U322" s="3">
        <v>0</v>
      </c>
      <c r="V322" s="3">
        <v>12</v>
      </c>
      <c r="W322" s="3">
        <v>0</v>
      </c>
    </row>
    <row r="323" spans="1:23" x14ac:dyDescent="0.25">
      <c r="A323" s="3" t="s">
        <v>2027</v>
      </c>
      <c r="B323" s="3" t="s">
        <v>637</v>
      </c>
      <c r="C323" s="3"/>
      <c r="D323" s="3" t="s">
        <v>638</v>
      </c>
      <c r="E323" s="3">
        <v>27.07</v>
      </c>
      <c r="F323" s="3">
        <v>2.11</v>
      </c>
      <c r="G323" s="3">
        <v>0.35</v>
      </c>
      <c r="H323" s="3">
        <v>3.87</v>
      </c>
      <c r="I323" s="3">
        <v>1.3</v>
      </c>
      <c r="J323" s="3">
        <v>0.01</v>
      </c>
      <c r="K323" s="3">
        <v>0.04</v>
      </c>
      <c r="L323" s="3">
        <v>0.3</v>
      </c>
      <c r="M323" s="3">
        <v>0</v>
      </c>
      <c r="N323" s="3">
        <v>3</v>
      </c>
      <c r="O323" s="3">
        <v>108</v>
      </c>
      <c r="P323" s="3">
        <v>0.31</v>
      </c>
      <c r="Q323" s="3">
        <v>364</v>
      </c>
      <c r="R323" s="3">
        <v>9</v>
      </c>
      <c r="S323" s="3">
        <v>0.53</v>
      </c>
      <c r="T323" s="3">
        <v>0</v>
      </c>
      <c r="U323" s="3">
        <v>0</v>
      </c>
      <c r="V323" s="3">
        <v>28</v>
      </c>
      <c r="W323" s="3">
        <v>0.05</v>
      </c>
    </row>
    <row r="324" spans="1:23" x14ac:dyDescent="0.25">
      <c r="A324" s="3" t="s">
        <v>2027</v>
      </c>
      <c r="B324" s="3" t="s">
        <v>639</v>
      </c>
      <c r="C324" s="3"/>
      <c r="D324" s="3" t="s">
        <v>640</v>
      </c>
      <c r="E324" s="3">
        <v>73.94</v>
      </c>
      <c r="F324" s="3">
        <v>1.95</v>
      </c>
      <c r="G324" s="3">
        <v>0.5</v>
      </c>
      <c r="H324" s="3">
        <v>15.41</v>
      </c>
      <c r="I324" s="3">
        <v>1.7</v>
      </c>
      <c r="J324" s="3">
        <v>0.08</v>
      </c>
      <c r="K324" s="3">
        <v>0.14000000000000001</v>
      </c>
      <c r="L324" s="3">
        <v>0.23</v>
      </c>
      <c r="M324" s="3">
        <v>0</v>
      </c>
      <c r="N324" s="3">
        <v>4</v>
      </c>
      <c r="O324" s="3">
        <v>51</v>
      </c>
      <c r="P324" s="3">
        <v>0.41</v>
      </c>
      <c r="Q324" s="3">
        <v>164</v>
      </c>
      <c r="R324" s="3">
        <v>213</v>
      </c>
      <c r="S324" s="3">
        <v>0.36</v>
      </c>
      <c r="T324" s="3">
        <v>6</v>
      </c>
      <c r="U324" s="3">
        <v>3</v>
      </c>
      <c r="V324" s="3">
        <v>38</v>
      </c>
      <c r="W324" s="3">
        <v>0</v>
      </c>
    </row>
    <row r="325" spans="1:23" x14ac:dyDescent="0.25">
      <c r="A325" s="3" t="s">
        <v>2027</v>
      </c>
      <c r="B325" s="3" t="s">
        <v>641</v>
      </c>
      <c r="C325" s="3"/>
      <c r="D325" s="3" t="s">
        <v>642</v>
      </c>
      <c r="E325" s="3">
        <v>125.24</v>
      </c>
      <c r="F325" s="3">
        <v>3.32</v>
      </c>
      <c r="G325" s="3">
        <v>1.28</v>
      </c>
      <c r="H325" s="3">
        <v>25.11</v>
      </c>
      <c r="I325" s="3">
        <v>2.8</v>
      </c>
      <c r="J325" s="3">
        <v>0.2</v>
      </c>
      <c r="K325" s="3">
        <v>0.37</v>
      </c>
      <c r="L325" s="3">
        <v>0.6</v>
      </c>
      <c r="M325" s="3">
        <v>0</v>
      </c>
      <c r="N325" s="3">
        <v>2</v>
      </c>
      <c r="O325" s="3">
        <v>103</v>
      </c>
      <c r="P325" s="3">
        <v>0.61</v>
      </c>
      <c r="Q325" s="3">
        <v>249</v>
      </c>
      <c r="R325" s="3">
        <v>17</v>
      </c>
      <c r="S325" s="3">
        <v>0.48</v>
      </c>
      <c r="T325" s="3">
        <v>6</v>
      </c>
      <c r="U325" s="3">
        <v>13</v>
      </c>
      <c r="V325" s="3">
        <v>46</v>
      </c>
      <c r="W325" s="3">
        <v>0</v>
      </c>
    </row>
    <row r="326" spans="1:23" x14ac:dyDescent="0.25">
      <c r="A326" s="3" t="s">
        <v>2027</v>
      </c>
      <c r="B326" s="3" t="s">
        <v>643</v>
      </c>
      <c r="C326" s="3"/>
      <c r="D326" s="3" t="s">
        <v>644</v>
      </c>
      <c r="E326" s="3">
        <v>99.58</v>
      </c>
      <c r="F326" s="3">
        <v>3.22</v>
      </c>
      <c r="G326" s="3">
        <v>1.18</v>
      </c>
      <c r="H326" s="3">
        <v>19.02</v>
      </c>
      <c r="I326" s="3">
        <v>2.7</v>
      </c>
      <c r="J326" s="3">
        <v>0.18</v>
      </c>
      <c r="K326" s="3">
        <v>0.35</v>
      </c>
      <c r="L326" s="3">
        <v>0.56000000000000005</v>
      </c>
      <c r="M326" s="3">
        <v>0</v>
      </c>
      <c r="N326" s="3">
        <v>2</v>
      </c>
      <c r="O326" s="3">
        <v>89</v>
      </c>
      <c r="P326" s="3">
        <v>0.52</v>
      </c>
      <c r="Q326" s="3">
        <v>270</v>
      </c>
      <c r="R326" s="3">
        <v>15</v>
      </c>
      <c r="S326" s="3">
        <v>0.45</v>
      </c>
      <c r="T326" s="3">
        <v>7</v>
      </c>
      <c r="U326" s="3">
        <v>10</v>
      </c>
      <c r="V326" s="3">
        <v>46</v>
      </c>
      <c r="W326" s="3">
        <v>0</v>
      </c>
    </row>
    <row r="327" spans="1:23" x14ac:dyDescent="0.25">
      <c r="A327" s="3" t="s">
        <v>2027</v>
      </c>
      <c r="B327" s="3" t="s">
        <v>645</v>
      </c>
      <c r="C327" s="3"/>
      <c r="D327" s="3" t="s">
        <v>646</v>
      </c>
      <c r="E327" s="3">
        <v>113.9</v>
      </c>
      <c r="F327" s="3">
        <v>3.1</v>
      </c>
      <c r="G327" s="3">
        <v>0.7</v>
      </c>
      <c r="H327" s="3">
        <v>23.8</v>
      </c>
      <c r="I327" s="3"/>
      <c r="J327" s="3">
        <v>0.18</v>
      </c>
      <c r="K327" s="3">
        <v>0.34</v>
      </c>
      <c r="L327" s="3">
        <v>0.54</v>
      </c>
      <c r="M327" s="3">
        <v>0</v>
      </c>
      <c r="N327" s="3">
        <v>24</v>
      </c>
      <c r="O327" s="3">
        <v>270</v>
      </c>
      <c r="P327" s="3">
        <v>0.5</v>
      </c>
      <c r="Q327" s="3">
        <v>270</v>
      </c>
      <c r="R327" s="3">
        <v>15</v>
      </c>
      <c r="S327" s="3">
        <v>0.45</v>
      </c>
      <c r="T327" s="3">
        <v>8</v>
      </c>
      <c r="U327" s="3">
        <v>0</v>
      </c>
      <c r="V327" s="3"/>
      <c r="W327" s="3">
        <v>0</v>
      </c>
    </row>
    <row r="328" spans="1:23" x14ac:dyDescent="0.25">
      <c r="A328" s="3" t="s">
        <v>2027</v>
      </c>
      <c r="B328" s="3" t="s">
        <v>647</v>
      </c>
      <c r="C328" s="3"/>
      <c r="D328" s="3" t="s">
        <v>648</v>
      </c>
      <c r="E328" s="3">
        <v>43.1</v>
      </c>
      <c r="F328" s="3">
        <v>2.5499999999999998</v>
      </c>
      <c r="G328" s="3">
        <v>0.5</v>
      </c>
      <c r="H328" s="3">
        <v>7.1</v>
      </c>
      <c r="I328" s="3">
        <v>2.6</v>
      </c>
      <c r="J328" s="3">
        <v>0.1</v>
      </c>
      <c r="K328" s="3">
        <v>0.04</v>
      </c>
      <c r="L328" s="3">
        <v>0.26</v>
      </c>
      <c r="M328" s="3">
        <v>0</v>
      </c>
      <c r="N328" s="3">
        <v>36</v>
      </c>
      <c r="O328" s="3">
        <v>56</v>
      </c>
      <c r="P328" s="3">
        <v>1.2</v>
      </c>
      <c r="Q328" s="3">
        <v>317</v>
      </c>
      <c r="R328" s="3">
        <v>21</v>
      </c>
      <c r="S328" s="3">
        <v>0.33</v>
      </c>
      <c r="T328" s="3">
        <v>62</v>
      </c>
      <c r="U328" s="3">
        <v>39</v>
      </c>
      <c r="V328" s="3">
        <v>60</v>
      </c>
      <c r="W328" s="3">
        <v>0</v>
      </c>
    </row>
    <row r="329" spans="1:23" x14ac:dyDescent="0.25">
      <c r="A329" s="3" t="s">
        <v>2027</v>
      </c>
      <c r="B329" s="3" t="s">
        <v>649</v>
      </c>
      <c r="C329" s="3"/>
      <c r="D329" s="3" t="s">
        <v>650</v>
      </c>
      <c r="E329" s="3">
        <v>52.02</v>
      </c>
      <c r="F329" s="3">
        <v>3.38</v>
      </c>
      <c r="G329" s="3">
        <v>0.3</v>
      </c>
      <c r="H329" s="3">
        <v>8.9499999999999993</v>
      </c>
      <c r="I329" s="3">
        <v>3.8</v>
      </c>
      <c r="J329" s="3">
        <v>0.06</v>
      </c>
      <c r="K329" s="3">
        <v>0.02</v>
      </c>
      <c r="L329" s="3">
        <v>0.15</v>
      </c>
      <c r="M329" s="3">
        <v>0</v>
      </c>
      <c r="N329" s="3">
        <v>42</v>
      </c>
      <c r="O329" s="3">
        <v>69</v>
      </c>
      <c r="P329" s="3">
        <v>1.4</v>
      </c>
      <c r="Q329" s="3">
        <v>389</v>
      </c>
      <c r="R329" s="3">
        <v>25</v>
      </c>
      <c r="S329" s="3">
        <v>0.42</v>
      </c>
      <c r="T329" s="3">
        <v>85</v>
      </c>
      <c r="U329" s="3">
        <v>38</v>
      </c>
      <c r="V329" s="3">
        <v>61</v>
      </c>
      <c r="W329" s="3">
        <v>0</v>
      </c>
    </row>
    <row r="330" spans="1:23" x14ac:dyDescent="0.25">
      <c r="A330" s="3" t="s">
        <v>2027</v>
      </c>
      <c r="B330" s="3" t="s">
        <v>651</v>
      </c>
      <c r="C330" s="3"/>
      <c r="D330" s="3" t="s">
        <v>652</v>
      </c>
      <c r="E330" s="3">
        <v>34.61</v>
      </c>
      <c r="F330" s="3">
        <v>1.51</v>
      </c>
      <c r="G330" s="3">
        <v>0.09</v>
      </c>
      <c r="H330" s="3">
        <v>6.94</v>
      </c>
      <c r="I330" s="3">
        <v>2.6</v>
      </c>
      <c r="J330" s="3">
        <v>0.01</v>
      </c>
      <c r="K330" s="3">
        <v>0.01</v>
      </c>
      <c r="L330" s="3">
        <v>0.04</v>
      </c>
      <c r="M330" s="3">
        <v>0</v>
      </c>
      <c r="N330" s="3">
        <v>42</v>
      </c>
      <c r="O330" s="3">
        <v>33</v>
      </c>
      <c r="P330" s="3">
        <v>0.66</v>
      </c>
      <c r="Q330" s="3">
        <v>262</v>
      </c>
      <c r="R330" s="3">
        <v>28</v>
      </c>
      <c r="S330" s="3">
        <v>0.25</v>
      </c>
      <c r="T330" s="3">
        <v>34.4</v>
      </c>
      <c r="U330" s="3">
        <v>2</v>
      </c>
      <c r="V330" s="3">
        <v>24</v>
      </c>
      <c r="W330" s="3">
        <v>0</v>
      </c>
    </row>
    <row r="331" spans="1:23" x14ac:dyDescent="0.25">
      <c r="A331" s="3" t="s">
        <v>2027</v>
      </c>
      <c r="B331" s="3" t="s">
        <v>653</v>
      </c>
      <c r="C331" s="3"/>
      <c r="D331" s="3" t="s">
        <v>654</v>
      </c>
      <c r="E331" s="3">
        <v>36.64</v>
      </c>
      <c r="F331" s="3">
        <v>1.43</v>
      </c>
      <c r="G331" s="3">
        <v>0.16</v>
      </c>
      <c r="H331" s="3">
        <v>7.37</v>
      </c>
      <c r="I331" s="3">
        <v>2.1</v>
      </c>
      <c r="J331" s="3">
        <v>0.02</v>
      </c>
      <c r="K331" s="3">
        <v>0.01</v>
      </c>
      <c r="L331" s="3">
        <v>0.08</v>
      </c>
      <c r="M331" s="3">
        <v>0</v>
      </c>
      <c r="N331" s="3">
        <v>45</v>
      </c>
      <c r="O331" s="3">
        <v>30</v>
      </c>
      <c r="P331" s="3">
        <v>0.8</v>
      </c>
      <c r="Q331" s="3">
        <v>243</v>
      </c>
      <c r="R331" s="3">
        <v>27</v>
      </c>
      <c r="S331" s="3">
        <v>0.22</v>
      </c>
      <c r="T331" s="3">
        <v>57</v>
      </c>
      <c r="U331" s="3">
        <v>56</v>
      </c>
      <c r="V331" s="3">
        <v>18</v>
      </c>
      <c r="W331" s="3">
        <v>0</v>
      </c>
    </row>
    <row r="332" spans="1:23" x14ac:dyDescent="0.25">
      <c r="A332" s="3" t="s">
        <v>2027</v>
      </c>
      <c r="B332" s="3" t="s">
        <v>655</v>
      </c>
      <c r="C332" s="3"/>
      <c r="D332" s="3" t="s">
        <v>656</v>
      </c>
      <c r="E332" s="3">
        <v>25.79</v>
      </c>
      <c r="F332" s="3">
        <v>1.02</v>
      </c>
      <c r="G332" s="3">
        <v>0.43</v>
      </c>
      <c r="H332" s="3">
        <v>4.46</v>
      </c>
      <c r="I332" s="3">
        <v>1.9</v>
      </c>
      <c r="J332" s="3">
        <v>0.05</v>
      </c>
      <c r="K332" s="3">
        <v>0.03</v>
      </c>
      <c r="L332" s="3">
        <v>0.2</v>
      </c>
      <c r="M332" s="3">
        <v>0</v>
      </c>
      <c r="N332" s="3">
        <v>31</v>
      </c>
      <c r="O332" s="3">
        <v>15</v>
      </c>
      <c r="P332" s="3">
        <v>0.17</v>
      </c>
      <c r="Q332" s="3">
        <v>97</v>
      </c>
      <c r="R332" s="3">
        <v>8</v>
      </c>
      <c r="S332" s="3">
        <v>0.09</v>
      </c>
      <c r="T332" s="3">
        <v>20</v>
      </c>
      <c r="U332" s="3">
        <v>7</v>
      </c>
      <c r="V332" s="3">
        <v>20</v>
      </c>
      <c r="W332" s="3">
        <v>0</v>
      </c>
    </row>
    <row r="333" spans="1:23" x14ac:dyDescent="0.25">
      <c r="A333" s="3" t="s">
        <v>2027</v>
      </c>
      <c r="B333" s="3" t="s">
        <v>657</v>
      </c>
      <c r="C333" s="3"/>
      <c r="D333" s="3" t="s">
        <v>658</v>
      </c>
      <c r="E333" s="3">
        <v>27.94</v>
      </c>
      <c r="F333" s="3">
        <v>1.21</v>
      </c>
      <c r="G333" s="3">
        <v>0.18</v>
      </c>
      <c r="H333" s="3">
        <v>5.37</v>
      </c>
      <c r="I333" s="3">
        <v>2.2999999999999998</v>
      </c>
      <c r="J333" s="3">
        <v>0.02</v>
      </c>
      <c r="K333" s="3">
        <v>0.01</v>
      </c>
      <c r="L333" s="3">
        <v>0.09</v>
      </c>
      <c r="M333" s="3">
        <v>0</v>
      </c>
      <c r="N333" s="3">
        <v>47</v>
      </c>
      <c r="O333" s="3">
        <v>23</v>
      </c>
      <c r="P333" s="3">
        <v>0.56000000000000005</v>
      </c>
      <c r="Q333" s="3">
        <v>246</v>
      </c>
      <c r="R333" s="3">
        <v>18</v>
      </c>
      <c r="S333" s="3">
        <v>0.18</v>
      </c>
      <c r="T333" s="3">
        <v>51</v>
      </c>
      <c r="U333" s="3">
        <v>6</v>
      </c>
      <c r="V333" s="3">
        <v>57</v>
      </c>
      <c r="W333" s="3">
        <v>0</v>
      </c>
    </row>
    <row r="334" spans="1:23" x14ac:dyDescent="0.25">
      <c r="A334" s="3" t="s">
        <v>2027</v>
      </c>
      <c r="B334" s="3" t="s">
        <v>659</v>
      </c>
      <c r="C334" s="3"/>
      <c r="D334" s="3" t="s">
        <v>660</v>
      </c>
      <c r="E334" s="3">
        <v>30.02</v>
      </c>
      <c r="F334" s="3">
        <v>1.98</v>
      </c>
      <c r="G334" s="3">
        <v>0.1</v>
      </c>
      <c r="H334" s="3">
        <v>5.3</v>
      </c>
      <c r="I334" s="3">
        <v>2.5</v>
      </c>
      <c r="J334" s="3">
        <v>0.03</v>
      </c>
      <c r="K334" s="3">
        <v>0.01</v>
      </c>
      <c r="L334" s="3">
        <v>0.1</v>
      </c>
      <c r="M334" s="3">
        <v>0</v>
      </c>
      <c r="N334" s="3">
        <v>22</v>
      </c>
      <c r="O334" s="3">
        <v>44</v>
      </c>
      <c r="P334" s="3">
        <v>0.44</v>
      </c>
      <c r="Q334" s="3">
        <v>303</v>
      </c>
      <c r="R334" s="3">
        <v>30</v>
      </c>
      <c r="S334" s="3">
        <v>0.28000000000000003</v>
      </c>
      <c r="T334" s="3">
        <v>46</v>
      </c>
      <c r="U334" s="3">
        <v>1</v>
      </c>
      <c r="V334" s="3">
        <v>57</v>
      </c>
      <c r="W334" s="3">
        <v>0</v>
      </c>
    </row>
    <row r="335" spans="1:23" x14ac:dyDescent="0.25">
      <c r="A335" s="3" t="s">
        <v>2027</v>
      </c>
      <c r="B335" s="3" t="s">
        <v>661</v>
      </c>
      <c r="C335" s="3"/>
      <c r="D335" s="3" t="s">
        <v>662</v>
      </c>
      <c r="E335" s="3">
        <v>27.85</v>
      </c>
      <c r="F335" s="3">
        <v>1.84</v>
      </c>
      <c r="G335" s="3">
        <v>0.45</v>
      </c>
      <c r="H335" s="3">
        <v>4.1100000000000003</v>
      </c>
      <c r="I335" s="3">
        <v>2.7</v>
      </c>
      <c r="J335" s="3">
        <v>7.0000000000000007E-2</v>
      </c>
      <c r="K335" s="3">
        <v>0.03</v>
      </c>
      <c r="L335" s="3">
        <v>0.22</v>
      </c>
      <c r="M335" s="3">
        <v>0</v>
      </c>
      <c r="N335" s="3">
        <v>16</v>
      </c>
      <c r="O335" s="3">
        <v>32</v>
      </c>
      <c r="P335" s="3">
        <v>0.33</v>
      </c>
      <c r="Q335" s="3">
        <v>142</v>
      </c>
      <c r="R335" s="3">
        <v>15</v>
      </c>
      <c r="S335" s="3">
        <v>0.18</v>
      </c>
      <c r="T335" s="3">
        <v>44</v>
      </c>
      <c r="U335" s="3">
        <v>1</v>
      </c>
      <c r="V335" s="3">
        <v>44</v>
      </c>
      <c r="W335" s="3">
        <v>0</v>
      </c>
    </row>
    <row r="336" spans="1:23" x14ac:dyDescent="0.25">
      <c r="A336" s="3" t="s">
        <v>2027</v>
      </c>
      <c r="B336" s="3" t="s">
        <v>663</v>
      </c>
      <c r="C336" s="3"/>
      <c r="D336" s="3" t="s">
        <v>664</v>
      </c>
      <c r="E336" s="3">
        <v>12.4</v>
      </c>
      <c r="F336" s="3">
        <v>2.02</v>
      </c>
      <c r="G336" s="3">
        <v>0.48</v>
      </c>
      <c r="H336" s="3"/>
      <c r="I336" s="3">
        <v>2.81</v>
      </c>
      <c r="J336" s="3"/>
      <c r="K336" s="3"/>
      <c r="L336" s="3"/>
      <c r="M336" s="3">
        <v>0</v>
      </c>
      <c r="N336" s="3">
        <v>67</v>
      </c>
      <c r="O336" s="3">
        <v>54</v>
      </c>
      <c r="P336" s="3">
        <v>1.68</v>
      </c>
      <c r="Q336" s="3">
        <v>510</v>
      </c>
      <c r="R336" s="3">
        <v>54</v>
      </c>
      <c r="S336" s="3">
        <v>0.05</v>
      </c>
      <c r="T336" s="3">
        <v>35.299999999999997</v>
      </c>
      <c r="U336" s="3">
        <v>6130</v>
      </c>
      <c r="V336" s="3"/>
      <c r="W336" s="3">
        <v>0</v>
      </c>
    </row>
    <row r="337" spans="1:23" x14ac:dyDescent="0.25">
      <c r="A337" s="3" t="s">
        <v>2027</v>
      </c>
      <c r="B337" s="3" t="s">
        <v>665</v>
      </c>
      <c r="C337" s="3"/>
      <c r="D337" s="3" t="s">
        <v>666</v>
      </c>
      <c r="E337" s="3">
        <v>25.4</v>
      </c>
      <c r="F337" s="3">
        <v>2.2000000000000002</v>
      </c>
      <c r="G337" s="3">
        <v>0.12</v>
      </c>
      <c r="H337" s="3">
        <v>3.88</v>
      </c>
      <c r="I337" s="3">
        <v>2.1</v>
      </c>
      <c r="J337" s="3">
        <v>0.05</v>
      </c>
      <c r="K337" s="3">
        <v>0.01</v>
      </c>
      <c r="L337" s="3">
        <v>0.09</v>
      </c>
      <c r="M337" s="3">
        <v>0</v>
      </c>
      <c r="N337" s="3">
        <v>24</v>
      </c>
      <c r="O337" s="3">
        <v>52</v>
      </c>
      <c r="P337" s="3">
        <v>2.14</v>
      </c>
      <c r="Q337" s="3">
        <v>202</v>
      </c>
      <c r="R337" s="3">
        <v>2</v>
      </c>
      <c r="S337" s="3">
        <v>0.54</v>
      </c>
      <c r="T337" s="3">
        <v>6</v>
      </c>
      <c r="U337" s="3">
        <v>38</v>
      </c>
      <c r="V337" s="3">
        <v>52</v>
      </c>
      <c r="W337" s="3">
        <v>0</v>
      </c>
    </row>
    <row r="338" spans="1:23" x14ac:dyDescent="0.25">
      <c r="A338" s="3" t="s">
        <v>2027</v>
      </c>
      <c r="B338" s="3" t="s">
        <v>667</v>
      </c>
      <c r="C338" s="3"/>
      <c r="D338" s="3" t="s">
        <v>668</v>
      </c>
      <c r="E338" s="3">
        <v>18.739999999999998</v>
      </c>
      <c r="F338" s="3">
        <v>1.8</v>
      </c>
      <c r="G338" s="3">
        <v>0.18</v>
      </c>
      <c r="H338" s="3">
        <v>2.48</v>
      </c>
      <c r="I338" s="3">
        <v>1</v>
      </c>
      <c r="J338" s="3">
        <v>0.04</v>
      </c>
      <c r="K338" s="3">
        <v>0.01</v>
      </c>
      <c r="L338" s="3">
        <v>0.09</v>
      </c>
      <c r="M338" s="3">
        <v>0</v>
      </c>
      <c r="N338" s="3">
        <v>15</v>
      </c>
      <c r="O338" s="3">
        <v>38</v>
      </c>
      <c r="P338" s="3">
        <v>0.6</v>
      </c>
      <c r="Q338" s="3">
        <v>172</v>
      </c>
      <c r="R338" s="3">
        <v>284</v>
      </c>
      <c r="S338" s="3">
        <v>0.47</v>
      </c>
      <c r="T338" s="3">
        <v>16.5</v>
      </c>
      <c r="U338" s="3">
        <v>157.80000000000001</v>
      </c>
      <c r="V338" s="3">
        <v>85</v>
      </c>
      <c r="W338" s="3">
        <v>0</v>
      </c>
    </row>
    <row r="339" spans="1:23" x14ac:dyDescent="0.25">
      <c r="A339" s="3" t="s">
        <v>2027</v>
      </c>
      <c r="B339" s="3" t="s">
        <v>669</v>
      </c>
      <c r="C339" s="3"/>
      <c r="D339" s="3" t="s">
        <v>670</v>
      </c>
      <c r="E339" s="3">
        <v>28.02</v>
      </c>
      <c r="F339" s="3">
        <v>2.4</v>
      </c>
      <c r="G339" s="3">
        <v>0.22</v>
      </c>
      <c r="H339" s="3">
        <v>4.1100000000000003</v>
      </c>
      <c r="I339" s="3">
        <v>2</v>
      </c>
      <c r="J339" s="3">
        <v>0.05</v>
      </c>
      <c r="K339" s="3">
        <v>0</v>
      </c>
      <c r="L339" s="3">
        <v>0.11</v>
      </c>
      <c r="M339" s="3">
        <v>0</v>
      </c>
      <c r="N339" s="3">
        <v>23</v>
      </c>
      <c r="O339" s="3">
        <v>54</v>
      </c>
      <c r="P339" s="3">
        <v>0.91</v>
      </c>
      <c r="Q339" s="3">
        <v>224</v>
      </c>
      <c r="R339" s="3">
        <v>14</v>
      </c>
      <c r="S339" s="3">
        <v>0.6</v>
      </c>
      <c r="T339" s="3">
        <v>7.7</v>
      </c>
      <c r="U339" s="3">
        <v>50</v>
      </c>
      <c r="V339" s="3">
        <v>149</v>
      </c>
      <c r="W339" s="3">
        <v>0</v>
      </c>
    </row>
    <row r="340" spans="1:23" x14ac:dyDescent="0.25">
      <c r="A340" s="3" t="s">
        <v>2027</v>
      </c>
      <c r="B340" s="3" t="s">
        <v>671</v>
      </c>
      <c r="C340" s="3"/>
      <c r="D340" s="3" t="s">
        <v>672</v>
      </c>
      <c r="E340" s="3">
        <v>29.47</v>
      </c>
      <c r="F340" s="3">
        <v>2.86</v>
      </c>
      <c r="G340" s="3">
        <v>0.39</v>
      </c>
      <c r="H340" s="3">
        <v>3.63</v>
      </c>
      <c r="I340" s="3">
        <v>2.2000000000000002</v>
      </c>
      <c r="J340" s="3">
        <v>0.06</v>
      </c>
      <c r="K340" s="3">
        <v>0.01</v>
      </c>
      <c r="L340" s="3">
        <v>0.17</v>
      </c>
      <c r="M340" s="3">
        <v>0</v>
      </c>
      <c r="N340" s="3">
        <v>99</v>
      </c>
      <c r="O340" s="3">
        <v>49</v>
      </c>
      <c r="P340" s="3">
        <v>2.71</v>
      </c>
      <c r="Q340" s="3">
        <v>558</v>
      </c>
      <c r="R340" s="3">
        <v>79</v>
      </c>
      <c r="S340" s="3">
        <v>0.53</v>
      </c>
      <c r="T340" s="3">
        <v>28</v>
      </c>
      <c r="U340" s="3">
        <v>469</v>
      </c>
      <c r="V340" s="3">
        <v>194</v>
      </c>
      <c r="W340" s="3">
        <v>0</v>
      </c>
    </row>
    <row r="341" spans="1:23" x14ac:dyDescent="0.25">
      <c r="A341" s="3" t="s">
        <v>2027</v>
      </c>
      <c r="B341" s="3" t="s">
        <v>673</v>
      </c>
      <c r="C341" s="3"/>
      <c r="D341" s="3" t="s">
        <v>674</v>
      </c>
      <c r="E341" s="3">
        <v>29.22</v>
      </c>
      <c r="F341" s="3">
        <v>2.97</v>
      </c>
      <c r="G341" s="3">
        <v>0.26</v>
      </c>
      <c r="H341" s="3">
        <v>3.75</v>
      </c>
      <c r="I341" s="3">
        <v>2.4</v>
      </c>
      <c r="J341" s="3">
        <v>0.04</v>
      </c>
      <c r="K341" s="3">
        <v>0.01</v>
      </c>
      <c r="L341" s="3">
        <v>0.11</v>
      </c>
      <c r="M341" s="3">
        <v>0</v>
      </c>
      <c r="N341" s="3">
        <v>136</v>
      </c>
      <c r="O341" s="3">
        <v>56</v>
      </c>
      <c r="P341" s="3">
        <v>3.57</v>
      </c>
      <c r="Q341" s="3">
        <v>466</v>
      </c>
      <c r="R341" s="3">
        <v>70</v>
      </c>
      <c r="S341" s="3">
        <v>0.76</v>
      </c>
      <c r="T341" s="3">
        <v>10</v>
      </c>
      <c r="U341" s="3">
        <v>524</v>
      </c>
      <c r="V341" s="3">
        <v>146</v>
      </c>
      <c r="W341" s="3">
        <v>0</v>
      </c>
    </row>
    <row r="342" spans="1:23" x14ac:dyDescent="0.25">
      <c r="A342" s="3" t="s">
        <v>2027</v>
      </c>
      <c r="B342" s="3" t="s">
        <v>675</v>
      </c>
      <c r="C342" s="3"/>
      <c r="D342" s="3" t="s">
        <v>676</v>
      </c>
      <c r="E342" s="3">
        <v>162.6</v>
      </c>
      <c r="F342" s="3">
        <v>9.6999999999999993</v>
      </c>
      <c r="G342" s="3">
        <v>0.6</v>
      </c>
      <c r="H342" s="3">
        <v>29.6</v>
      </c>
      <c r="I342" s="3">
        <v>14</v>
      </c>
      <c r="J342" s="3"/>
      <c r="K342" s="3"/>
      <c r="L342" s="3"/>
      <c r="M342" s="3"/>
      <c r="N342" s="3">
        <v>60</v>
      </c>
      <c r="O342" s="3">
        <v>287</v>
      </c>
      <c r="P342" s="3">
        <v>2.1800000000000002</v>
      </c>
      <c r="Q342" s="3"/>
      <c r="R342" s="3">
        <v>3</v>
      </c>
      <c r="S342" s="3"/>
      <c r="T342" s="3">
        <v>5.22</v>
      </c>
      <c r="U342" s="3">
        <v>0</v>
      </c>
      <c r="V342" s="3"/>
      <c r="W342" s="3"/>
    </row>
    <row r="343" spans="1:23" x14ac:dyDescent="0.25">
      <c r="A343" s="3" t="s">
        <v>2027</v>
      </c>
      <c r="B343" s="3" t="s">
        <v>677</v>
      </c>
      <c r="C343" s="3"/>
      <c r="D343" s="3" t="s">
        <v>678</v>
      </c>
      <c r="E343" s="3">
        <v>153.1</v>
      </c>
      <c r="F343" s="3">
        <v>9.8000000000000007</v>
      </c>
      <c r="G343" s="3">
        <v>0.3</v>
      </c>
      <c r="H343" s="3">
        <v>27.8</v>
      </c>
      <c r="I343" s="3"/>
      <c r="J343" s="3"/>
      <c r="K343" s="3"/>
      <c r="L343" s="3"/>
      <c r="M343" s="3"/>
      <c r="N343" s="3">
        <v>59</v>
      </c>
      <c r="O343" s="3">
        <v>213</v>
      </c>
      <c r="P343" s="3">
        <v>3.6</v>
      </c>
      <c r="Q343" s="3"/>
      <c r="R343" s="3"/>
      <c r="S343" s="3"/>
      <c r="T343" s="3">
        <v>7</v>
      </c>
      <c r="U343" s="3">
        <v>12</v>
      </c>
      <c r="V343" s="3"/>
      <c r="W343" s="3"/>
    </row>
    <row r="344" spans="1:23" x14ac:dyDescent="0.25">
      <c r="A344" s="3" t="s">
        <v>2027</v>
      </c>
      <c r="B344" s="3" t="s">
        <v>679</v>
      </c>
      <c r="C344" s="3"/>
      <c r="D344" s="3" t="s">
        <v>680</v>
      </c>
      <c r="E344" s="3">
        <v>74.599999999999994</v>
      </c>
      <c r="F344" s="3">
        <v>5.6</v>
      </c>
      <c r="G344" s="3">
        <v>0.6</v>
      </c>
      <c r="H344" s="3">
        <v>11.7</v>
      </c>
      <c r="I344" s="3">
        <v>4.2</v>
      </c>
      <c r="J344" s="3">
        <v>0.14000000000000001</v>
      </c>
      <c r="K344" s="3">
        <v>0.02</v>
      </c>
      <c r="L344" s="3">
        <v>0.31</v>
      </c>
      <c r="M344" s="3">
        <v>0</v>
      </c>
      <c r="N344" s="3">
        <v>22</v>
      </c>
      <c r="O344" s="3">
        <v>95</v>
      </c>
      <c r="P344" s="3">
        <v>1.9</v>
      </c>
      <c r="Q344" s="3">
        <v>250</v>
      </c>
      <c r="R344" s="3">
        <v>50</v>
      </c>
      <c r="S344" s="3">
        <v>0.57999999999999996</v>
      </c>
      <c r="T344" s="3">
        <v>33</v>
      </c>
      <c r="U344" s="3">
        <v>18</v>
      </c>
      <c r="V344" s="3">
        <v>96</v>
      </c>
      <c r="W344" s="3">
        <v>0</v>
      </c>
    </row>
    <row r="345" spans="1:23" x14ac:dyDescent="0.25">
      <c r="A345" s="3" t="s">
        <v>2027</v>
      </c>
      <c r="B345" s="3" t="s">
        <v>681</v>
      </c>
      <c r="C345" s="3"/>
      <c r="D345" s="3" t="s">
        <v>682</v>
      </c>
      <c r="E345" s="3">
        <v>34.07</v>
      </c>
      <c r="F345" s="3">
        <v>2.17</v>
      </c>
      <c r="G345" s="3">
        <v>0.47</v>
      </c>
      <c r="H345" s="3">
        <v>5.29</v>
      </c>
      <c r="I345" s="3">
        <v>2.2000000000000002</v>
      </c>
      <c r="J345" s="3">
        <v>0.06</v>
      </c>
      <c r="K345" s="3">
        <v>0.01</v>
      </c>
      <c r="L345" s="3">
        <v>0.18</v>
      </c>
      <c r="M345" s="3">
        <v>0</v>
      </c>
      <c r="N345" s="3">
        <v>6</v>
      </c>
      <c r="O345" s="3">
        <v>87</v>
      </c>
      <c r="P345" s="3">
        <v>1.74</v>
      </c>
      <c r="Q345" s="3">
        <v>356</v>
      </c>
      <c r="R345" s="3">
        <v>2</v>
      </c>
      <c r="S345" s="3">
        <v>0.87</v>
      </c>
      <c r="T345" s="3">
        <v>4</v>
      </c>
      <c r="U345" s="3">
        <v>0</v>
      </c>
      <c r="V345" s="3">
        <v>18</v>
      </c>
      <c r="W345" s="3">
        <v>0</v>
      </c>
    </row>
    <row r="346" spans="1:23" x14ac:dyDescent="0.25">
      <c r="A346" s="3" t="s">
        <v>2027</v>
      </c>
      <c r="B346" s="3" t="s">
        <v>683</v>
      </c>
      <c r="C346" s="3"/>
      <c r="D346" s="3" t="s">
        <v>684</v>
      </c>
      <c r="E346" s="3">
        <v>28.54</v>
      </c>
      <c r="F346" s="3">
        <v>3.09</v>
      </c>
      <c r="G346" s="3">
        <v>0.34</v>
      </c>
      <c r="H346" s="3">
        <v>3.28</v>
      </c>
      <c r="I346" s="3">
        <v>1</v>
      </c>
      <c r="J346" s="3">
        <v>0.05</v>
      </c>
      <c r="K346" s="3">
        <v>0</v>
      </c>
      <c r="L346" s="3">
        <v>0.16</v>
      </c>
      <c r="M346" s="3">
        <v>0</v>
      </c>
      <c r="N346" s="3">
        <v>3</v>
      </c>
      <c r="O346" s="3">
        <v>86</v>
      </c>
      <c r="P346" s="3">
        <v>0.5</v>
      </c>
      <c r="Q346" s="3">
        <v>318</v>
      </c>
      <c r="R346" s="3">
        <v>5</v>
      </c>
      <c r="S346" s="3">
        <v>0.52</v>
      </c>
      <c r="T346" s="3">
        <v>2</v>
      </c>
      <c r="U346" s="3">
        <v>0</v>
      </c>
      <c r="V346" s="3">
        <v>16</v>
      </c>
      <c r="W346" s="3">
        <v>0.04</v>
      </c>
    </row>
    <row r="347" spans="1:23" x14ac:dyDescent="0.25">
      <c r="A347" s="3" t="s">
        <v>2027</v>
      </c>
      <c r="B347" s="3" t="s">
        <v>685</v>
      </c>
      <c r="C347" s="3"/>
      <c r="D347" s="3" t="s">
        <v>686</v>
      </c>
      <c r="E347" s="3">
        <v>38.97</v>
      </c>
      <c r="F347" s="3">
        <v>0.72</v>
      </c>
      <c r="G347" s="3">
        <v>0.09</v>
      </c>
      <c r="H347" s="3">
        <v>8.82</v>
      </c>
      <c r="I347" s="3">
        <v>4.9000000000000004</v>
      </c>
      <c r="J347" s="3">
        <v>0.02</v>
      </c>
      <c r="K347" s="3">
        <v>0.01</v>
      </c>
      <c r="L347" s="3">
        <v>0.04</v>
      </c>
      <c r="M347" s="3">
        <v>0</v>
      </c>
      <c r="N347" s="3">
        <v>12</v>
      </c>
      <c r="O347" s="3">
        <v>18</v>
      </c>
      <c r="P347" s="3">
        <v>0.6</v>
      </c>
      <c r="Q347" s="3">
        <v>150</v>
      </c>
      <c r="R347" s="3">
        <v>4</v>
      </c>
      <c r="S347" s="3">
        <v>0.16</v>
      </c>
      <c r="T347" s="3">
        <v>20.2</v>
      </c>
      <c r="U347" s="3">
        <v>1</v>
      </c>
      <c r="V347" s="3">
        <v>12</v>
      </c>
      <c r="W347" s="3">
        <v>0</v>
      </c>
    </row>
    <row r="348" spans="1:23" x14ac:dyDescent="0.25">
      <c r="A348" s="3" t="s">
        <v>2027</v>
      </c>
      <c r="B348" s="3" t="s">
        <v>687</v>
      </c>
      <c r="C348" s="3"/>
      <c r="D348" s="3" t="s">
        <v>688</v>
      </c>
      <c r="E348" s="3">
        <v>16.739999999999998</v>
      </c>
      <c r="F348" s="3">
        <v>0.9</v>
      </c>
      <c r="G348" s="3">
        <v>0.14000000000000001</v>
      </c>
      <c r="H348" s="3">
        <v>2.97</v>
      </c>
      <c r="I348" s="3">
        <v>1.2</v>
      </c>
      <c r="J348" s="3">
        <v>0.02</v>
      </c>
      <c r="K348" s="3">
        <v>0.01</v>
      </c>
      <c r="L348" s="3">
        <v>7.0000000000000007E-2</v>
      </c>
      <c r="M348" s="3">
        <v>0</v>
      </c>
      <c r="N348" s="3">
        <v>18</v>
      </c>
      <c r="O348" s="3">
        <v>20</v>
      </c>
      <c r="P348" s="3">
        <v>0.41</v>
      </c>
      <c r="Q348" s="3">
        <v>141</v>
      </c>
      <c r="R348" s="3">
        <v>10</v>
      </c>
      <c r="S348" s="3">
        <v>0.15</v>
      </c>
      <c r="T348" s="3">
        <v>3</v>
      </c>
      <c r="U348" s="3">
        <v>25</v>
      </c>
      <c r="V348" s="3">
        <v>29</v>
      </c>
      <c r="W348" s="3">
        <v>0</v>
      </c>
    </row>
    <row r="349" spans="1:23" x14ac:dyDescent="0.25">
      <c r="A349" s="3" t="s">
        <v>2027</v>
      </c>
      <c r="B349" s="3" t="s">
        <v>689</v>
      </c>
      <c r="C349" s="3"/>
      <c r="D349" s="3" t="s">
        <v>690</v>
      </c>
      <c r="E349" s="3">
        <v>20.74</v>
      </c>
      <c r="F349" s="3">
        <v>1.23</v>
      </c>
      <c r="G349" s="3">
        <v>0.3</v>
      </c>
      <c r="H349" s="3">
        <v>3.28</v>
      </c>
      <c r="I349" s="3">
        <v>2.1</v>
      </c>
      <c r="J349" s="3">
        <v>0.04</v>
      </c>
      <c r="K349" s="3">
        <v>0.01</v>
      </c>
      <c r="L349" s="3">
        <v>0.16</v>
      </c>
      <c r="M349" s="3">
        <v>0</v>
      </c>
      <c r="N349" s="3">
        <v>33</v>
      </c>
      <c r="O349" s="3">
        <v>30</v>
      </c>
      <c r="P349" s="3">
        <v>0.97</v>
      </c>
      <c r="Q349" s="3">
        <v>247</v>
      </c>
      <c r="R349" s="3">
        <v>8</v>
      </c>
      <c r="S349" s="3">
        <v>0.23</v>
      </c>
      <c r="T349" s="3">
        <v>24</v>
      </c>
      <c r="U349" s="3">
        <v>290</v>
      </c>
      <c r="V349" s="3">
        <v>136</v>
      </c>
      <c r="W349" s="3">
        <v>0</v>
      </c>
    </row>
    <row r="350" spans="1:23" x14ac:dyDescent="0.25">
      <c r="A350" s="3" t="s">
        <v>2027</v>
      </c>
      <c r="B350" s="3" t="s">
        <v>691</v>
      </c>
      <c r="C350" s="3"/>
      <c r="D350" s="3" t="s">
        <v>692</v>
      </c>
      <c r="E350" s="3">
        <v>23.8</v>
      </c>
      <c r="F350" s="3">
        <v>0.71</v>
      </c>
      <c r="G350" s="3">
        <v>0.08</v>
      </c>
      <c r="H350" s="3">
        <v>5.0599999999999996</v>
      </c>
      <c r="I350" s="3">
        <v>2</v>
      </c>
      <c r="J350" s="3">
        <v>0.01</v>
      </c>
      <c r="K350" s="3">
        <v>0</v>
      </c>
      <c r="L350" s="3">
        <v>0.04</v>
      </c>
      <c r="M350" s="3">
        <v>0</v>
      </c>
      <c r="N350" s="3">
        <v>33</v>
      </c>
      <c r="O350" s="3">
        <v>26</v>
      </c>
      <c r="P350" s="3">
        <v>0.18</v>
      </c>
      <c r="Q350" s="3">
        <v>177</v>
      </c>
      <c r="R350" s="3">
        <v>16</v>
      </c>
      <c r="S350" s="3">
        <v>0.12</v>
      </c>
      <c r="T350" s="3">
        <v>12</v>
      </c>
      <c r="U350" s="3">
        <v>0</v>
      </c>
      <c r="V350" s="3">
        <v>9</v>
      </c>
      <c r="W350" s="3">
        <v>0</v>
      </c>
    </row>
    <row r="351" spans="1:23" x14ac:dyDescent="0.25">
      <c r="A351" s="3" t="s">
        <v>2027</v>
      </c>
      <c r="B351" s="3" t="s">
        <v>693</v>
      </c>
      <c r="C351" s="3"/>
      <c r="D351" s="3" t="s">
        <v>694</v>
      </c>
      <c r="E351" s="3">
        <v>30.22</v>
      </c>
      <c r="F351" s="3">
        <v>0.9</v>
      </c>
      <c r="G351" s="3">
        <v>0.1</v>
      </c>
      <c r="H351" s="3">
        <v>6.43</v>
      </c>
      <c r="I351" s="3">
        <v>1.8</v>
      </c>
      <c r="J351" s="3">
        <v>0.01</v>
      </c>
      <c r="K351" s="3">
        <v>0.01</v>
      </c>
      <c r="L351" s="3">
        <v>0.05</v>
      </c>
      <c r="M351" s="3">
        <v>0</v>
      </c>
      <c r="N351" s="3">
        <v>30</v>
      </c>
      <c r="O351" s="3">
        <v>27</v>
      </c>
      <c r="P351" s="3">
        <v>0.3</v>
      </c>
      <c r="Q351" s="3">
        <v>191</v>
      </c>
      <c r="R351" s="3">
        <v>67</v>
      </c>
      <c r="S351" s="3">
        <v>0.27</v>
      </c>
      <c r="T351" s="3">
        <v>21</v>
      </c>
      <c r="U351" s="3">
        <v>0</v>
      </c>
      <c r="V351" s="3">
        <v>15</v>
      </c>
      <c r="W351" s="3">
        <v>0</v>
      </c>
    </row>
    <row r="352" spans="1:23" x14ac:dyDescent="0.25">
      <c r="A352" s="3" t="s">
        <v>2027</v>
      </c>
      <c r="B352" s="3" t="s">
        <v>695</v>
      </c>
      <c r="C352" s="3"/>
      <c r="D352" s="3" t="s">
        <v>696</v>
      </c>
      <c r="E352" s="3">
        <v>56.1</v>
      </c>
      <c r="F352" s="3">
        <v>1.6</v>
      </c>
      <c r="G352" s="3">
        <v>0.5</v>
      </c>
      <c r="H352" s="3">
        <v>11.3</v>
      </c>
      <c r="I352" s="3"/>
      <c r="J352" s="3"/>
      <c r="K352" s="3"/>
      <c r="L352" s="3"/>
      <c r="M352" s="3"/>
      <c r="N352" s="3">
        <v>312</v>
      </c>
      <c r="O352" s="3">
        <v>46</v>
      </c>
      <c r="P352" s="3">
        <v>9.3000000000000007</v>
      </c>
      <c r="Q352" s="3"/>
      <c r="R352" s="3"/>
      <c r="S352" s="3"/>
      <c r="T352" s="3">
        <v>10</v>
      </c>
      <c r="U352" s="3">
        <v>1750</v>
      </c>
      <c r="V352" s="3"/>
      <c r="W352" s="3"/>
    </row>
    <row r="353" spans="1:23" x14ac:dyDescent="0.25">
      <c r="A353" s="3" t="s">
        <v>2027</v>
      </c>
      <c r="B353" s="3" t="s">
        <v>697</v>
      </c>
      <c r="C353" s="3"/>
      <c r="D353" s="3" t="s">
        <v>698</v>
      </c>
      <c r="E353" s="3">
        <v>66.7</v>
      </c>
      <c r="F353" s="3">
        <v>5</v>
      </c>
      <c r="G353" s="3">
        <v>1.1000000000000001</v>
      </c>
      <c r="H353" s="3">
        <v>9.1999999999999993</v>
      </c>
      <c r="I353" s="3">
        <v>3.8</v>
      </c>
      <c r="J353" s="3"/>
      <c r="K353" s="3"/>
      <c r="L353" s="3"/>
      <c r="M353" s="3"/>
      <c r="N353" s="3">
        <v>459</v>
      </c>
      <c r="O353" s="3">
        <v>65</v>
      </c>
      <c r="P353" s="3">
        <v>6.3</v>
      </c>
      <c r="Q353" s="3"/>
      <c r="R353" s="3"/>
      <c r="S353" s="3">
        <v>1.1000000000000001</v>
      </c>
      <c r="T353" s="3">
        <v>34.700000000000003</v>
      </c>
      <c r="U353" s="3">
        <v>3</v>
      </c>
      <c r="V353" s="3"/>
      <c r="W353" s="3"/>
    </row>
    <row r="354" spans="1:23" x14ac:dyDescent="0.25">
      <c r="A354" s="3" t="s">
        <v>2027</v>
      </c>
      <c r="B354" s="3" t="s">
        <v>699</v>
      </c>
      <c r="C354" s="3"/>
      <c r="D354" s="3" t="s">
        <v>700</v>
      </c>
      <c r="E354" s="3">
        <v>115.04</v>
      </c>
      <c r="F354" s="3">
        <v>2.7</v>
      </c>
      <c r="G354" s="3">
        <v>0.2</v>
      </c>
      <c r="H354" s="3">
        <v>25.61</v>
      </c>
      <c r="I354" s="3">
        <v>1.5</v>
      </c>
      <c r="J354" s="3">
        <v>0.05</v>
      </c>
      <c r="K354" s="3">
        <v>0.01</v>
      </c>
      <c r="L354" s="3">
        <v>0.09</v>
      </c>
      <c r="M354" s="3">
        <v>0</v>
      </c>
      <c r="N354" s="3">
        <v>18</v>
      </c>
      <c r="O354" s="3">
        <v>140</v>
      </c>
      <c r="P354" s="3">
        <v>1.69</v>
      </c>
      <c r="Q354" s="3">
        <v>1806</v>
      </c>
      <c r="R354" s="3">
        <v>14</v>
      </c>
      <c r="S354" s="3">
        <v>3.73</v>
      </c>
      <c r="T354" s="3">
        <v>8</v>
      </c>
      <c r="U354" s="3">
        <v>3</v>
      </c>
      <c r="V354" s="3">
        <v>24</v>
      </c>
      <c r="W354" s="3">
        <v>0</v>
      </c>
    </row>
    <row r="355" spans="1:23" x14ac:dyDescent="0.25">
      <c r="A355" s="3" t="s">
        <v>2027</v>
      </c>
      <c r="B355" s="3" t="s">
        <v>701</v>
      </c>
      <c r="C355" s="3"/>
      <c r="D355" s="3" t="s">
        <v>702</v>
      </c>
      <c r="E355" s="3">
        <v>34.14</v>
      </c>
      <c r="F355" s="3">
        <v>2.52</v>
      </c>
      <c r="G355" s="3">
        <v>0.62</v>
      </c>
      <c r="H355" s="3">
        <v>4.62</v>
      </c>
      <c r="I355" s="3">
        <v>2.4</v>
      </c>
      <c r="J355" s="3">
        <v>0.13</v>
      </c>
      <c r="K355" s="3">
        <v>0.1</v>
      </c>
      <c r="L355" s="3">
        <v>0.2</v>
      </c>
      <c r="M355" s="3">
        <v>0</v>
      </c>
      <c r="N355" s="3">
        <v>7.9</v>
      </c>
      <c r="O355" s="3">
        <v>65</v>
      </c>
      <c r="P355" s="3">
        <v>3.13</v>
      </c>
      <c r="Q355" s="3">
        <v>177</v>
      </c>
      <c r="R355" s="3">
        <v>426</v>
      </c>
      <c r="S355" s="3">
        <v>1.1499999999999999</v>
      </c>
      <c r="T355" s="3">
        <v>7.9</v>
      </c>
      <c r="U355" s="3">
        <v>0</v>
      </c>
      <c r="V355" s="3">
        <v>39</v>
      </c>
      <c r="W355" s="3">
        <v>0</v>
      </c>
    </row>
    <row r="356" spans="1:23" x14ac:dyDescent="0.25">
      <c r="A356" s="3" t="s">
        <v>2027</v>
      </c>
      <c r="B356" s="3" t="s">
        <v>703</v>
      </c>
      <c r="C356" s="3"/>
      <c r="D356" s="3" t="s">
        <v>704</v>
      </c>
      <c r="E356" s="3">
        <v>23.8</v>
      </c>
      <c r="F356" s="3">
        <v>0.71</v>
      </c>
      <c r="G356" s="3">
        <v>0.08</v>
      </c>
      <c r="H356" s="3">
        <v>5.0599999999999996</v>
      </c>
      <c r="I356" s="3">
        <v>2</v>
      </c>
      <c r="J356" s="3">
        <v>0.01</v>
      </c>
      <c r="K356" s="3">
        <v>0.01</v>
      </c>
      <c r="L356" s="3">
        <v>0.04</v>
      </c>
      <c r="M356" s="3">
        <v>0</v>
      </c>
      <c r="N356" s="3">
        <v>33</v>
      </c>
      <c r="O356" s="3">
        <v>26</v>
      </c>
      <c r="P356" s="3">
        <v>0.18</v>
      </c>
      <c r="Q356" s="3">
        <v>177</v>
      </c>
      <c r="R356" s="3">
        <v>16</v>
      </c>
      <c r="S356" s="3">
        <v>0.12</v>
      </c>
      <c r="T356" s="3">
        <v>11.6</v>
      </c>
      <c r="U356" s="3">
        <v>0</v>
      </c>
      <c r="V356" s="3">
        <v>9</v>
      </c>
      <c r="W356" s="3">
        <v>0</v>
      </c>
    </row>
    <row r="357" spans="1:23" x14ac:dyDescent="0.25">
      <c r="A357" s="3" t="s">
        <v>2027</v>
      </c>
      <c r="B357" s="3" t="s">
        <v>705</v>
      </c>
      <c r="C357" s="3"/>
      <c r="D357" s="3" t="s">
        <v>706</v>
      </c>
      <c r="E357" s="3">
        <v>30.22</v>
      </c>
      <c r="F357" s="3">
        <v>0.9</v>
      </c>
      <c r="G357" s="3">
        <v>0.1</v>
      </c>
      <c r="H357" s="3">
        <v>6.43</v>
      </c>
      <c r="I357" s="3">
        <v>1.8</v>
      </c>
      <c r="J357" s="3">
        <v>0.01</v>
      </c>
      <c r="K357" s="3">
        <v>0.01</v>
      </c>
      <c r="L357" s="3">
        <v>0.05</v>
      </c>
      <c r="M357" s="3">
        <v>0</v>
      </c>
      <c r="N357" s="3">
        <v>30</v>
      </c>
      <c r="O357" s="3">
        <v>27</v>
      </c>
      <c r="P357" s="3">
        <v>0.3</v>
      </c>
      <c r="Q357" s="3">
        <v>191</v>
      </c>
      <c r="R357" s="3">
        <v>67</v>
      </c>
      <c r="S357" s="3">
        <v>0.27</v>
      </c>
      <c r="T357" s="3">
        <v>21</v>
      </c>
      <c r="U357" s="3">
        <v>0</v>
      </c>
      <c r="V357" s="3">
        <v>15</v>
      </c>
      <c r="W357" s="3">
        <v>0</v>
      </c>
    </row>
    <row r="358" spans="1:23" x14ac:dyDescent="0.25">
      <c r="A358" s="3" t="s">
        <v>2027</v>
      </c>
      <c r="B358" s="3" t="s">
        <v>707</v>
      </c>
      <c r="C358" s="3"/>
      <c r="D358" s="3" t="s">
        <v>708</v>
      </c>
      <c r="E358" s="3">
        <v>12.44</v>
      </c>
      <c r="F358" s="3">
        <v>0.59</v>
      </c>
      <c r="G358" s="3">
        <v>0.16</v>
      </c>
      <c r="H358" s="3">
        <v>2.16</v>
      </c>
      <c r="I358" s="3">
        <v>0.7</v>
      </c>
      <c r="J358" s="3">
        <v>0.01</v>
      </c>
      <c r="K358" s="3">
        <v>0</v>
      </c>
      <c r="L358" s="3">
        <v>0</v>
      </c>
      <c r="M358" s="3">
        <v>0</v>
      </c>
      <c r="N358" s="3">
        <v>14</v>
      </c>
      <c r="O358" s="3">
        <v>21</v>
      </c>
      <c r="P358" s="3">
        <v>0.22</v>
      </c>
      <c r="Q358" s="3">
        <v>136</v>
      </c>
      <c r="R358" s="3">
        <v>2</v>
      </c>
      <c r="S358" s="3">
        <v>0.17</v>
      </c>
      <c r="T358" s="3">
        <v>3</v>
      </c>
      <c r="U358" s="3">
        <v>4</v>
      </c>
      <c r="V358" s="3">
        <v>14</v>
      </c>
      <c r="W358" s="3">
        <v>0</v>
      </c>
    </row>
    <row r="359" spans="1:23" x14ac:dyDescent="0.25">
      <c r="A359" s="3" t="s">
        <v>2027</v>
      </c>
      <c r="B359" s="3" t="s">
        <v>709</v>
      </c>
      <c r="C359" s="3"/>
      <c r="D359" s="3" t="s">
        <v>710</v>
      </c>
      <c r="E359" s="3">
        <v>44.31</v>
      </c>
      <c r="F359" s="3">
        <v>2.97</v>
      </c>
      <c r="G359" s="3">
        <v>0.79</v>
      </c>
      <c r="H359" s="3">
        <v>6.33</v>
      </c>
      <c r="I359" s="3">
        <v>3.3</v>
      </c>
      <c r="J359" s="3">
        <v>0.13</v>
      </c>
      <c r="K359" s="3">
        <v>0.3</v>
      </c>
      <c r="L359" s="3">
        <v>0.12</v>
      </c>
      <c r="M359" s="3">
        <v>0</v>
      </c>
      <c r="N359" s="3">
        <v>138</v>
      </c>
      <c r="O359" s="3">
        <v>58</v>
      </c>
      <c r="P359" s="3">
        <v>6.2</v>
      </c>
      <c r="Q359" s="3">
        <v>554</v>
      </c>
      <c r="R359" s="3">
        <v>56</v>
      </c>
      <c r="S359" s="3">
        <v>1.07</v>
      </c>
      <c r="T359" s="3">
        <v>133</v>
      </c>
      <c r="U359" s="3">
        <v>421</v>
      </c>
      <c r="V359" s="3">
        <v>152</v>
      </c>
      <c r="W359" s="3">
        <v>0</v>
      </c>
    </row>
    <row r="360" spans="1:23" x14ac:dyDescent="0.25">
      <c r="A360" s="3" t="s">
        <v>2027</v>
      </c>
      <c r="B360" s="3" t="s">
        <v>711</v>
      </c>
      <c r="C360" s="3"/>
      <c r="D360" s="3" t="s">
        <v>712</v>
      </c>
      <c r="E360" s="3">
        <v>30.78</v>
      </c>
      <c r="F360" s="3">
        <v>0.99</v>
      </c>
      <c r="G360" s="3">
        <v>0.3</v>
      </c>
      <c r="H360" s="3">
        <v>6.03</v>
      </c>
      <c r="I360" s="3">
        <v>2</v>
      </c>
      <c r="J360" s="3">
        <v>0.06</v>
      </c>
      <c r="K360" s="3">
        <v>0.01</v>
      </c>
      <c r="L360" s="3">
        <v>0.16</v>
      </c>
      <c r="M360" s="3">
        <v>0</v>
      </c>
      <c r="N360" s="3">
        <v>7</v>
      </c>
      <c r="O360" s="3">
        <v>26</v>
      </c>
      <c r="P360" s="3">
        <v>0.43</v>
      </c>
      <c r="Q360" s="3">
        <v>211</v>
      </c>
      <c r="R360" s="3">
        <v>2</v>
      </c>
      <c r="S360" s="3">
        <v>0.25</v>
      </c>
      <c r="T360" s="3">
        <v>190</v>
      </c>
      <c r="U360" s="3">
        <v>157</v>
      </c>
      <c r="V360" s="3">
        <v>18</v>
      </c>
      <c r="W360" s="3">
        <v>0</v>
      </c>
    </row>
    <row r="361" spans="1:23" x14ac:dyDescent="0.25">
      <c r="A361" s="3" t="s">
        <v>2027</v>
      </c>
      <c r="B361" s="3" t="s">
        <v>713</v>
      </c>
      <c r="C361" s="3"/>
      <c r="D361" s="3" t="s">
        <v>714</v>
      </c>
      <c r="E361" s="3">
        <v>23.53</v>
      </c>
      <c r="F361" s="3">
        <v>0.86</v>
      </c>
      <c r="G361" s="3">
        <v>0.17</v>
      </c>
      <c r="H361" s="3">
        <v>4.6399999999999997</v>
      </c>
      <c r="I361" s="3">
        <v>1.7</v>
      </c>
      <c r="J361" s="3">
        <v>0.06</v>
      </c>
      <c r="K361" s="3">
        <v>0.01</v>
      </c>
      <c r="L361" s="3">
        <v>0.06</v>
      </c>
      <c r="M361" s="3">
        <v>0</v>
      </c>
      <c r="N361" s="3">
        <v>10</v>
      </c>
      <c r="O361" s="3">
        <v>20</v>
      </c>
      <c r="P361" s="3">
        <v>0.34</v>
      </c>
      <c r="Q361" s="3">
        <v>175</v>
      </c>
      <c r="R361" s="3">
        <v>3</v>
      </c>
      <c r="S361" s="3">
        <v>0.13</v>
      </c>
      <c r="T361" s="3">
        <v>80.400000000000006</v>
      </c>
      <c r="U361" s="3">
        <v>18</v>
      </c>
      <c r="V361" s="3">
        <v>10</v>
      </c>
      <c r="W361" s="3">
        <v>0</v>
      </c>
    </row>
    <row r="362" spans="1:23" x14ac:dyDescent="0.25">
      <c r="A362" s="3" t="s">
        <v>2027</v>
      </c>
      <c r="B362" s="3" t="s">
        <v>715</v>
      </c>
      <c r="C362" s="3"/>
      <c r="D362" s="3" t="s">
        <v>716</v>
      </c>
      <c r="E362" s="3">
        <v>19.7</v>
      </c>
      <c r="F362" s="3">
        <v>0.6</v>
      </c>
      <c r="G362" s="3">
        <v>0.1</v>
      </c>
      <c r="H362" s="3">
        <v>4.0999999999999996</v>
      </c>
      <c r="I362" s="3">
        <v>1.6</v>
      </c>
      <c r="J362" s="3">
        <v>0.03</v>
      </c>
      <c r="K362" s="3">
        <v>0.02</v>
      </c>
      <c r="L362" s="3">
        <v>0.05</v>
      </c>
      <c r="M362" s="3">
        <v>0</v>
      </c>
      <c r="N362" s="3">
        <v>27</v>
      </c>
      <c r="O362" s="3">
        <v>23</v>
      </c>
      <c r="P362" s="3">
        <v>0.4</v>
      </c>
      <c r="Q362" s="3">
        <v>227</v>
      </c>
      <c r="R362" s="3">
        <v>21</v>
      </c>
      <c r="S362" s="3">
        <v>0.15</v>
      </c>
      <c r="T362" s="3">
        <v>22</v>
      </c>
      <c r="U362" s="3">
        <v>0</v>
      </c>
      <c r="V362" s="3">
        <v>28</v>
      </c>
      <c r="W362" s="3">
        <v>0</v>
      </c>
    </row>
    <row r="363" spans="1:23" x14ac:dyDescent="0.25">
      <c r="A363" s="3" t="s">
        <v>2027</v>
      </c>
      <c r="B363" s="3" t="s">
        <v>717</v>
      </c>
      <c r="C363" s="3"/>
      <c r="D363" s="3" t="s">
        <v>718</v>
      </c>
      <c r="E363" s="3">
        <v>12.9</v>
      </c>
      <c r="F363" s="3">
        <v>1.5</v>
      </c>
      <c r="G363" s="3">
        <v>0.1</v>
      </c>
      <c r="H363" s="3">
        <v>1.5</v>
      </c>
      <c r="I363" s="3"/>
      <c r="J363" s="3">
        <v>0.03</v>
      </c>
      <c r="K363" s="3">
        <v>0.02</v>
      </c>
      <c r="L363" s="3">
        <v>0.02</v>
      </c>
      <c r="M363" s="3">
        <v>0</v>
      </c>
      <c r="N363" s="3">
        <v>24</v>
      </c>
      <c r="O363" s="3"/>
      <c r="P363" s="3">
        <v>0.4</v>
      </c>
      <c r="Q363" s="3">
        <v>227</v>
      </c>
      <c r="R363" s="3">
        <v>21</v>
      </c>
      <c r="S363" s="3"/>
      <c r="T363" s="3">
        <v>22</v>
      </c>
      <c r="U363" s="3">
        <v>0</v>
      </c>
      <c r="V363" s="3"/>
      <c r="W363" s="3">
        <v>0</v>
      </c>
    </row>
    <row r="364" spans="1:23" x14ac:dyDescent="0.25">
      <c r="A364" s="3" t="s">
        <v>2027</v>
      </c>
      <c r="B364" s="3" t="s">
        <v>719</v>
      </c>
      <c r="C364" s="3"/>
      <c r="D364" s="3" t="s">
        <v>720</v>
      </c>
      <c r="E364" s="3">
        <v>46.21</v>
      </c>
      <c r="F364" s="3">
        <v>1.61</v>
      </c>
      <c r="G364" s="3">
        <v>0.17</v>
      </c>
      <c r="H364" s="3">
        <v>9.56</v>
      </c>
      <c r="I364" s="3">
        <v>2.8</v>
      </c>
      <c r="J364" s="3">
        <v>0.03</v>
      </c>
      <c r="K364" s="3">
        <v>0.03</v>
      </c>
      <c r="L364" s="3">
        <v>0.06</v>
      </c>
      <c r="M364" s="3">
        <v>0</v>
      </c>
      <c r="N364" s="3">
        <v>16</v>
      </c>
      <c r="O364" s="3">
        <v>40</v>
      </c>
      <c r="P364" s="3">
        <v>0.8</v>
      </c>
      <c r="Q364" s="3">
        <v>325</v>
      </c>
      <c r="R364" s="3">
        <v>78</v>
      </c>
      <c r="S364" s="3">
        <v>0.35</v>
      </c>
      <c r="T364" s="3">
        <v>5</v>
      </c>
      <c r="U364" s="3">
        <v>2</v>
      </c>
      <c r="V364" s="3">
        <v>109</v>
      </c>
      <c r="W364" s="3">
        <v>0</v>
      </c>
    </row>
    <row r="365" spans="1:23" x14ac:dyDescent="0.25">
      <c r="A365" s="3" t="s">
        <v>2027</v>
      </c>
      <c r="B365" s="3" t="s">
        <v>721</v>
      </c>
      <c r="C365" s="3"/>
      <c r="D365" s="3" t="s">
        <v>722</v>
      </c>
      <c r="E365" s="3">
        <v>48.18</v>
      </c>
      <c r="F365" s="3">
        <v>1.68</v>
      </c>
      <c r="G365" s="3">
        <v>0.18</v>
      </c>
      <c r="H365" s="3">
        <v>9.9600000000000009</v>
      </c>
      <c r="I365" s="3">
        <v>2</v>
      </c>
      <c r="J365" s="3">
        <v>0.03</v>
      </c>
      <c r="K365" s="3">
        <v>0.04</v>
      </c>
      <c r="L365" s="3">
        <v>0.06</v>
      </c>
      <c r="M365" s="3">
        <v>0</v>
      </c>
      <c r="N365" s="3">
        <v>16</v>
      </c>
      <c r="O365" s="3">
        <v>38</v>
      </c>
      <c r="P365" s="3">
        <v>0.79</v>
      </c>
      <c r="Q365" s="3">
        <v>305</v>
      </c>
      <c r="R365" s="3">
        <v>77</v>
      </c>
      <c r="S365" s="3">
        <v>0.35</v>
      </c>
      <c r="T365" s="3">
        <v>4</v>
      </c>
      <c r="U365" s="3">
        <v>2</v>
      </c>
      <c r="V365" s="3">
        <v>80</v>
      </c>
      <c r="W365" s="3">
        <v>0</v>
      </c>
    </row>
    <row r="366" spans="1:23" x14ac:dyDescent="0.25">
      <c r="A366" s="3" t="s">
        <v>2027</v>
      </c>
      <c r="B366" s="3" t="s">
        <v>723</v>
      </c>
      <c r="C366" s="3"/>
      <c r="D366" s="3" t="s">
        <v>724</v>
      </c>
      <c r="E366" s="3">
        <v>30.86</v>
      </c>
      <c r="F366" s="3">
        <v>2.58</v>
      </c>
      <c r="G366" s="3">
        <v>0.66</v>
      </c>
      <c r="H366" s="3">
        <v>3.65</v>
      </c>
      <c r="I366" s="3">
        <v>1.6</v>
      </c>
      <c r="J366" s="3">
        <v>0.09</v>
      </c>
      <c r="K366" s="3">
        <v>0.05</v>
      </c>
      <c r="L366" s="3">
        <v>0.32</v>
      </c>
      <c r="M366" s="3">
        <v>0</v>
      </c>
      <c r="N366" s="3">
        <v>160</v>
      </c>
      <c r="O366" s="3">
        <v>52</v>
      </c>
      <c r="P366" s="3">
        <v>1.47</v>
      </c>
      <c r="Q366" s="3">
        <v>369</v>
      </c>
      <c r="R366" s="3">
        <v>27</v>
      </c>
      <c r="S366" s="3">
        <v>0.46</v>
      </c>
      <c r="T366" s="3">
        <v>15</v>
      </c>
      <c r="U366" s="3">
        <v>119</v>
      </c>
      <c r="V366" s="3">
        <v>97</v>
      </c>
      <c r="W366" s="3">
        <v>0</v>
      </c>
    </row>
    <row r="367" spans="1:23" x14ac:dyDescent="0.25">
      <c r="A367" s="3" t="s">
        <v>2027</v>
      </c>
      <c r="B367" s="3" t="s">
        <v>725</v>
      </c>
      <c r="C367" s="3"/>
      <c r="D367" s="3" t="s">
        <v>726</v>
      </c>
      <c r="E367" s="3">
        <v>17.34</v>
      </c>
      <c r="F367" s="3">
        <v>0.6</v>
      </c>
      <c r="G367" s="3">
        <v>0.02</v>
      </c>
      <c r="H367" s="3">
        <v>3.69</v>
      </c>
      <c r="I367" s="3">
        <v>1.2</v>
      </c>
      <c r="J367" s="3">
        <v>0</v>
      </c>
      <c r="K367" s="3">
        <v>0</v>
      </c>
      <c r="L367" s="3">
        <v>0.01</v>
      </c>
      <c r="M367" s="3">
        <v>0</v>
      </c>
      <c r="N367" s="3">
        <v>24</v>
      </c>
      <c r="O367" s="3">
        <v>13</v>
      </c>
      <c r="P367" s="3">
        <v>0.25</v>
      </c>
      <c r="Q367" s="3">
        <v>170</v>
      </c>
      <c r="R367" s="3">
        <v>2</v>
      </c>
      <c r="S367" s="3">
        <v>0.7</v>
      </c>
      <c r="T367" s="3">
        <v>8.5</v>
      </c>
      <c r="U367" s="3">
        <v>0</v>
      </c>
      <c r="V367" s="3">
        <v>4</v>
      </c>
      <c r="W367" s="3">
        <v>0</v>
      </c>
    </row>
    <row r="368" spans="1:23" x14ac:dyDescent="0.25">
      <c r="A368" s="3" t="s">
        <v>2027</v>
      </c>
      <c r="B368" s="3" t="s">
        <v>727</v>
      </c>
      <c r="C368" s="3"/>
      <c r="D368" s="3" t="s">
        <v>728</v>
      </c>
      <c r="E368" s="3">
        <v>24.5</v>
      </c>
      <c r="F368" s="3">
        <v>0.8</v>
      </c>
      <c r="G368" s="3">
        <v>0.1</v>
      </c>
      <c r="H368" s="3">
        <v>5.0999999999999996</v>
      </c>
      <c r="I368" s="3"/>
      <c r="J368" s="3"/>
      <c r="K368" s="3"/>
      <c r="L368" s="3"/>
      <c r="M368" s="3"/>
      <c r="N368" s="3">
        <v>15</v>
      </c>
      <c r="O368" s="3">
        <v>19</v>
      </c>
      <c r="P368" s="3">
        <v>0.4</v>
      </c>
      <c r="Q368" s="3"/>
      <c r="R368" s="3"/>
      <c r="S368" s="3"/>
      <c r="T368" s="3">
        <v>11</v>
      </c>
      <c r="U368" s="3"/>
      <c r="V368" s="3"/>
      <c r="W368" s="3"/>
    </row>
    <row r="369" spans="1:23" x14ac:dyDescent="0.25">
      <c r="A369" s="3" t="s">
        <v>2027</v>
      </c>
      <c r="B369" s="3" t="s">
        <v>729</v>
      </c>
      <c r="C369" s="3"/>
      <c r="D369" s="3" t="s">
        <v>730</v>
      </c>
      <c r="E369" s="3">
        <v>24.3</v>
      </c>
      <c r="F369" s="3">
        <v>0.8</v>
      </c>
      <c r="G369" s="3">
        <v>0.3</v>
      </c>
      <c r="H369" s="3">
        <v>4.5999999999999996</v>
      </c>
      <c r="I369" s="3">
        <v>1.2</v>
      </c>
      <c r="J369" s="3">
        <v>0.05</v>
      </c>
      <c r="K369" s="3">
        <v>0.05</v>
      </c>
      <c r="L369" s="3">
        <v>0.14000000000000001</v>
      </c>
      <c r="M369" s="3">
        <v>0</v>
      </c>
      <c r="N369" s="3">
        <v>7</v>
      </c>
      <c r="O369" s="3">
        <v>24</v>
      </c>
      <c r="P369" s="3">
        <v>0.6</v>
      </c>
      <c r="Q369" s="3">
        <v>237</v>
      </c>
      <c r="R369" s="3">
        <v>5</v>
      </c>
      <c r="S369" s="3">
        <v>0.17</v>
      </c>
      <c r="T369" s="3">
        <v>23</v>
      </c>
      <c r="U369" s="3">
        <v>42</v>
      </c>
      <c r="V369" s="3">
        <v>15</v>
      </c>
      <c r="W369" s="3">
        <v>0</v>
      </c>
    </row>
    <row r="370" spans="1:23" x14ac:dyDescent="0.25">
      <c r="A370" s="3" t="s">
        <v>2027</v>
      </c>
      <c r="B370" s="3" t="s">
        <v>731</v>
      </c>
      <c r="C370" s="3"/>
      <c r="D370" s="3" t="s">
        <v>732</v>
      </c>
      <c r="E370" s="3">
        <v>35.299999999999997</v>
      </c>
      <c r="F370" s="3">
        <v>1.5</v>
      </c>
      <c r="G370" s="3">
        <v>0.1</v>
      </c>
      <c r="H370" s="3">
        <v>7.1</v>
      </c>
      <c r="I370" s="3"/>
      <c r="J370" s="3">
        <v>0.01</v>
      </c>
      <c r="K370" s="3">
        <v>0.01</v>
      </c>
      <c r="L370" s="3">
        <v>0.04</v>
      </c>
      <c r="M370" s="3">
        <v>0</v>
      </c>
      <c r="N370" s="3">
        <v>59</v>
      </c>
      <c r="O370" s="3"/>
      <c r="P370" s="3">
        <v>6</v>
      </c>
      <c r="Q370" s="3">
        <v>207</v>
      </c>
      <c r="R370" s="3">
        <v>8</v>
      </c>
      <c r="S370" s="3">
        <v>0.11</v>
      </c>
      <c r="T370" s="3">
        <v>85</v>
      </c>
      <c r="U370" s="3">
        <v>500</v>
      </c>
      <c r="V370" s="3"/>
      <c r="W370" s="3">
        <v>0</v>
      </c>
    </row>
    <row r="371" spans="1:23" x14ac:dyDescent="0.25">
      <c r="A371" s="3" t="s">
        <v>2027</v>
      </c>
      <c r="B371" s="3" t="s">
        <v>733</v>
      </c>
      <c r="C371" s="3"/>
      <c r="D371" s="3" t="s">
        <v>734</v>
      </c>
      <c r="E371" s="3">
        <v>41.6</v>
      </c>
      <c r="F371" s="3">
        <v>1.89</v>
      </c>
      <c r="G371" s="3">
        <v>0.28000000000000003</v>
      </c>
      <c r="H371" s="3">
        <v>7.88</v>
      </c>
      <c r="I371" s="3">
        <v>3.2</v>
      </c>
      <c r="J371" s="3">
        <v>0.06</v>
      </c>
      <c r="K371" s="3">
        <v>0.01</v>
      </c>
      <c r="L371" s="3">
        <v>0.14000000000000001</v>
      </c>
      <c r="M371" s="3">
        <v>0</v>
      </c>
      <c r="N371" s="3">
        <v>44</v>
      </c>
      <c r="O371" s="3">
        <v>29</v>
      </c>
      <c r="P371" s="3">
        <v>0.65</v>
      </c>
      <c r="Q371" s="3">
        <v>146</v>
      </c>
      <c r="R371" s="3">
        <v>1</v>
      </c>
      <c r="S371" s="3">
        <v>0.25</v>
      </c>
      <c r="T371" s="3">
        <v>10</v>
      </c>
      <c r="U371" s="3">
        <v>35</v>
      </c>
      <c r="V371" s="3">
        <v>33</v>
      </c>
      <c r="W371" s="3">
        <v>0</v>
      </c>
    </row>
    <row r="372" spans="1:23" x14ac:dyDescent="0.25">
      <c r="A372" s="3" t="s">
        <v>2027</v>
      </c>
      <c r="B372" s="3" t="s">
        <v>735</v>
      </c>
      <c r="C372" s="3"/>
      <c r="D372" s="3" t="s">
        <v>736</v>
      </c>
      <c r="E372" s="3">
        <v>37.18</v>
      </c>
      <c r="F372" s="3">
        <v>1.83</v>
      </c>
      <c r="G372" s="3">
        <v>0.22</v>
      </c>
      <c r="H372" s="3">
        <v>6.97</v>
      </c>
      <c r="I372" s="3">
        <v>2.7</v>
      </c>
      <c r="J372" s="3">
        <v>0.05</v>
      </c>
      <c r="K372" s="3">
        <v>0.01</v>
      </c>
      <c r="L372" s="3">
        <v>0.11</v>
      </c>
      <c r="M372" s="3">
        <v>0</v>
      </c>
      <c r="N372" s="3">
        <v>37</v>
      </c>
      <c r="O372" s="3">
        <v>38</v>
      </c>
      <c r="P372" s="3">
        <v>1.03</v>
      </c>
      <c r="Q372" s="3">
        <v>211</v>
      </c>
      <c r="R372" s="3">
        <v>6</v>
      </c>
      <c r="S372" s="3">
        <v>0.24</v>
      </c>
      <c r="T372" s="3">
        <v>12.2</v>
      </c>
      <c r="U372" s="3">
        <v>35</v>
      </c>
      <c r="V372" s="3">
        <v>33</v>
      </c>
      <c r="W372" s="3">
        <v>0</v>
      </c>
    </row>
    <row r="373" spans="1:23" x14ac:dyDescent="0.25">
      <c r="A373" s="3" t="s">
        <v>2027</v>
      </c>
      <c r="B373" s="3" t="s">
        <v>737</v>
      </c>
      <c r="C373" s="3"/>
      <c r="D373" s="3" t="s">
        <v>738</v>
      </c>
      <c r="E373" s="3">
        <v>40.5</v>
      </c>
      <c r="F373" s="3">
        <v>0.6</v>
      </c>
      <c r="G373" s="3">
        <v>0.1</v>
      </c>
      <c r="H373" s="3">
        <v>9.3000000000000007</v>
      </c>
      <c r="I373" s="3"/>
      <c r="J373" s="3">
        <v>0.03</v>
      </c>
      <c r="K373" s="3">
        <v>0.01</v>
      </c>
      <c r="L373" s="3">
        <v>0.06</v>
      </c>
      <c r="M373" s="3">
        <v>0</v>
      </c>
      <c r="N373" s="3">
        <v>24</v>
      </c>
      <c r="O373" s="3"/>
      <c r="P373" s="3">
        <v>0.5</v>
      </c>
      <c r="Q373" s="3">
        <v>292</v>
      </c>
      <c r="R373" s="3">
        <v>29</v>
      </c>
      <c r="S373" s="3">
        <v>0.18</v>
      </c>
      <c r="T373" s="3">
        <v>9</v>
      </c>
      <c r="U373" s="3">
        <v>1545</v>
      </c>
      <c r="V373" s="3"/>
      <c r="W373" s="3">
        <v>0</v>
      </c>
    </row>
    <row r="374" spans="1:23" x14ac:dyDescent="0.25">
      <c r="A374" s="3" t="s">
        <v>2027</v>
      </c>
      <c r="B374" s="3" t="s">
        <v>739</v>
      </c>
      <c r="C374" s="3"/>
      <c r="D374" s="3" t="s">
        <v>740</v>
      </c>
      <c r="E374" s="3">
        <v>42.1</v>
      </c>
      <c r="F374" s="3">
        <v>0.9</v>
      </c>
      <c r="G374" s="3">
        <v>0.1</v>
      </c>
      <c r="H374" s="3">
        <v>9.4</v>
      </c>
      <c r="I374" s="3">
        <v>2.9</v>
      </c>
      <c r="J374" s="3">
        <v>0.03</v>
      </c>
      <c r="K374" s="3">
        <v>0.01</v>
      </c>
      <c r="L374" s="3">
        <v>7.0000000000000007E-2</v>
      </c>
      <c r="M374" s="3">
        <v>0</v>
      </c>
      <c r="N374" s="3">
        <v>32</v>
      </c>
      <c r="O374" s="3">
        <v>28</v>
      </c>
      <c r="P374" s="3">
        <v>0.6</v>
      </c>
      <c r="Q374" s="3">
        <v>323</v>
      </c>
      <c r="R374" s="3">
        <v>35</v>
      </c>
      <c r="S374" s="3">
        <v>0.2</v>
      </c>
      <c r="T374" s="3">
        <v>6</v>
      </c>
      <c r="U374" s="3">
        <v>666</v>
      </c>
      <c r="V374" s="3"/>
      <c r="W374" s="3">
        <v>0</v>
      </c>
    </row>
    <row r="375" spans="1:23" x14ac:dyDescent="0.25">
      <c r="A375" s="3" t="s">
        <v>2027</v>
      </c>
      <c r="B375" s="3" t="s">
        <v>741</v>
      </c>
      <c r="C375" s="3"/>
      <c r="D375" s="3" t="s">
        <v>742</v>
      </c>
      <c r="E375" s="3">
        <v>37.54</v>
      </c>
      <c r="F375" s="3">
        <v>0.76</v>
      </c>
      <c r="G375" s="3">
        <v>0.18</v>
      </c>
      <c r="H375" s="3">
        <v>8.2200000000000006</v>
      </c>
      <c r="I375" s="3">
        <v>3</v>
      </c>
      <c r="J375" s="3">
        <v>0.04</v>
      </c>
      <c r="K375" s="3">
        <v>0.01</v>
      </c>
      <c r="L375" s="3">
        <v>0.11</v>
      </c>
      <c r="M375" s="3">
        <v>0</v>
      </c>
      <c r="N375" s="3">
        <v>30</v>
      </c>
      <c r="O375" s="3">
        <v>30</v>
      </c>
      <c r="P375" s="3">
        <v>0.34</v>
      </c>
      <c r="Q375" s="3">
        <v>235</v>
      </c>
      <c r="R375" s="3">
        <v>58</v>
      </c>
      <c r="S375" s="3">
        <v>0.2</v>
      </c>
      <c r="T375" s="3">
        <v>4</v>
      </c>
      <c r="U375" s="3">
        <v>860</v>
      </c>
      <c r="V375" s="3">
        <v>14</v>
      </c>
      <c r="W375" s="3">
        <v>0</v>
      </c>
    </row>
    <row r="376" spans="1:23" x14ac:dyDescent="0.25">
      <c r="A376" s="3" t="s">
        <v>2027</v>
      </c>
      <c r="B376" s="3" t="s">
        <v>743</v>
      </c>
      <c r="C376" s="3"/>
      <c r="D376" s="3" t="s">
        <v>744</v>
      </c>
      <c r="E376" s="3">
        <v>34.6</v>
      </c>
      <c r="F376" s="3">
        <v>0.6</v>
      </c>
      <c r="G376" s="3">
        <v>0.2</v>
      </c>
      <c r="H376" s="3">
        <v>7.6</v>
      </c>
      <c r="I376" s="3">
        <v>0.5</v>
      </c>
      <c r="J376" s="3">
        <v>0.05</v>
      </c>
      <c r="K376" s="3">
        <v>0.01</v>
      </c>
      <c r="L376" s="3">
        <v>0</v>
      </c>
      <c r="M376" s="3">
        <v>0</v>
      </c>
      <c r="N376" s="3">
        <v>19</v>
      </c>
      <c r="O376" s="3">
        <v>22</v>
      </c>
      <c r="P376" s="3">
        <v>0.5</v>
      </c>
      <c r="Q376" s="3">
        <v>340</v>
      </c>
      <c r="R376" s="3">
        <v>1</v>
      </c>
      <c r="S376" s="3">
        <v>0.32</v>
      </c>
      <c r="T376" s="3">
        <v>15</v>
      </c>
      <c r="U376" s="3">
        <v>143</v>
      </c>
      <c r="V376" s="3">
        <v>16</v>
      </c>
      <c r="W376" s="3">
        <v>0</v>
      </c>
    </row>
    <row r="377" spans="1:23" x14ac:dyDescent="0.25">
      <c r="A377" s="3" t="s">
        <v>2027</v>
      </c>
      <c r="B377" s="3" t="s">
        <v>745</v>
      </c>
      <c r="C377" s="3"/>
      <c r="D377" s="3" t="s">
        <v>746</v>
      </c>
      <c r="E377" s="3">
        <v>58.74</v>
      </c>
      <c r="F377" s="3">
        <v>2.48</v>
      </c>
      <c r="G377" s="3">
        <v>0.62</v>
      </c>
      <c r="H377" s="3">
        <v>10.81</v>
      </c>
      <c r="I377" s="3">
        <v>4.9000000000000004</v>
      </c>
      <c r="J377" s="3">
        <v>0.14000000000000001</v>
      </c>
      <c r="K377" s="3">
        <v>0.03</v>
      </c>
      <c r="L377" s="3">
        <v>7.0000000000000007E-2</v>
      </c>
      <c r="M377" s="3">
        <v>0</v>
      </c>
      <c r="N377" s="3">
        <v>17</v>
      </c>
      <c r="O377" s="3">
        <v>23</v>
      </c>
      <c r="P377" s="3">
        <v>0.47</v>
      </c>
      <c r="Q377" s="3">
        <v>358</v>
      </c>
      <c r="R377" s="3">
        <v>8</v>
      </c>
      <c r="S377" s="3">
        <v>0.15</v>
      </c>
      <c r="T377" s="3">
        <v>9.5</v>
      </c>
      <c r="U377" s="3">
        <v>6705</v>
      </c>
      <c r="V377" s="3">
        <v>16</v>
      </c>
      <c r="W377" s="3">
        <v>0</v>
      </c>
    </row>
    <row r="378" spans="1:23" x14ac:dyDescent="0.25">
      <c r="A378" s="3" t="s">
        <v>2027</v>
      </c>
      <c r="B378" s="3" t="s">
        <v>747</v>
      </c>
      <c r="C378" s="3"/>
      <c r="D378" s="3" t="s">
        <v>748</v>
      </c>
      <c r="E378" s="3">
        <v>20.010000000000002</v>
      </c>
      <c r="F378" s="3">
        <v>1.1499999999999999</v>
      </c>
      <c r="G378" s="3">
        <v>0.13</v>
      </c>
      <c r="H378" s="3">
        <v>3.56</v>
      </c>
      <c r="I378" s="3">
        <v>1.3</v>
      </c>
      <c r="J378" s="3">
        <v>0.03</v>
      </c>
      <c r="K378" s="3">
        <v>0.01</v>
      </c>
      <c r="L378" s="3">
        <v>0.06</v>
      </c>
      <c r="M378" s="3">
        <v>0</v>
      </c>
      <c r="N378" s="3">
        <v>17</v>
      </c>
      <c r="O378" s="3">
        <v>25</v>
      </c>
      <c r="P378" s="3">
        <v>0.48</v>
      </c>
      <c r="Q378" s="3">
        <v>194</v>
      </c>
      <c r="R378" s="3">
        <v>2</v>
      </c>
      <c r="S378" s="3">
        <v>0.2</v>
      </c>
      <c r="T378" s="3">
        <v>3.7</v>
      </c>
      <c r="U378" s="3">
        <v>9</v>
      </c>
      <c r="V378" s="3">
        <v>8</v>
      </c>
      <c r="W378" s="3">
        <v>0</v>
      </c>
    </row>
    <row r="379" spans="1:23" x14ac:dyDescent="0.25">
      <c r="A379" s="3" t="s">
        <v>2027</v>
      </c>
      <c r="B379" s="3" t="s">
        <v>749</v>
      </c>
      <c r="C379" s="3"/>
      <c r="D379" s="3" t="s">
        <v>750</v>
      </c>
      <c r="E379" s="3">
        <v>20.16</v>
      </c>
      <c r="F379" s="3">
        <v>1.21</v>
      </c>
      <c r="G379" s="3">
        <v>0.32</v>
      </c>
      <c r="H379" s="3">
        <v>3.11</v>
      </c>
      <c r="I379" s="3">
        <v>1</v>
      </c>
      <c r="J379" s="3">
        <v>0.08</v>
      </c>
      <c r="K379" s="3">
        <v>0.01</v>
      </c>
      <c r="L379" s="3">
        <v>0.09</v>
      </c>
      <c r="M379" s="3">
        <v>0</v>
      </c>
      <c r="N379" s="3">
        <v>16</v>
      </c>
      <c r="O379" s="3">
        <v>38</v>
      </c>
      <c r="P379" s="3">
        <v>0.37</v>
      </c>
      <c r="Q379" s="3">
        <v>261</v>
      </c>
      <c r="R379" s="3">
        <v>8</v>
      </c>
      <c r="S379" s="3">
        <v>0.32</v>
      </c>
      <c r="T379" s="3">
        <v>17.899999999999999</v>
      </c>
      <c r="U379" s="3">
        <v>10</v>
      </c>
      <c r="V379" s="3">
        <v>24</v>
      </c>
      <c r="W379" s="3">
        <v>0</v>
      </c>
    </row>
    <row r="380" spans="1:23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 spans="1:23" x14ac:dyDescent="0.25">
      <c r="A381" s="3" t="s">
        <v>2028</v>
      </c>
      <c r="B381" s="3" t="s">
        <v>751</v>
      </c>
      <c r="C381" s="3"/>
      <c r="D381" s="3" t="s">
        <v>752</v>
      </c>
      <c r="E381" s="3">
        <v>121.27</v>
      </c>
      <c r="F381" s="3">
        <v>8.34</v>
      </c>
      <c r="G381" s="3">
        <v>0.39</v>
      </c>
      <c r="H381" s="3">
        <v>21.1</v>
      </c>
      <c r="I381" s="3">
        <v>8.3000000000000007</v>
      </c>
      <c r="J381" s="3">
        <v>0.05</v>
      </c>
      <c r="K381" s="3">
        <v>0.08</v>
      </c>
      <c r="L381" s="3">
        <v>0.17</v>
      </c>
      <c r="M381" s="3">
        <v>0</v>
      </c>
      <c r="N381" s="3">
        <v>14</v>
      </c>
      <c r="O381" s="3">
        <v>99</v>
      </c>
      <c r="P381" s="3">
        <v>1.29</v>
      </c>
      <c r="Q381" s="3">
        <v>362</v>
      </c>
      <c r="R381" s="3">
        <v>2</v>
      </c>
      <c r="S381" s="3">
        <v>1</v>
      </c>
      <c r="T381" s="3">
        <v>0</v>
      </c>
      <c r="U381" s="3">
        <v>0</v>
      </c>
      <c r="V381" s="3">
        <v>65</v>
      </c>
      <c r="W381" s="3">
        <v>0</v>
      </c>
    </row>
    <row r="382" spans="1:23" x14ac:dyDescent="0.25">
      <c r="A382" s="3" t="s">
        <v>2028</v>
      </c>
      <c r="B382" s="3" t="s">
        <v>753</v>
      </c>
      <c r="C382" s="3"/>
      <c r="D382" s="3" t="s">
        <v>754</v>
      </c>
      <c r="E382" s="3">
        <v>350.12</v>
      </c>
      <c r="F382" s="3">
        <v>24.55</v>
      </c>
      <c r="G382" s="3">
        <v>1.1599999999999999</v>
      </c>
      <c r="H382" s="3">
        <v>60.37</v>
      </c>
      <c r="I382" s="3">
        <v>25.5</v>
      </c>
      <c r="J382" s="3">
        <v>0.16</v>
      </c>
      <c r="K382" s="3">
        <v>0.24</v>
      </c>
      <c r="L382" s="3">
        <v>0.5</v>
      </c>
      <c r="M382" s="3">
        <v>0</v>
      </c>
      <c r="N382" s="3">
        <v>55</v>
      </c>
      <c r="O382" s="3">
        <v>366</v>
      </c>
      <c r="P382" s="3">
        <v>4.43</v>
      </c>
      <c r="Q382" s="3">
        <v>981</v>
      </c>
      <c r="R382" s="3">
        <v>15</v>
      </c>
      <c r="S382" s="3">
        <v>3.01</v>
      </c>
      <c r="T382" s="3">
        <v>2</v>
      </c>
      <c r="U382" s="3">
        <v>7</v>
      </c>
      <c r="V382" s="3">
        <v>274</v>
      </c>
      <c r="W382" s="3">
        <v>0</v>
      </c>
    </row>
    <row r="383" spans="1:23" x14ac:dyDescent="0.25">
      <c r="A383" s="3" t="s">
        <v>2028</v>
      </c>
      <c r="B383" s="3" t="s">
        <v>755</v>
      </c>
      <c r="C383" s="3"/>
      <c r="D383" s="3" t="s">
        <v>756</v>
      </c>
      <c r="E383" s="3">
        <v>150.94</v>
      </c>
      <c r="F383" s="3">
        <v>13.09</v>
      </c>
      <c r="G383" s="3">
        <v>6.7</v>
      </c>
      <c r="H383" s="3">
        <v>9.57</v>
      </c>
      <c r="I383" s="3">
        <v>1.1000000000000001</v>
      </c>
      <c r="J383" s="3">
        <v>0.93</v>
      </c>
      <c r="K383" s="3">
        <v>1.52</v>
      </c>
      <c r="L383" s="3">
        <v>3.78</v>
      </c>
      <c r="M383" s="3">
        <v>0</v>
      </c>
      <c r="N383" s="3">
        <v>67</v>
      </c>
      <c r="O383" s="3">
        <v>164</v>
      </c>
      <c r="P383" s="3">
        <v>2.1</v>
      </c>
      <c r="Q383" s="3">
        <v>484</v>
      </c>
      <c r="R383" s="3">
        <v>14</v>
      </c>
      <c r="S383" s="3">
        <v>1.17</v>
      </c>
      <c r="T383" s="3">
        <v>15</v>
      </c>
      <c r="U383" s="3">
        <v>1</v>
      </c>
      <c r="V383" s="3">
        <v>172</v>
      </c>
      <c r="W383" s="3">
        <v>0</v>
      </c>
    </row>
    <row r="384" spans="1:23" x14ac:dyDescent="0.25">
      <c r="A384" s="3" t="s">
        <v>2028</v>
      </c>
      <c r="B384" s="3" t="s">
        <v>757</v>
      </c>
      <c r="C384" s="3"/>
      <c r="D384" s="3" t="s">
        <v>758</v>
      </c>
      <c r="E384" s="3">
        <v>128.08000000000001</v>
      </c>
      <c r="F384" s="3">
        <v>15.57</v>
      </c>
      <c r="G384" s="3">
        <v>2.92</v>
      </c>
      <c r="H384" s="3">
        <v>9.8800000000000008</v>
      </c>
      <c r="I384" s="3">
        <v>2.8</v>
      </c>
      <c r="J384" s="3">
        <v>0.35</v>
      </c>
      <c r="K384" s="3">
        <v>1.1200000000000001</v>
      </c>
      <c r="L384" s="3">
        <v>0.73</v>
      </c>
      <c r="M384" s="3">
        <v>0</v>
      </c>
      <c r="N384" s="3">
        <v>51</v>
      </c>
      <c r="O384" s="3">
        <v>128</v>
      </c>
      <c r="P384" s="3">
        <v>1.2</v>
      </c>
      <c r="Q384" s="3">
        <v>245</v>
      </c>
      <c r="R384" s="3">
        <v>4</v>
      </c>
      <c r="S384" s="3">
        <v>1.35</v>
      </c>
      <c r="T384" s="3">
        <v>1.1000000000000001</v>
      </c>
      <c r="U384" s="3">
        <v>0</v>
      </c>
      <c r="V384" s="3">
        <v>59</v>
      </c>
      <c r="W384" s="3">
        <v>0</v>
      </c>
    </row>
    <row r="385" spans="1:23" x14ac:dyDescent="0.25">
      <c r="A385" s="3" t="s">
        <v>2028</v>
      </c>
      <c r="B385" s="3" t="s">
        <v>759</v>
      </c>
      <c r="C385" s="3"/>
      <c r="D385" s="3" t="s">
        <v>760</v>
      </c>
      <c r="E385" s="3">
        <v>128.08000000000001</v>
      </c>
      <c r="F385" s="3">
        <v>15.57</v>
      </c>
      <c r="G385" s="3">
        <v>2.92</v>
      </c>
      <c r="H385" s="3">
        <v>9.8800000000000008</v>
      </c>
      <c r="I385" s="3">
        <v>2.8</v>
      </c>
      <c r="J385" s="3">
        <v>0.35</v>
      </c>
      <c r="K385" s="3">
        <v>1.18</v>
      </c>
      <c r="L385" s="3">
        <v>0.73</v>
      </c>
      <c r="M385" s="3">
        <v>0</v>
      </c>
      <c r="N385" s="3">
        <v>51</v>
      </c>
      <c r="O385" s="3">
        <v>128</v>
      </c>
      <c r="P385" s="3">
        <v>1.2</v>
      </c>
      <c r="Q385" s="3">
        <v>245</v>
      </c>
      <c r="R385" s="3">
        <v>4</v>
      </c>
      <c r="S385" s="3">
        <v>1.38</v>
      </c>
      <c r="T385" s="3">
        <v>1.1000000000000001</v>
      </c>
      <c r="U385" s="3">
        <v>0</v>
      </c>
      <c r="V385" s="3">
        <v>59</v>
      </c>
      <c r="W385" s="3">
        <v>0</v>
      </c>
    </row>
    <row r="386" spans="1:23" x14ac:dyDescent="0.25">
      <c r="A386" s="3" t="s">
        <v>2028</v>
      </c>
      <c r="B386" s="3" t="s">
        <v>761</v>
      </c>
      <c r="C386" s="3"/>
      <c r="D386" s="3" t="s">
        <v>762</v>
      </c>
      <c r="E386" s="3">
        <v>393.82</v>
      </c>
      <c r="F386" s="3">
        <v>36.17</v>
      </c>
      <c r="G386" s="3">
        <v>9.74</v>
      </c>
      <c r="H386" s="3">
        <v>40.369999999999997</v>
      </c>
      <c r="I386" s="3">
        <v>18.899999999999999</v>
      </c>
      <c r="J386" s="3">
        <v>1.1599999999999999</v>
      </c>
      <c r="K386" s="3">
        <v>3.94</v>
      </c>
      <c r="L386" s="3">
        <v>2.44</v>
      </c>
      <c r="M386" s="3">
        <v>0</v>
      </c>
      <c r="N386" s="3">
        <v>176</v>
      </c>
      <c r="O386" s="3">
        <v>440</v>
      </c>
      <c r="P386" s="3">
        <v>4.3600000000000003</v>
      </c>
      <c r="Q386" s="3">
        <v>1013</v>
      </c>
      <c r="R386" s="3">
        <v>15</v>
      </c>
      <c r="S386" s="3">
        <v>4.75</v>
      </c>
      <c r="T386" s="3">
        <v>4.8</v>
      </c>
      <c r="U386" s="3">
        <v>0</v>
      </c>
      <c r="V386" s="3">
        <v>355</v>
      </c>
      <c r="W386" s="3">
        <v>0</v>
      </c>
    </row>
    <row r="387" spans="1:23" x14ac:dyDescent="0.25">
      <c r="A387" s="3" t="s">
        <v>2028</v>
      </c>
      <c r="B387" s="3" t="s">
        <v>763</v>
      </c>
      <c r="C387" s="3"/>
      <c r="D387" s="3" t="s">
        <v>764</v>
      </c>
      <c r="E387" s="3">
        <v>347.18</v>
      </c>
      <c r="F387" s="3">
        <v>21.86</v>
      </c>
      <c r="G387" s="3">
        <v>1.1399999999999999</v>
      </c>
      <c r="H387" s="3">
        <v>62.37</v>
      </c>
      <c r="I387" s="3">
        <v>20.2</v>
      </c>
      <c r="J387" s="3">
        <v>0.36</v>
      </c>
      <c r="K387" s="3">
        <v>0.05</v>
      </c>
      <c r="L387" s="3">
        <v>0.48</v>
      </c>
      <c r="M387" s="3">
        <v>0</v>
      </c>
      <c r="N387" s="3">
        <v>175</v>
      </c>
      <c r="O387" s="3">
        <v>447</v>
      </c>
      <c r="P387" s="3">
        <v>5.47</v>
      </c>
      <c r="Q387" s="3">
        <v>1387</v>
      </c>
      <c r="R387" s="3">
        <v>14</v>
      </c>
      <c r="S387" s="3">
        <v>2.31</v>
      </c>
      <c r="T387" s="3">
        <v>5.3</v>
      </c>
      <c r="U387" s="3">
        <v>0</v>
      </c>
      <c r="V387" s="3">
        <v>482</v>
      </c>
      <c r="W387" s="3">
        <v>0</v>
      </c>
    </row>
    <row r="388" spans="1:23" x14ac:dyDescent="0.25">
      <c r="A388" s="3" t="s">
        <v>2028</v>
      </c>
      <c r="B388" s="3" t="s">
        <v>765</v>
      </c>
      <c r="C388" s="3"/>
      <c r="D388" s="3" t="s">
        <v>766</v>
      </c>
      <c r="E388" s="3">
        <v>142.43</v>
      </c>
      <c r="F388" s="3">
        <v>9.73</v>
      </c>
      <c r="G388" s="3">
        <v>0.35</v>
      </c>
      <c r="H388" s="3">
        <v>25.09</v>
      </c>
      <c r="I388" s="3">
        <v>6.3</v>
      </c>
      <c r="J388" s="3">
        <v>0.09</v>
      </c>
      <c r="K388" s="3">
        <v>0.03</v>
      </c>
      <c r="L388" s="3">
        <v>0.15</v>
      </c>
      <c r="M388" s="3">
        <v>0</v>
      </c>
      <c r="N388" s="3">
        <v>90</v>
      </c>
      <c r="O388" s="3">
        <v>113</v>
      </c>
      <c r="P388" s="3">
        <v>3.7</v>
      </c>
      <c r="Q388" s="3">
        <v>561</v>
      </c>
      <c r="R388" s="3">
        <v>6</v>
      </c>
      <c r="S388" s="3">
        <v>1.38</v>
      </c>
      <c r="T388" s="3">
        <v>0</v>
      </c>
      <c r="U388" s="3">
        <v>0</v>
      </c>
      <c r="V388" s="3">
        <v>81</v>
      </c>
      <c r="W388" s="3">
        <v>0</v>
      </c>
    </row>
    <row r="389" spans="1:23" x14ac:dyDescent="0.25">
      <c r="A389" s="3" t="s">
        <v>2028</v>
      </c>
      <c r="B389" s="3" t="s">
        <v>767</v>
      </c>
      <c r="C389" s="3"/>
      <c r="D389" s="3" t="s">
        <v>768</v>
      </c>
      <c r="E389" s="3">
        <v>342.17</v>
      </c>
      <c r="F389" s="3">
        <v>23.36</v>
      </c>
      <c r="G389" s="3">
        <v>0.85</v>
      </c>
      <c r="H389" s="3">
        <v>60.27</v>
      </c>
      <c r="I389" s="3">
        <v>15.2</v>
      </c>
      <c r="J389" s="3">
        <v>0.22</v>
      </c>
      <c r="K389" s="3">
        <v>7.0000000000000007E-2</v>
      </c>
      <c r="L389" s="3">
        <v>0.36</v>
      </c>
      <c r="M389" s="3">
        <v>0</v>
      </c>
      <c r="N389" s="3">
        <v>240</v>
      </c>
      <c r="O389" s="3">
        <v>301</v>
      </c>
      <c r="P389" s="3">
        <v>10.44</v>
      </c>
      <c r="Q389" s="3">
        <v>1795</v>
      </c>
      <c r="R389" s="3">
        <v>16</v>
      </c>
      <c r="S389" s="3">
        <v>3.67</v>
      </c>
      <c r="T389" s="3">
        <v>0</v>
      </c>
      <c r="U389" s="3">
        <v>0</v>
      </c>
      <c r="V389" s="3">
        <v>388</v>
      </c>
      <c r="W389" s="3">
        <v>0</v>
      </c>
    </row>
    <row r="390" spans="1:23" x14ac:dyDescent="0.25">
      <c r="A390" s="3" t="s">
        <v>2028</v>
      </c>
      <c r="B390" s="3" t="s">
        <v>769</v>
      </c>
      <c r="C390" s="3"/>
      <c r="D390" s="3" t="s">
        <v>770</v>
      </c>
      <c r="E390" s="3">
        <v>87.3</v>
      </c>
      <c r="F390" s="3">
        <v>5.2</v>
      </c>
      <c r="G390" s="3">
        <v>0.5</v>
      </c>
      <c r="H390" s="3">
        <v>15.5</v>
      </c>
      <c r="I390" s="3">
        <v>10.4</v>
      </c>
      <c r="J390" s="3"/>
      <c r="K390" s="3"/>
      <c r="L390" s="3"/>
      <c r="M390" s="3"/>
      <c r="N390" s="3">
        <v>45</v>
      </c>
      <c r="O390" s="3">
        <v>85</v>
      </c>
      <c r="P390" s="3">
        <v>1.6</v>
      </c>
      <c r="Q390" s="3"/>
      <c r="R390" s="3"/>
      <c r="S390" s="3">
        <v>1.06</v>
      </c>
      <c r="T390" s="3">
        <v>0</v>
      </c>
      <c r="U390" s="3">
        <v>0</v>
      </c>
      <c r="V390" s="3"/>
      <c r="W390" s="3"/>
    </row>
    <row r="391" spans="1:23" x14ac:dyDescent="0.25">
      <c r="A391" s="3" t="s">
        <v>2028</v>
      </c>
      <c r="B391" s="3" t="s">
        <v>771</v>
      </c>
      <c r="C391" s="3"/>
      <c r="D391" s="3" t="s">
        <v>772</v>
      </c>
      <c r="E391" s="3">
        <v>346.9</v>
      </c>
      <c r="F391" s="3">
        <v>21.9</v>
      </c>
      <c r="G391" s="3">
        <v>2.1</v>
      </c>
      <c r="H391" s="3">
        <v>60.1</v>
      </c>
      <c r="I391" s="3">
        <v>25.1</v>
      </c>
      <c r="J391" s="3"/>
      <c r="K391" s="3"/>
      <c r="L391" s="3"/>
      <c r="M391" s="3"/>
      <c r="N391" s="3">
        <v>138</v>
      </c>
      <c r="O391" s="3">
        <v>351</v>
      </c>
      <c r="P391" s="3">
        <v>6.6</v>
      </c>
      <c r="Q391" s="3">
        <v>1212</v>
      </c>
      <c r="R391" s="3">
        <v>43</v>
      </c>
      <c r="S391" s="3">
        <v>2.83</v>
      </c>
      <c r="T391" s="3">
        <v>6.3</v>
      </c>
      <c r="U391" s="3">
        <v>0</v>
      </c>
      <c r="V391" s="3"/>
      <c r="W391" s="3"/>
    </row>
    <row r="392" spans="1:23" x14ac:dyDescent="0.25">
      <c r="A392" s="3" t="s">
        <v>2028</v>
      </c>
      <c r="B392" s="3" t="s">
        <v>773</v>
      </c>
      <c r="C392" s="3"/>
      <c r="D392" s="3" t="s">
        <v>774</v>
      </c>
      <c r="E392" s="3">
        <v>346.2</v>
      </c>
      <c r="F392" s="3">
        <v>19.2</v>
      </c>
      <c r="G392" s="3">
        <v>1.8</v>
      </c>
      <c r="H392" s="3">
        <v>63.3</v>
      </c>
      <c r="I392" s="3">
        <v>24.9</v>
      </c>
      <c r="J392" s="3"/>
      <c r="K392" s="3"/>
      <c r="L392" s="3"/>
      <c r="M392" s="3"/>
      <c r="N392" s="3">
        <v>149</v>
      </c>
      <c r="O392" s="3">
        <v>362</v>
      </c>
      <c r="P392" s="3">
        <v>4</v>
      </c>
      <c r="Q392" s="3">
        <v>1212</v>
      </c>
      <c r="R392" s="3">
        <v>43</v>
      </c>
      <c r="S392" s="3">
        <v>2.79</v>
      </c>
      <c r="T392" s="3">
        <v>4.5</v>
      </c>
      <c r="U392" s="3">
        <v>0</v>
      </c>
      <c r="V392" s="3"/>
      <c r="W392" s="3"/>
    </row>
    <row r="393" spans="1:23" x14ac:dyDescent="0.25">
      <c r="A393" s="3" t="s">
        <v>2028</v>
      </c>
      <c r="B393" s="3" t="s">
        <v>775</v>
      </c>
      <c r="C393" s="3"/>
      <c r="D393" s="3" t="s">
        <v>776</v>
      </c>
      <c r="E393" s="3">
        <v>337.4</v>
      </c>
      <c r="F393" s="3">
        <v>21.2</v>
      </c>
      <c r="G393" s="3">
        <v>1.4</v>
      </c>
      <c r="H393" s="3">
        <v>60</v>
      </c>
      <c r="I393" s="3">
        <v>24.9</v>
      </c>
      <c r="J393" s="3"/>
      <c r="K393" s="3"/>
      <c r="L393" s="3"/>
      <c r="M393" s="3"/>
      <c r="N393" s="3">
        <v>129</v>
      </c>
      <c r="O393" s="3">
        <v>413</v>
      </c>
      <c r="P393" s="3">
        <v>9.9</v>
      </c>
      <c r="Q393" s="3"/>
      <c r="R393" s="3"/>
      <c r="S393" s="3">
        <v>2.79</v>
      </c>
      <c r="T393" s="3">
        <v>4.5</v>
      </c>
      <c r="U393" s="3">
        <v>0</v>
      </c>
      <c r="V393" s="3"/>
      <c r="W393" s="3"/>
    </row>
    <row r="394" spans="1:23" x14ac:dyDescent="0.25">
      <c r="A394" s="3" t="s">
        <v>2028</v>
      </c>
      <c r="B394" s="3" t="s">
        <v>777</v>
      </c>
      <c r="C394" s="3"/>
      <c r="D394" s="3" t="s">
        <v>778</v>
      </c>
      <c r="E394" s="3">
        <v>135.13999999999999</v>
      </c>
      <c r="F394" s="3">
        <v>8.86</v>
      </c>
      <c r="G394" s="3">
        <v>0.54</v>
      </c>
      <c r="H394" s="3">
        <v>23.71</v>
      </c>
      <c r="I394" s="3">
        <v>8.6999999999999993</v>
      </c>
      <c r="J394" s="3">
        <v>0.14000000000000001</v>
      </c>
      <c r="K394" s="3">
        <v>0.05</v>
      </c>
      <c r="L394" s="3">
        <v>0.23</v>
      </c>
      <c r="M394" s="3">
        <v>0</v>
      </c>
      <c r="N394" s="3">
        <v>27</v>
      </c>
      <c r="O394" s="3">
        <v>140</v>
      </c>
      <c r="P394" s="3">
        <v>2.1</v>
      </c>
      <c r="Q394" s="3">
        <v>355</v>
      </c>
      <c r="R394" s="3">
        <v>1</v>
      </c>
      <c r="S394" s="3">
        <v>1.1200000000000001</v>
      </c>
      <c r="T394" s="3">
        <v>0</v>
      </c>
      <c r="U394" s="3">
        <v>0</v>
      </c>
      <c r="V394" s="3">
        <v>149</v>
      </c>
      <c r="W394" s="3">
        <v>0</v>
      </c>
    </row>
    <row r="395" spans="1:23" x14ac:dyDescent="0.25">
      <c r="A395" s="3" t="s">
        <v>2028</v>
      </c>
      <c r="B395" s="3" t="s">
        <v>779</v>
      </c>
      <c r="C395" s="3"/>
      <c r="D395" s="3" t="s">
        <v>780</v>
      </c>
      <c r="E395" s="3">
        <v>351.6</v>
      </c>
      <c r="F395" s="3">
        <v>22.7</v>
      </c>
      <c r="G395" s="3">
        <v>1.6</v>
      </c>
      <c r="H395" s="3">
        <v>61.6</v>
      </c>
      <c r="I395" s="3">
        <v>18.37</v>
      </c>
      <c r="J395" s="3">
        <v>0.28999999999999998</v>
      </c>
      <c r="K395" s="3">
        <v>0.1</v>
      </c>
      <c r="L395" s="3">
        <v>0.27</v>
      </c>
      <c r="M395" s="3">
        <v>0</v>
      </c>
      <c r="N395" s="3">
        <v>134</v>
      </c>
      <c r="O395" s="3">
        <v>415</v>
      </c>
      <c r="P395" s="3">
        <v>7.1</v>
      </c>
      <c r="Q395" s="3">
        <v>1464</v>
      </c>
      <c r="R395" s="3">
        <v>8</v>
      </c>
      <c r="S395" s="3">
        <v>2.5499999999999998</v>
      </c>
      <c r="T395" s="3">
        <v>1</v>
      </c>
      <c r="U395" s="3">
        <v>0</v>
      </c>
      <c r="V395" s="3"/>
      <c r="W395" s="3">
        <v>0</v>
      </c>
    </row>
    <row r="396" spans="1:23" x14ac:dyDescent="0.25">
      <c r="A396" s="3" t="s">
        <v>2028</v>
      </c>
      <c r="B396" s="3" t="s">
        <v>779</v>
      </c>
      <c r="C396" s="3"/>
      <c r="D396" s="3" t="s">
        <v>780</v>
      </c>
      <c r="E396" s="3">
        <v>348.62</v>
      </c>
      <c r="F396" s="3">
        <v>21.6</v>
      </c>
      <c r="G396" s="3">
        <v>1.42</v>
      </c>
      <c r="H396" s="3">
        <v>62.36</v>
      </c>
      <c r="I396" s="3">
        <v>15.5</v>
      </c>
      <c r="J396" s="3">
        <v>0.37</v>
      </c>
      <c r="K396" s="3">
        <v>0.12</v>
      </c>
      <c r="L396" s="3">
        <v>0.61</v>
      </c>
      <c r="M396" s="3">
        <v>0</v>
      </c>
      <c r="N396" s="3">
        <v>123</v>
      </c>
      <c r="O396" s="3">
        <v>352</v>
      </c>
      <c r="P396" s="3">
        <v>5.0199999999999996</v>
      </c>
      <c r="Q396" s="3">
        <v>1483</v>
      </c>
      <c r="R396" s="3">
        <v>5</v>
      </c>
      <c r="S396" s="3">
        <v>3.65</v>
      </c>
      <c r="T396" s="3">
        <v>0</v>
      </c>
      <c r="U396" s="3">
        <v>0</v>
      </c>
      <c r="V396" s="3">
        <v>444</v>
      </c>
      <c r="W396" s="3">
        <v>0</v>
      </c>
    </row>
    <row r="397" spans="1:23" x14ac:dyDescent="0.25">
      <c r="A397" s="3" t="s">
        <v>2028</v>
      </c>
      <c r="B397" s="3" t="s">
        <v>781</v>
      </c>
      <c r="C397" s="3"/>
      <c r="D397" s="3" t="s">
        <v>782</v>
      </c>
      <c r="E397" s="3">
        <v>178.27</v>
      </c>
      <c r="F397" s="3">
        <v>4.3499999999999996</v>
      </c>
      <c r="G397" s="3">
        <v>4.3499999999999996</v>
      </c>
      <c r="H397" s="3">
        <v>30.43</v>
      </c>
      <c r="I397" s="3"/>
      <c r="J397" s="3">
        <v>0</v>
      </c>
      <c r="K397" s="3">
        <v>2.17</v>
      </c>
      <c r="L397" s="3">
        <v>0</v>
      </c>
      <c r="M397" s="3"/>
      <c r="N397" s="3"/>
      <c r="O397" s="3"/>
      <c r="P397" s="3"/>
      <c r="Q397" s="3">
        <v>347.83</v>
      </c>
      <c r="R397" s="3">
        <v>347.83</v>
      </c>
      <c r="S397" s="3"/>
      <c r="T397" s="3"/>
      <c r="U397" s="3">
        <v>0</v>
      </c>
      <c r="V397" s="3"/>
      <c r="W397" s="3"/>
    </row>
    <row r="398" spans="1:23" x14ac:dyDescent="0.25">
      <c r="A398" s="3" t="s">
        <v>2028</v>
      </c>
      <c r="B398" s="3" t="s">
        <v>783</v>
      </c>
      <c r="C398" s="3"/>
      <c r="D398" s="3" t="s">
        <v>784</v>
      </c>
      <c r="E398" s="3">
        <v>130.38</v>
      </c>
      <c r="F398" s="3">
        <v>8.67</v>
      </c>
      <c r="G398" s="3">
        <v>0.5</v>
      </c>
      <c r="H398" s="3">
        <v>22.8</v>
      </c>
      <c r="I398" s="3">
        <v>7.4</v>
      </c>
      <c r="J398" s="3">
        <v>7.0000000000000007E-2</v>
      </c>
      <c r="K398" s="3">
        <v>0.04</v>
      </c>
      <c r="L398" s="3">
        <v>0.28000000000000003</v>
      </c>
      <c r="M398" s="3">
        <v>0</v>
      </c>
      <c r="N398" s="3">
        <v>28</v>
      </c>
      <c r="O398" s="3">
        <v>142</v>
      </c>
      <c r="P398" s="3">
        <v>2.94</v>
      </c>
      <c r="Q398" s="3">
        <v>403</v>
      </c>
      <c r="R398" s="3">
        <v>2</v>
      </c>
      <c r="S398" s="3">
        <v>1.07</v>
      </c>
      <c r="T398" s="3">
        <v>1</v>
      </c>
      <c r="U398" s="3">
        <v>0</v>
      </c>
      <c r="V398" s="3">
        <v>130</v>
      </c>
      <c r="W398" s="3">
        <v>0</v>
      </c>
    </row>
    <row r="399" spans="1:23" x14ac:dyDescent="0.25">
      <c r="A399" s="3" t="s">
        <v>2028</v>
      </c>
      <c r="B399" s="3" t="s">
        <v>785</v>
      </c>
      <c r="C399" s="3"/>
      <c r="D399" s="3" t="s">
        <v>786</v>
      </c>
      <c r="E399" s="3">
        <v>344.82</v>
      </c>
      <c r="F399" s="3">
        <v>22.53</v>
      </c>
      <c r="G399" s="3">
        <v>1.06</v>
      </c>
      <c r="H399" s="3">
        <v>61.29</v>
      </c>
      <c r="I399" s="3">
        <v>15.2</v>
      </c>
      <c r="J399" s="3">
        <v>0.15</v>
      </c>
      <c r="K399" s="3">
        <v>0.08</v>
      </c>
      <c r="L399" s="3">
        <v>0.59</v>
      </c>
      <c r="M399" s="3">
        <v>0</v>
      </c>
      <c r="N399" s="3">
        <v>83</v>
      </c>
      <c r="O399" s="3">
        <v>406</v>
      </c>
      <c r="P399" s="3">
        <v>6.69</v>
      </c>
      <c r="Q399" s="3">
        <v>1359</v>
      </c>
      <c r="R399" s="3">
        <v>12</v>
      </c>
      <c r="S399" s="3">
        <v>2.79</v>
      </c>
      <c r="T399" s="3">
        <v>5</v>
      </c>
      <c r="U399" s="3">
        <v>0</v>
      </c>
      <c r="V399" s="3">
        <v>394</v>
      </c>
      <c r="W399" s="3">
        <v>0</v>
      </c>
    </row>
    <row r="400" spans="1:23" x14ac:dyDescent="0.25">
      <c r="A400" s="3" t="s">
        <v>2028</v>
      </c>
      <c r="B400" s="3" t="s">
        <v>787</v>
      </c>
      <c r="C400" s="3"/>
      <c r="D400" s="3" t="s">
        <v>788</v>
      </c>
      <c r="E400" s="3">
        <v>168.43</v>
      </c>
      <c r="F400" s="3">
        <v>8.86</v>
      </c>
      <c r="G400" s="3">
        <v>2.59</v>
      </c>
      <c r="H400" s="3">
        <v>27.42</v>
      </c>
      <c r="I400" s="3">
        <v>7.6</v>
      </c>
      <c r="J400" s="3">
        <v>0.27</v>
      </c>
      <c r="K400" s="3">
        <v>0.57999999999999996</v>
      </c>
      <c r="L400" s="3">
        <v>1.1599999999999999</v>
      </c>
      <c r="M400" s="3">
        <v>0</v>
      </c>
      <c r="N400" s="3">
        <v>49</v>
      </c>
      <c r="O400" s="3">
        <v>168</v>
      </c>
      <c r="P400" s="3">
        <v>2.89</v>
      </c>
      <c r="Q400" s="3">
        <v>291</v>
      </c>
      <c r="R400" s="3">
        <v>7</v>
      </c>
      <c r="S400" s="3">
        <v>153</v>
      </c>
      <c r="T400" s="3">
        <v>1.3</v>
      </c>
      <c r="U400" s="3">
        <v>1</v>
      </c>
      <c r="V400" s="3">
        <v>172</v>
      </c>
      <c r="W400" s="3">
        <v>0</v>
      </c>
    </row>
    <row r="401" spans="1:23" x14ac:dyDescent="0.25">
      <c r="A401" s="3" t="s">
        <v>2028</v>
      </c>
      <c r="B401" s="3" t="s">
        <v>789</v>
      </c>
      <c r="C401" s="3"/>
      <c r="D401" s="3" t="s">
        <v>790</v>
      </c>
      <c r="E401" s="3">
        <v>374.16</v>
      </c>
      <c r="F401" s="3">
        <v>19.3</v>
      </c>
      <c r="G401" s="3">
        <v>6.04</v>
      </c>
      <c r="H401" s="3">
        <v>60.65</v>
      </c>
      <c r="I401" s="3">
        <v>17.399999999999999</v>
      </c>
      <c r="J401" s="3">
        <v>0.63</v>
      </c>
      <c r="K401" s="3">
        <v>1.36</v>
      </c>
      <c r="L401" s="3">
        <v>2.69</v>
      </c>
      <c r="M401" s="3">
        <v>0</v>
      </c>
      <c r="N401" s="3">
        <v>105</v>
      </c>
      <c r="O401" s="3">
        <v>366</v>
      </c>
      <c r="P401" s="3">
        <v>6.24</v>
      </c>
      <c r="Q401" s="3">
        <v>875</v>
      </c>
      <c r="R401" s="3">
        <v>24</v>
      </c>
      <c r="S401" s="3">
        <v>3.43</v>
      </c>
      <c r="T401" s="3">
        <v>4</v>
      </c>
      <c r="U401" s="3">
        <v>3</v>
      </c>
      <c r="V401" s="3">
        <v>557</v>
      </c>
      <c r="W401" s="3">
        <v>0</v>
      </c>
    </row>
    <row r="402" spans="1:23" x14ac:dyDescent="0.25">
      <c r="A402" s="3" t="s">
        <v>2028</v>
      </c>
      <c r="B402" s="3" t="s">
        <v>791</v>
      </c>
      <c r="C402" s="3"/>
      <c r="D402" s="3" t="s">
        <v>792</v>
      </c>
      <c r="E402" s="3">
        <v>221.72</v>
      </c>
      <c r="F402" s="3">
        <v>4.3499999999999996</v>
      </c>
      <c r="G402" s="3">
        <v>13.04</v>
      </c>
      <c r="H402" s="3">
        <v>21.74</v>
      </c>
      <c r="I402" s="3"/>
      <c r="J402" s="3">
        <v>0</v>
      </c>
      <c r="K402" s="3">
        <v>6.52</v>
      </c>
      <c r="L402" s="3">
        <v>2.17</v>
      </c>
      <c r="M402" s="3"/>
      <c r="N402" s="3"/>
      <c r="O402" s="3"/>
      <c r="P402" s="3"/>
      <c r="Q402" s="3">
        <v>608.70000000000005</v>
      </c>
      <c r="R402" s="3">
        <v>608.70000000000005</v>
      </c>
      <c r="S402" s="3"/>
      <c r="T402" s="3"/>
      <c r="U402" s="3">
        <v>4.3499999999999996</v>
      </c>
      <c r="V402" s="3"/>
      <c r="W402" s="3"/>
    </row>
    <row r="403" spans="1:23" x14ac:dyDescent="0.25">
      <c r="A403" s="3" t="s">
        <v>2028</v>
      </c>
      <c r="B403" s="3" t="s">
        <v>793</v>
      </c>
      <c r="C403" s="3"/>
      <c r="D403" s="3" t="s">
        <v>794</v>
      </c>
      <c r="E403" s="3">
        <v>351.41</v>
      </c>
      <c r="F403" s="3">
        <v>26.12</v>
      </c>
      <c r="G403" s="3">
        <v>1.53</v>
      </c>
      <c r="H403" s="3">
        <v>58.29</v>
      </c>
      <c r="I403" s="3">
        <v>25</v>
      </c>
      <c r="J403" s="3">
        <v>0.25</v>
      </c>
      <c r="K403" s="3">
        <v>0.3</v>
      </c>
      <c r="L403" s="3">
        <v>0.63</v>
      </c>
      <c r="M403" s="3">
        <v>0</v>
      </c>
      <c r="N403" s="3">
        <v>103</v>
      </c>
      <c r="O403" s="3">
        <v>421</v>
      </c>
      <c r="P403" s="3">
        <v>6.7</v>
      </c>
      <c r="Q403" s="3">
        <v>1062</v>
      </c>
      <c r="R403" s="3">
        <v>13</v>
      </c>
      <c r="S403" s="3">
        <v>3.14</v>
      </c>
      <c r="T403" s="3">
        <v>1</v>
      </c>
      <c r="U403" s="3">
        <v>3</v>
      </c>
      <c r="V403" s="3">
        <v>423</v>
      </c>
      <c r="W403" s="3">
        <v>0</v>
      </c>
    </row>
    <row r="404" spans="1:23" x14ac:dyDescent="0.25">
      <c r="A404" s="3" t="s">
        <v>2028</v>
      </c>
      <c r="B404" s="3" t="s">
        <v>795</v>
      </c>
      <c r="C404" s="3"/>
      <c r="D404" s="3" t="s">
        <v>796</v>
      </c>
      <c r="E404" s="3">
        <v>107.7</v>
      </c>
      <c r="F404" s="3">
        <v>7.3</v>
      </c>
      <c r="G404" s="3">
        <v>0.5</v>
      </c>
      <c r="H404" s="3">
        <v>18.5</v>
      </c>
      <c r="I404" s="3">
        <v>5.4</v>
      </c>
      <c r="J404" s="3"/>
      <c r="K404" s="3"/>
      <c r="L404" s="3"/>
      <c r="M404" s="3"/>
      <c r="N404" s="3">
        <v>64</v>
      </c>
      <c r="O404" s="3">
        <v>53</v>
      </c>
      <c r="P404" s="3">
        <v>0.9</v>
      </c>
      <c r="Q404" s="3"/>
      <c r="R404" s="3"/>
      <c r="S404" s="3">
        <v>1.01</v>
      </c>
      <c r="T404" s="3">
        <v>0.9</v>
      </c>
      <c r="U404" s="3">
        <v>1</v>
      </c>
      <c r="V404" s="3"/>
      <c r="W404" s="3"/>
    </row>
    <row r="405" spans="1:23" x14ac:dyDescent="0.25">
      <c r="A405" s="3" t="s">
        <v>2028</v>
      </c>
      <c r="B405" s="3" t="s">
        <v>797</v>
      </c>
      <c r="C405" s="3"/>
      <c r="D405" s="3" t="s">
        <v>798</v>
      </c>
      <c r="E405" s="3">
        <v>376.8</v>
      </c>
      <c r="F405" s="3">
        <v>26.4</v>
      </c>
      <c r="G405" s="3">
        <v>2</v>
      </c>
      <c r="H405" s="3">
        <v>63.3</v>
      </c>
      <c r="I405" s="3">
        <v>0</v>
      </c>
      <c r="J405" s="3"/>
      <c r="K405" s="3"/>
      <c r="L405" s="3"/>
      <c r="M405" s="3"/>
      <c r="N405" s="3">
        <v>60</v>
      </c>
      <c r="O405" s="3">
        <v>479</v>
      </c>
      <c r="P405" s="3">
        <v>6.8</v>
      </c>
      <c r="Q405" s="3"/>
      <c r="R405" s="3"/>
      <c r="S405" s="3"/>
      <c r="T405" s="3">
        <v>2</v>
      </c>
      <c r="U405" s="3"/>
      <c r="V405" s="3"/>
      <c r="W405" s="3"/>
    </row>
    <row r="406" spans="1:23" x14ac:dyDescent="0.25">
      <c r="A406" s="3" t="s">
        <v>2028</v>
      </c>
      <c r="B406" s="3" t="s">
        <v>799</v>
      </c>
      <c r="C406" s="3"/>
      <c r="D406" s="3" t="s">
        <v>800</v>
      </c>
      <c r="E406" s="3">
        <v>360.5</v>
      </c>
      <c r="F406" s="3">
        <v>23.4</v>
      </c>
      <c r="G406" s="3">
        <v>2.1</v>
      </c>
      <c r="H406" s="3">
        <v>62</v>
      </c>
      <c r="I406" s="3"/>
      <c r="J406" s="3"/>
      <c r="K406" s="3"/>
      <c r="L406" s="3"/>
      <c r="M406" s="3"/>
      <c r="N406" s="3">
        <v>81</v>
      </c>
      <c r="O406" s="3">
        <v>297</v>
      </c>
      <c r="P406" s="3">
        <v>6</v>
      </c>
      <c r="Q406" s="3"/>
      <c r="R406" s="3"/>
      <c r="S406" s="3"/>
      <c r="T406" s="3">
        <v>1</v>
      </c>
      <c r="U406" s="3"/>
      <c r="V406" s="3"/>
      <c r="W406" s="3"/>
    </row>
    <row r="407" spans="1:23" x14ac:dyDescent="0.25">
      <c r="A407" s="3" t="s">
        <v>2028</v>
      </c>
      <c r="B407" s="3" t="s">
        <v>801</v>
      </c>
      <c r="C407" s="3"/>
      <c r="D407" s="3" t="s">
        <v>802</v>
      </c>
      <c r="E407" s="3">
        <v>381.05</v>
      </c>
      <c r="F407" s="3">
        <v>22.39</v>
      </c>
      <c r="G407" s="3">
        <v>6.69</v>
      </c>
      <c r="H407" s="3">
        <v>57.82</v>
      </c>
      <c r="I407" s="3">
        <v>10.8</v>
      </c>
      <c r="J407" s="3">
        <v>0.69</v>
      </c>
      <c r="K407" s="3">
        <v>1.5</v>
      </c>
      <c r="L407" s="3">
        <v>2.98</v>
      </c>
      <c r="M407" s="3">
        <v>0</v>
      </c>
      <c r="N407" s="3">
        <v>45</v>
      </c>
      <c r="O407" s="3">
        <v>318</v>
      </c>
      <c r="P407" s="3">
        <v>4.8600000000000003</v>
      </c>
      <c r="Q407" s="3">
        <v>846</v>
      </c>
      <c r="R407" s="3">
        <v>64</v>
      </c>
      <c r="S407" s="3">
        <v>2.81</v>
      </c>
      <c r="T407" s="3">
        <v>0</v>
      </c>
      <c r="U407" s="3">
        <v>2</v>
      </c>
      <c r="V407" s="3">
        <v>437</v>
      </c>
      <c r="W407" s="3">
        <v>0</v>
      </c>
    </row>
    <row r="408" spans="1:23" x14ac:dyDescent="0.25">
      <c r="A408" s="3" t="s">
        <v>2028</v>
      </c>
      <c r="B408" s="3" t="s">
        <v>803</v>
      </c>
      <c r="C408" s="3"/>
      <c r="D408" s="3" t="s">
        <v>804</v>
      </c>
      <c r="E408" s="3">
        <v>359.9</v>
      </c>
      <c r="F408" s="3">
        <v>27.6</v>
      </c>
      <c r="G408" s="3">
        <v>1.9</v>
      </c>
      <c r="H408" s="3">
        <v>58.1</v>
      </c>
      <c r="I408" s="3"/>
      <c r="J408" s="3">
        <v>0.22</v>
      </c>
      <c r="K408" s="3">
        <v>0.26</v>
      </c>
      <c r="L408" s="3">
        <v>0.5</v>
      </c>
      <c r="M408" s="3">
        <v>0</v>
      </c>
      <c r="N408" s="3">
        <v>78</v>
      </c>
      <c r="O408" s="3"/>
      <c r="P408" s="3">
        <v>18.2</v>
      </c>
      <c r="Q408" s="3">
        <v>1062</v>
      </c>
      <c r="R408" s="3">
        <v>13</v>
      </c>
      <c r="S408" s="3">
        <v>3.14</v>
      </c>
      <c r="T408" s="3">
        <v>0</v>
      </c>
      <c r="U408" s="3">
        <v>5</v>
      </c>
      <c r="V408" s="3"/>
      <c r="W408" s="3">
        <v>0</v>
      </c>
    </row>
    <row r="409" spans="1:23" x14ac:dyDescent="0.25">
      <c r="A409" s="3" t="s">
        <v>2028</v>
      </c>
      <c r="B409" s="3" t="s">
        <v>805</v>
      </c>
      <c r="C409" s="3"/>
      <c r="D409" s="3" t="s">
        <v>806</v>
      </c>
      <c r="E409" s="3">
        <v>398.34</v>
      </c>
      <c r="F409" s="3">
        <v>46.53</v>
      </c>
      <c r="G409" s="3">
        <v>6.7</v>
      </c>
      <c r="H409" s="3">
        <v>37.979999999999997</v>
      </c>
      <c r="I409" s="3">
        <v>10.199999999999999</v>
      </c>
      <c r="J409" s="3">
        <v>0.97</v>
      </c>
      <c r="K409" s="3">
        <v>1.48</v>
      </c>
      <c r="L409" s="3">
        <v>3.78</v>
      </c>
      <c r="M409" s="3">
        <v>0</v>
      </c>
      <c r="N409" s="3">
        <v>188</v>
      </c>
      <c r="O409" s="3">
        <v>593</v>
      </c>
      <c r="P409" s="3">
        <v>5.99</v>
      </c>
      <c r="Q409" s="3">
        <v>2570</v>
      </c>
      <c r="R409" s="3">
        <v>18</v>
      </c>
      <c r="S409" s="3">
        <v>1.18</v>
      </c>
      <c r="T409" s="3">
        <v>0</v>
      </c>
      <c r="U409" s="3">
        <v>2</v>
      </c>
      <c r="V409" s="3">
        <v>410</v>
      </c>
      <c r="W409" s="3">
        <v>0</v>
      </c>
    </row>
    <row r="410" spans="1:23" x14ac:dyDescent="0.25">
      <c r="A410" s="3" t="s">
        <v>2028</v>
      </c>
      <c r="B410" s="3" t="s">
        <v>807</v>
      </c>
      <c r="C410" s="3"/>
      <c r="D410" s="3" t="s">
        <v>808</v>
      </c>
      <c r="E410" s="3">
        <v>124.25</v>
      </c>
      <c r="F410" s="3">
        <v>8.8000000000000007</v>
      </c>
      <c r="G410" s="3">
        <v>0.45</v>
      </c>
      <c r="H410" s="3">
        <v>21.25</v>
      </c>
      <c r="I410" s="3"/>
      <c r="J410" s="3">
        <v>0.05</v>
      </c>
      <c r="K410" s="3">
        <v>0.1</v>
      </c>
      <c r="L410" s="3">
        <v>0.2</v>
      </c>
      <c r="M410" s="3">
        <v>0</v>
      </c>
      <c r="N410" s="3">
        <v>14</v>
      </c>
      <c r="O410" s="3">
        <v>153</v>
      </c>
      <c r="P410" s="3">
        <v>3.1</v>
      </c>
      <c r="Q410" s="3">
        <v>284</v>
      </c>
      <c r="R410" s="3">
        <v>10</v>
      </c>
      <c r="S410" s="3">
        <v>1.6</v>
      </c>
      <c r="T410" s="3">
        <v>12.6</v>
      </c>
      <c r="U410" s="3">
        <v>2</v>
      </c>
      <c r="V410" s="3">
        <v>67</v>
      </c>
      <c r="W410" s="3">
        <v>0</v>
      </c>
    </row>
    <row r="411" spans="1:23" x14ac:dyDescent="0.25">
      <c r="A411" s="3" t="s">
        <v>2028</v>
      </c>
      <c r="B411" s="3" t="s">
        <v>809</v>
      </c>
      <c r="C411" s="3"/>
      <c r="D411" s="3" t="s">
        <v>810</v>
      </c>
      <c r="E411" s="3">
        <v>129.35</v>
      </c>
      <c r="F411" s="3">
        <v>8.9600000000000009</v>
      </c>
      <c r="G411" s="3">
        <v>0.55000000000000004</v>
      </c>
      <c r="H411" s="3">
        <v>22.14</v>
      </c>
      <c r="I411" s="3"/>
      <c r="J411" s="3">
        <v>0.06</v>
      </c>
      <c r="K411" s="3">
        <v>0.1</v>
      </c>
      <c r="L411" s="3">
        <v>0.22</v>
      </c>
      <c r="M411" s="3">
        <v>0</v>
      </c>
      <c r="N411" s="3">
        <v>25</v>
      </c>
      <c r="O411" s="3">
        <v>173</v>
      </c>
      <c r="P411" s="3">
        <v>3.21</v>
      </c>
      <c r="Q411" s="3">
        <v>322</v>
      </c>
      <c r="R411" s="3">
        <v>11</v>
      </c>
      <c r="S411" s="3">
        <v>1.51</v>
      </c>
      <c r="T411" s="3">
        <v>16.5</v>
      </c>
      <c r="U411" s="3">
        <v>2</v>
      </c>
      <c r="V411" s="3">
        <v>100</v>
      </c>
      <c r="W411" s="3">
        <v>0</v>
      </c>
    </row>
    <row r="412" spans="1:23" x14ac:dyDescent="0.25">
      <c r="A412" s="3" t="s">
        <v>2028</v>
      </c>
      <c r="B412" s="3" t="s">
        <v>811</v>
      </c>
      <c r="C412" s="3"/>
      <c r="D412" s="3" t="s">
        <v>812</v>
      </c>
      <c r="E412" s="3">
        <v>120.02</v>
      </c>
      <c r="F412" s="3">
        <v>9.02</v>
      </c>
      <c r="G412" s="3">
        <v>0.38</v>
      </c>
      <c r="H412" s="3">
        <v>20.13</v>
      </c>
      <c r="I412" s="3">
        <v>7.9</v>
      </c>
      <c r="J412" s="3">
        <v>0.05</v>
      </c>
      <c r="K412" s="3">
        <v>0.06</v>
      </c>
      <c r="L412" s="3">
        <v>0.18</v>
      </c>
      <c r="M412" s="3">
        <v>0</v>
      </c>
      <c r="N412" s="3">
        <v>19</v>
      </c>
      <c r="O412" s="3">
        <v>180</v>
      </c>
      <c r="P412" s="3">
        <v>3.33</v>
      </c>
      <c r="Q412" s="3">
        <v>369</v>
      </c>
      <c r="R412" s="3">
        <v>2</v>
      </c>
      <c r="S412" s="3">
        <v>1.27</v>
      </c>
      <c r="T412" s="3">
        <v>1.5</v>
      </c>
      <c r="U412" s="3">
        <v>0</v>
      </c>
      <c r="V412" s="3">
        <v>181</v>
      </c>
      <c r="W412" s="3">
        <v>0</v>
      </c>
    </row>
    <row r="413" spans="1:23" x14ac:dyDescent="0.25">
      <c r="A413" s="3" t="s">
        <v>2028</v>
      </c>
      <c r="B413" s="3" t="s">
        <v>813</v>
      </c>
      <c r="C413" s="3"/>
      <c r="D413" s="3" t="s">
        <v>814</v>
      </c>
      <c r="E413" s="3">
        <v>353.06</v>
      </c>
      <c r="F413" s="3">
        <v>25.8</v>
      </c>
      <c r="G413" s="3">
        <v>1.06</v>
      </c>
      <c r="H413" s="3">
        <v>60.08</v>
      </c>
      <c r="I413" s="3">
        <v>30.5</v>
      </c>
      <c r="J413" s="3">
        <v>0.16</v>
      </c>
      <c r="K413" s="3">
        <v>0.19</v>
      </c>
      <c r="L413" s="3">
        <v>0.52</v>
      </c>
      <c r="M413" s="3">
        <v>0</v>
      </c>
      <c r="N413" s="3">
        <v>56</v>
      </c>
      <c r="O413" s="3">
        <v>451</v>
      </c>
      <c r="P413" s="3">
        <v>7.54</v>
      </c>
      <c r="Q413" s="3">
        <v>955</v>
      </c>
      <c r="R413" s="3">
        <v>6</v>
      </c>
      <c r="S413" s="3">
        <v>4.78</v>
      </c>
      <c r="T413" s="3">
        <v>4</v>
      </c>
      <c r="U413" s="3">
        <v>2</v>
      </c>
      <c r="V413" s="3">
        <v>479</v>
      </c>
      <c r="W413" s="3">
        <v>0</v>
      </c>
    </row>
    <row r="414" spans="1:23" x14ac:dyDescent="0.25">
      <c r="A414" s="3" t="s">
        <v>2028</v>
      </c>
      <c r="B414" s="3" t="s">
        <v>815</v>
      </c>
      <c r="C414" s="3"/>
      <c r="D414" s="3" t="s">
        <v>816</v>
      </c>
      <c r="E414" s="3">
        <v>54.92</v>
      </c>
      <c r="F414" s="3">
        <v>4.4800000000000004</v>
      </c>
      <c r="G414" s="3">
        <v>1.92</v>
      </c>
      <c r="H414" s="3">
        <v>4.93</v>
      </c>
      <c r="I414" s="3">
        <v>1.3</v>
      </c>
      <c r="J414" s="3">
        <v>0.23</v>
      </c>
      <c r="K414" s="3">
        <v>0.38</v>
      </c>
      <c r="L414" s="3">
        <v>0.77</v>
      </c>
      <c r="M414" s="3">
        <v>0</v>
      </c>
      <c r="N414" s="3">
        <v>38</v>
      </c>
      <c r="O414" s="3">
        <v>55</v>
      </c>
      <c r="P414" s="3">
        <v>1.1000000000000001</v>
      </c>
      <c r="Q414" s="3">
        <v>124</v>
      </c>
      <c r="R414" s="3">
        <v>55</v>
      </c>
      <c r="S414" s="3">
        <v>0.44</v>
      </c>
      <c r="T414" s="3">
        <v>0</v>
      </c>
      <c r="U414" s="3">
        <v>31</v>
      </c>
      <c r="V414" s="3">
        <v>16</v>
      </c>
      <c r="W414" s="3">
        <v>1.22</v>
      </c>
    </row>
    <row r="415" spans="1:23" x14ac:dyDescent="0.25">
      <c r="A415" s="3" t="s">
        <v>2028</v>
      </c>
      <c r="B415" s="3" t="s">
        <v>817</v>
      </c>
      <c r="C415" s="3"/>
      <c r="D415" s="3" t="s">
        <v>818</v>
      </c>
      <c r="E415" s="3">
        <v>446.06</v>
      </c>
      <c r="F415" s="3">
        <v>36.49</v>
      </c>
      <c r="G415" s="3">
        <v>19.940000000000001</v>
      </c>
      <c r="H415" s="3">
        <v>30.16</v>
      </c>
      <c r="I415" s="3">
        <v>9.3000000000000007</v>
      </c>
      <c r="J415" s="3">
        <v>2.88</v>
      </c>
      <c r="K415" s="3">
        <v>4.4000000000000004</v>
      </c>
      <c r="L415" s="3">
        <v>11.26</v>
      </c>
      <c r="M415" s="3">
        <v>0</v>
      </c>
      <c r="N415" s="3">
        <v>277</v>
      </c>
      <c r="O415" s="3">
        <v>704</v>
      </c>
      <c r="P415" s="3" t="s">
        <v>819</v>
      </c>
      <c r="Q415" s="3">
        <v>1797</v>
      </c>
      <c r="R415" s="3">
        <v>2</v>
      </c>
      <c r="S415" s="3">
        <v>4.8899999999999997</v>
      </c>
      <c r="T415" s="3">
        <v>6</v>
      </c>
      <c r="U415" s="3">
        <v>1</v>
      </c>
      <c r="V415" s="3">
        <v>3.75</v>
      </c>
      <c r="W415" s="3">
        <v>0</v>
      </c>
    </row>
    <row r="416" spans="1:23" x14ac:dyDescent="0.25">
      <c r="A416" s="3" t="s">
        <v>2028</v>
      </c>
      <c r="B416" s="3" t="s">
        <v>820</v>
      </c>
      <c r="C416" s="3"/>
      <c r="D416" s="3" t="s">
        <v>821</v>
      </c>
      <c r="E416" s="3">
        <v>448.6</v>
      </c>
      <c r="F416" s="3">
        <v>28.3</v>
      </c>
      <c r="G416" s="3">
        <v>17.8</v>
      </c>
      <c r="H416" s="3">
        <v>43.8</v>
      </c>
      <c r="I416" s="3"/>
      <c r="J416" s="3"/>
      <c r="K416" s="3"/>
      <c r="L416" s="3"/>
      <c r="M416" s="3"/>
      <c r="N416" s="3">
        <v>597</v>
      </c>
      <c r="O416" s="3">
        <v>717</v>
      </c>
      <c r="P416" s="3">
        <v>10.7</v>
      </c>
      <c r="Q416" s="3"/>
      <c r="R416" s="3"/>
      <c r="S416" s="3"/>
      <c r="T416" s="3">
        <v>53</v>
      </c>
      <c r="U416" s="3">
        <v>10</v>
      </c>
      <c r="V416" s="3"/>
      <c r="W416" s="3"/>
    </row>
    <row r="417" spans="1:23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spans="1:23" x14ac:dyDescent="0.25">
      <c r="A418" s="3" t="s">
        <v>2029</v>
      </c>
      <c r="B418" s="3" t="s">
        <v>822</v>
      </c>
      <c r="C418" s="3"/>
      <c r="D418" s="3" t="s">
        <v>823</v>
      </c>
      <c r="E418" s="3">
        <v>117.84</v>
      </c>
      <c r="F418" s="3">
        <v>16.47</v>
      </c>
      <c r="G418" s="3">
        <v>5.68</v>
      </c>
      <c r="H418" s="3">
        <v>0.21</v>
      </c>
      <c r="I418" s="3">
        <v>0</v>
      </c>
      <c r="J418" s="3">
        <v>2.25</v>
      </c>
      <c r="K418" s="3">
        <v>1.6</v>
      </c>
      <c r="L418" s="3">
        <v>0.55000000000000004</v>
      </c>
      <c r="M418" s="3">
        <v>135</v>
      </c>
      <c r="N418" s="3">
        <v>6</v>
      </c>
      <c r="O418" s="3">
        <v>175</v>
      </c>
      <c r="P418" s="3">
        <v>4.5999999999999996</v>
      </c>
      <c r="Q418" s="3">
        <v>316</v>
      </c>
      <c r="R418" s="3">
        <v>89</v>
      </c>
      <c r="S418" s="3">
        <v>1.87</v>
      </c>
      <c r="T418" s="3">
        <v>5</v>
      </c>
      <c r="U418" s="3">
        <v>0</v>
      </c>
      <c r="V418" s="3">
        <v>2</v>
      </c>
      <c r="W418" s="3">
        <v>10.25</v>
      </c>
    </row>
    <row r="419" spans="1:23" x14ac:dyDescent="0.25">
      <c r="A419" s="3" t="s">
        <v>2029</v>
      </c>
      <c r="B419" s="3" t="s">
        <v>824</v>
      </c>
      <c r="C419" s="3"/>
      <c r="D419" s="3" t="s">
        <v>825</v>
      </c>
      <c r="E419" s="3">
        <v>225.27</v>
      </c>
      <c r="F419" s="3">
        <v>17.91</v>
      </c>
      <c r="G419" s="3">
        <v>17.07</v>
      </c>
      <c r="H419" s="3">
        <v>0</v>
      </c>
      <c r="I419" s="3">
        <v>0</v>
      </c>
      <c r="J419" s="3">
        <v>7.43</v>
      </c>
      <c r="K419" s="3">
        <v>7</v>
      </c>
      <c r="L419" s="3">
        <v>1.35</v>
      </c>
      <c r="M419" s="3">
        <v>69</v>
      </c>
      <c r="N419" s="3">
        <v>9</v>
      </c>
      <c r="O419" s="3">
        <v>170</v>
      </c>
      <c r="P419" s="3">
        <v>1.66</v>
      </c>
      <c r="Q419" s="3">
        <v>249</v>
      </c>
      <c r="R419" s="3">
        <v>56</v>
      </c>
      <c r="S419" s="3">
        <v>3.32</v>
      </c>
      <c r="T419" s="3">
        <v>0</v>
      </c>
      <c r="U419" s="3">
        <v>0</v>
      </c>
      <c r="V419" s="3">
        <v>19</v>
      </c>
      <c r="W419" s="3">
        <v>2.5</v>
      </c>
    </row>
    <row r="420" spans="1:23" x14ac:dyDescent="0.25">
      <c r="A420" s="3" t="s">
        <v>2029</v>
      </c>
      <c r="B420" s="3" t="s">
        <v>826</v>
      </c>
      <c r="C420" s="3"/>
      <c r="D420" s="3" t="s">
        <v>827</v>
      </c>
      <c r="E420" s="3">
        <v>92.79</v>
      </c>
      <c r="F420" s="3">
        <v>15.74</v>
      </c>
      <c r="G420" s="3">
        <v>2.95</v>
      </c>
      <c r="H420" s="3">
        <v>0.82</v>
      </c>
      <c r="I420" s="3">
        <v>0</v>
      </c>
      <c r="J420" s="3">
        <v>1</v>
      </c>
      <c r="K420" s="3">
        <v>0.63</v>
      </c>
      <c r="L420" s="3">
        <v>0.55000000000000004</v>
      </c>
      <c r="M420" s="3">
        <v>337</v>
      </c>
      <c r="N420" s="3">
        <v>13</v>
      </c>
      <c r="O420" s="3">
        <v>246</v>
      </c>
      <c r="P420" s="3">
        <v>6.38</v>
      </c>
      <c r="Q420" s="3">
        <v>277</v>
      </c>
      <c r="R420" s="3">
        <v>156</v>
      </c>
      <c r="S420" s="3">
        <v>2.2400000000000002</v>
      </c>
      <c r="T420" s="3">
        <v>11</v>
      </c>
      <c r="U420" s="3">
        <v>95</v>
      </c>
      <c r="V420" s="3">
        <v>28</v>
      </c>
      <c r="W420" s="3">
        <v>52.41</v>
      </c>
    </row>
    <row r="421" spans="1:23" x14ac:dyDescent="0.25">
      <c r="A421" s="3" t="s">
        <v>2029</v>
      </c>
      <c r="B421" s="3" t="s">
        <v>828</v>
      </c>
      <c r="C421" s="3"/>
      <c r="D421" s="3" t="s">
        <v>829</v>
      </c>
      <c r="E421" s="3">
        <v>107.2</v>
      </c>
      <c r="F421" s="3">
        <v>14.2</v>
      </c>
      <c r="G421" s="3">
        <v>5.6</v>
      </c>
      <c r="H421" s="3">
        <v>0</v>
      </c>
      <c r="I421" s="3"/>
      <c r="J421" s="3">
        <v>3</v>
      </c>
      <c r="K421" s="3">
        <v>2</v>
      </c>
      <c r="L421" s="3">
        <v>0.01</v>
      </c>
      <c r="M421" s="3">
        <v>65</v>
      </c>
      <c r="N421" s="3">
        <v>17</v>
      </c>
      <c r="O421" s="3">
        <v>130</v>
      </c>
      <c r="P421" s="3">
        <v>2.1</v>
      </c>
      <c r="Q421" s="3">
        <v>295</v>
      </c>
      <c r="R421" s="3">
        <v>75</v>
      </c>
      <c r="S421" s="3"/>
      <c r="T421" s="3">
        <v>0</v>
      </c>
      <c r="U421" s="3"/>
      <c r="V421" s="3"/>
      <c r="W421" s="3"/>
    </row>
    <row r="422" spans="1:23" x14ac:dyDescent="0.25">
      <c r="A422" s="3" t="s">
        <v>2029</v>
      </c>
      <c r="B422" s="3" t="s">
        <v>830</v>
      </c>
      <c r="C422" s="3"/>
      <c r="D422" s="3" t="s">
        <v>831</v>
      </c>
      <c r="E422" s="3">
        <v>306.48</v>
      </c>
      <c r="F422" s="3">
        <v>15.87</v>
      </c>
      <c r="G422" s="3">
        <v>27</v>
      </c>
      <c r="H422" s="3">
        <v>0</v>
      </c>
      <c r="I422" s="3">
        <v>0</v>
      </c>
      <c r="J422" s="3">
        <v>13.7</v>
      </c>
      <c r="K422" s="3">
        <v>10.35</v>
      </c>
      <c r="L422" s="3">
        <v>1.1599999999999999</v>
      </c>
      <c r="M422" s="3">
        <v>80</v>
      </c>
      <c r="N422" s="3">
        <v>15</v>
      </c>
      <c r="O422" s="3">
        <v>153</v>
      </c>
      <c r="P422" s="3">
        <v>1.43</v>
      </c>
      <c r="Q422" s="3">
        <v>120</v>
      </c>
      <c r="R422" s="3">
        <v>42</v>
      </c>
      <c r="S422" s="3">
        <v>2.19</v>
      </c>
      <c r="T422" s="3">
        <v>0</v>
      </c>
      <c r="U422" s="3">
        <v>0</v>
      </c>
      <c r="V422" s="3">
        <v>1</v>
      </c>
      <c r="W422" s="3">
        <v>2.2200000000000002</v>
      </c>
    </row>
    <row r="423" spans="1:23" x14ac:dyDescent="0.25">
      <c r="A423" s="3" t="s">
        <v>2029</v>
      </c>
      <c r="B423" s="3" t="s">
        <v>832</v>
      </c>
      <c r="C423" s="3"/>
      <c r="D423" s="3" t="s">
        <v>833</v>
      </c>
      <c r="E423" s="3">
        <v>132.68</v>
      </c>
      <c r="F423" s="3">
        <v>20.48</v>
      </c>
      <c r="G423" s="3">
        <v>5.64</v>
      </c>
      <c r="H423" s="3">
        <v>0</v>
      </c>
      <c r="I423" s="3"/>
      <c r="J423" s="3">
        <v>2.31</v>
      </c>
      <c r="K423" s="3">
        <v>2.29</v>
      </c>
      <c r="L423" s="3">
        <v>0.27</v>
      </c>
      <c r="M423" s="3">
        <v>63</v>
      </c>
      <c r="N423" s="3">
        <v>10</v>
      </c>
      <c r="O423" s="3">
        <v>195</v>
      </c>
      <c r="P423" s="3">
        <v>1.75</v>
      </c>
      <c r="Q423" s="3">
        <v>328</v>
      </c>
      <c r="R423" s="3">
        <v>80</v>
      </c>
      <c r="S423" s="3">
        <v>3.5</v>
      </c>
      <c r="T423" s="3"/>
      <c r="U423" s="3"/>
      <c r="V423" s="3"/>
      <c r="W423" s="3">
        <v>3.01</v>
      </c>
    </row>
    <row r="424" spans="1:23" x14ac:dyDescent="0.25">
      <c r="A424" s="3" t="s">
        <v>2029</v>
      </c>
      <c r="B424" s="3" t="s">
        <v>834</v>
      </c>
      <c r="C424" s="3"/>
      <c r="D424" s="3" t="s">
        <v>835</v>
      </c>
      <c r="E424" s="3">
        <v>304.95</v>
      </c>
      <c r="F424" s="3">
        <v>16.32</v>
      </c>
      <c r="G424" s="3">
        <v>26.63</v>
      </c>
      <c r="H424" s="3">
        <v>0</v>
      </c>
      <c r="I424" s="3">
        <v>0</v>
      </c>
      <c r="J424" s="3">
        <v>11.76</v>
      </c>
      <c r="K424" s="3">
        <v>10.94</v>
      </c>
      <c r="L424" s="3">
        <v>2.08</v>
      </c>
      <c r="M424" s="3">
        <v>74</v>
      </c>
      <c r="N424" s="3">
        <v>15</v>
      </c>
      <c r="O424" s="3">
        <v>152</v>
      </c>
      <c r="P424" s="3">
        <v>1.61</v>
      </c>
      <c r="Q424" s="3">
        <v>214</v>
      </c>
      <c r="R424" s="3">
        <v>56</v>
      </c>
      <c r="S424" s="3">
        <v>2.5299999999999998</v>
      </c>
      <c r="T424" s="3">
        <v>0</v>
      </c>
      <c r="U424" s="3">
        <v>0</v>
      </c>
      <c r="V424" s="3">
        <v>17</v>
      </c>
      <c r="W424" s="3">
        <v>2.04</v>
      </c>
    </row>
    <row r="425" spans="1:23" x14ac:dyDescent="0.25">
      <c r="A425" s="3" t="s">
        <v>2029</v>
      </c>
      <c r="B425" s="3" t="s">
        <v>836</v>
      </c>
      <c r="C425" s="3"/>
      <c r="D425" s="3" t="s">
        <v>837</v>
      </c>
      <c r="E425" s="3">
        <v>122.6</v>
      </c>
      <c r="F425" s="3">
        <v>20.3</v>
      </c>
      <c r="G425" s="3">
        <v>4.2</v>
      </c>
      <c r="H425" s="3">
        <v>0.9</v>
      </c>
      <c r="I425" s="3">
        <v>0</v>
      </c>
      <c r="J425" s="3">
        <v>1.94</v>
      </c>
      <c r="K425" s="3">
        <v>1.05</v>
      </c>
      <c r="L425" s="3">
        <v>0.75</v>
      </c>
      <c r="M425" s="3">
        <v>371</v>
      </c>
      <c r="N425" s="3">
        <v>14</v>
      </c>
      <c r="O425" s="3">
        <v>287</v>
      </c>
      <c r="P425" s="3">
        <v>6.6</v>
      </c>
      <c r="Q425" s="3">
        <v>313</v>
      </c>
      <c r="R425" s="3">
        <v>70</v>
      </c>
      <c r="S425" s="3">
        <v>4.66</v>
      </c>
      <c r="T425" s="3">
        <v>18</v>
      </c>
      <c r="U425" s="3">
        <v>7391</v>
      </c>
      <c r="V425" s="3">
        <v>230</v>
      </c>
      <c r="W425" s="3">
        <v>90.05</v>
      </c>
    </row>
    <row r="426" spans="1:23" x14ac:dyDescent="0.25">
      <c r="A426" s="3" t="s">
        <v>2029</v>
      </c>
      <c r="B426" s="3" t="s">
        <v>838</v>
      </c>
      <c r="C426" s="3"/>
      <c r="D426" s="3" t="s">
        <v>839</v>
      </c>
      <c r="E426" s="3">
        <v>102.9</v>
      </c>
      <c r="F426" s="3">
        <v>21</v>
      </c>
      <c r="G426" s="3">
        <v>2.1</v>
      </c>
      <c r="H426" s="3">
        <v>0</v>
      </c>
      <c r="I426" s="3"/>
      <c r="J426" s="3"/>
      <c r="K426" s="3"/>
      <c r="L426" s="3"/>
      <c r="M426" s="3"/>
      <c r="N426" s="3">
        <v>52</v>
      </c>
      <c r="O426" s="3">
        <v>26</v>
      </c>
      <c r="P426" s="3">
        <v>1</v>
      </c>
      <c r="Q426" s="3"/>
      <c r="R426" s="3"/>
      <c r="S426" s="3"/>
      <c r="T426" s="3">
        <v>0</v>
      </c>
      <c r="U426" s="3"/>
      <c r="V426" s="3"/>
      <c r="W426" s="3"/>
    </row>
    <row r="427" spans="1:23" x14ac:dyDescent="0.25">
      <c r="A427" s="3" t="s">
        <v>2029</v>
      </c>
      <c r="B427" s="3" t="s">
        <v>840</v>
      </c>
      <c r="C427" s="3"/>
      <c r="D427" s="3" t="s">
        <v>841</v>
      </c>
      <c r="E427" s="3">
        <v>380.6</v>
      </c>
      <c r="F427" s="3">
        <v>29.8</v>
      </c>
      <c r="G427" s="3">
        <v>26.2</v>
      </c>
      <c r="H427" s="3">
        <v>6.4</v>
      </c>
      <c r="I427" s="3"/>
      <c r="J427" s="3"/>
      <c r="K427" s="3"/>
      <c r="L427" s="3"/>
      <c r="M427" s="3"/>
      <c r="N427" s="3">
        <v>23</v>
      </c>
      <c r="O427" s="3">
        <v>180</v>
      </c>
      <c r="P427" s="3">
        <v>1.71</v>
      </c>
      <c r="Q427" s="3">
        <v>477</v>
      </c>
      <c r="R427" s="3">
        <v>1330</v>
      </c>
      <c r="S427" s="3">
        <v>3.05</v>
      </c>
      <c r="T427" s="3"/>
      <c r="U427" s="3"/>
      <c r="V427" s="3"/>
      <c r="W427" s="3"/>
    </row>
    <row r="428" spans="1:23" x14ac:dyDescent="0.25">
      <c r="A428" s="3" t="s">
        <v>2029</v>
      </c>
      <c r="B428" s="3" t="s">
        <v>842</v>
      </c>
      <c r="C428" s="3"/>
      <c r="D428" s="3" t="s">
        <v>843</v>
      </c>
      <c r="E428" s="3">
        <v>228.49</v>
      </c>
      <c r="F428" s="3">
        <v>26.14</v>
      </c>
      <c r="G428" s="3">
        <v>13.77</v>
      </c>
      <c r="H428" s="3">
        <v>0</v>
      </c>
      <c r="I428" s="3">
        <v>0</v>
      </c>
      <c r="J428" s="3">
        <v>4.8499999999999996</v>
      </c>
      <c r="K428" s="3">
        <v>5.93</v>
      </c>
      <c r="L428" s="3">
        <v>1.51</v>
      </c>
      <c r="M428" s="3">
        <v>87</v>
      </c>
      <c r="N428" s="3">
        <v>20</v>
      </c>
      <c r="O428" s="3">
        <v>219</v>
      </c>
      <c r="P428" s="3">
        <v>1.1000000000000001</v>
      </c>
      <c r="Q428" s="3">
        <v>338</v>
      </c>
      <c r="R428" s="3">
        <v>379</v>
      </c>
      <c r="S428" s="3">
        <v>3.04</v>
      </c>
      <c r="T428" s="3">
        <v>0.1</v>
      </c>
      <c r="U428" s="3">
        <v>2</v>
      </c>
      <c r="V428" s="3">
        <v>2</v>
      </c>
      <c r="W428" s="3">
        <v>0.69</v>
      </c>
    </row>
    <row r="429" spans="1:23" x14ac:dyDescent="0.25">
      <c r="A429" s="3" t="s">
        <v>2029</v>
      </c>
      <c r="B429" s="3" t="s">
        <v>844</v>
      </c>
      <c r="C429" s="3"/>
      <c r="D429" s="3" t="s">
        <v>845</v>
      </c>
      <c r="E429" s="3">
        <v>363.26</v>
      </c>
      <c r="F429" s="3">
        <v>24.26</v>
      </c>
      <c r="G429" s="3">
        <v>29.58</v>
      </c>
      <c r="H429" s="3">
        <v>0</v>
      </c>
      <c r="I429" s="3">
        <v>0</v>
      </c>
      <c r="J429" s="3">
        <v>10.99</v>
      </c>
      <c r="K429" s="3">
        <v>13.46</v>
      </c>
      <c r="L429" s="3">
        <v>2.3199999999999998</v>
      </c>
      <c r="M429" s="3">
        <v>118</v>
      </c>
      <c r="N429" s="3">
        <v>45</v>
      </c>
      <c r="O429" s="3">
        <v>195</v>
      </c>
      <c r="P429" s="3">
        <v>1.38</v>
      </c>
      <c r="Q429" s="3">
        <v>315</v>
      </c>
      <c r="R429" s="3">
        <v>101</v>
      </c>
      <c r="S429" s="3">
        <v>3.37</v>
      </c>
      <c r="T429" s="3">
        <v>0</v>
      </c>
      <c r="U429" s="3">
        <v>3</v>
      </c>
      <c r="V429" s="3">
        <v>3</v>
      </c>
      <c r="W429" s="3">
        <v>0.64</v>
      </c>
    </row>
    <row r="430" spans="1:23" x14ac:dyDescent="0.25">
      <c r="A430" s="3" t="s">
        <v>2029</v>
      </c>
      <c r="B430" s="3" t="s">
        <v>846</v>
      </c>
      <c r="C430" s="3"/>
      <c r="D430" s="3" t="s">
        <v>847</v>
      </c>
      <c r="E430" s="3">
        <v>276.7</v>
      </c>
      <c r="F430" s="3">
        <v>16.12</v>
      </c>
      <c r="G430" s="3">
        <v>23.58</v>
      </c>
      <c r="H430" s="3">
        <v>0</v>
      </c>
      <c r="I430" s="3">
        <v>0</v>
      </c>
      <c r="J430" s="3">
        <v>8.73</v>
      </c>
      <c r="K430" s="3">
        <v>10.65</v>
      </c>
      <c r="L430" s="3">
        <v>1.96</v>
      </c>
      <c r="M430" s="3">
        <v>81</v>
      </c>
      <c r="N430" s="3">
        <v>32</v>
      </c>
      <c r="O430" s="3">
        <v>143</v>
      </c>
      <c r="P430" s="3">
        <v>0.91</v>
      </c>
      <c r="Q430" s="3">
        <v>233</v>
      </c>
      <c r="R430" s="3">
        <v>75</v>
      </c>
      <c r="S430" s="3">
        <v>2.31</v>
      </c>
      <c r="T430" s="3">
        <v>0</v>
      </c>
      <c r="U430" s="3">
        <v>3</v>
      </c>
      <c r="V430" s="3">
        <v>4</v>
      </c>
      <c r="W430" s="3">
        <v>0.82</v>
      </c>
    </row>
    <row r="431" spans="1:23" x14ac:dyDescent="0.25">
      <c r="A431" s="3" t="s">
        <v>2029</v>
      </c>
      <c r="B431" s="3" t="s">
        <v>848</v>
      </c>
      <c r="C431" s="3"/>
      <c r="D431" s="3" t="s">
        <v>849</v>
      </c>
      <c r="E431" s="3">
        <v>378.57</v>
      </c>
      <c r="F431" s="3">
        <v>78.569999999999993</v>
      </c>
      <c r="G431" s="3">
        <v>7.14</v>
      </c>
      <c r="H431" s="3">
        <v>0</v>
      </c>
      <c r="I431" s="3"/>
      <c r="J431" s="3">
        <v>3.57</v>
      </c>
      <c r="K431" s="3">
        <v>3.57</v>
      </c>
      <c r="L431" s="3">
        <v>0</v>
      </c>
      <c r="M431" s="3">
        <v>103.57</v>
      </c>
      <c r="N431" s="3"/>
      <c r="O431" s="3"/>
      <c r="P431" s="3"/>
      <c r="Q431" s="3"/>
      <c r="R431" s="3">
        <v>1071.43</v>
      </c>
      <c r="S431" s="3"/>
      <c r="T431" s="3"/>
      <c r="U431" s="3"/>
      <c r="V431" s="3"/>
      <c r="W431" s="3"/>
    </row>
    <row r="432" spans="1:23" x14ac:dyDescent="0.25">
      <c r="A432" s="3" t="s">
        <v>2029</v>
      </c>
      <c r="B432" s="3" t="s">
        <v>850</v>
      </c>
      <c r="C432" s="3"/>
      <c r="D432" s="3" t="s">
        <v>851</v>
      </c>
      <c r="E432" s="3">
        <v>201.15</v>
      </c>
      <c r="F432" s="3">
        <v>28.62</v>
      </c>
      <c r="G432" s="3">
        <v>9.6300000000000008</v>
      </c>
      <c r="H432" s="3">
        <v>0</v>
      </c>
      <c r="I432" s="3">
        <v>0</v>
      </c>
      <c r="J432" s="3">
        <v>3.51</v>
      </c>
      <c r="K432" s="3">
        <v>4.32</v>
      </c>
      <c r="L432" s="3">
        <v>0.76</v>
      </c>
      <c r="M432" s="3">
        <v>81</v>
      </c>
      <c r="N432" s="3">
        <v>18</v>
      </c>
      <c r="O432" s="3">
        <v>249</v>
      </c>
      <c r="P432" s="3">
        <v>1.0900000000000001</v>
      </c>
      <c r="Q432" s="3">
        <v>425</v>
      </c>
      <c r="R432" s="3">
        <v>58</v>
      </c>
      <c r="S432" s="3">
        <v>2.5299999999999998</v>
      </c>
      <c r="T432" s="3">
        <v>1</v>
      </c>
      <c r="U432" s="3">
        <v>2</v>
      </c>
      <c r="V432" s="3">
        <v>1</v>
      </c>
      <c r="W432" s="3">
        <v>0.73</v>
      </c>
    </row>
    <row r="433" spans="1:23" x14ac:dyDescent="0.25">
      <c r="A433" s="3" t="s">
        <v>2029</v>
      </c>
      <c r="B433" s="3" t="s">
        <v>852</v>
      </c>
      <c r="C433" s="3"/>
      <c r="D433" s="3" t="s">
        <v>853</v>
      </c>
      <c r="E433" s="3">
        <v>136.66</v>
      </c>
      <c r="F433" s="3">
        <v>21.43</v>
      </c>
      <c r="G433" s="3">
        <v>5.66</v>
      </c>
      <c r="H433" s="3">
        <v>0</v>
      </c>
      <c r="I433" s="3">
        <v>0</v>
      </c>
      <c r="J433" s="3">
        <v>1.95</v>
      </c>
      <c r="K433" s="3">
        <v>2.56</v>
      </c>
      <c r="L433" s="3">
        <v>0.61</v>
      </c>
      <c r="M433" s="3">
        <v>59</v>
      </c>
      <c r="N433" s="3">
        <v>17</v>
      </c>
      <c r="O433" s="3">
        <v>211</v>
      </c>
      <c r="P433" s="3">
        <v>0.84</v>
      </c>
      <c r="Q433" s="3">
        <v>389</v>
      </c>
      <c r="R433" s="3">
        <v>52</v>
      </c>
      <c r="S433" s="3">
        <v>1.84</v>
      </c>
      <c r="T433" s="3">
        <v>1</v>
      </c>
      <c r="U433" s="3">
        <v>2</v>
      </c>
      <c r="V433" s="3">
        <v>5</v>
      </c>
      <c r="W433" s="3">
        <v>0.63</v>
      </c>
    </row>
    <row r="434" spans="1:23" x14ac:dyDescent="0.25">
      <c r="A434" s="3" t="s">
        <v>2029</v>
      </c>
      <c r="B434" s="3" t="s">
        <v>854</v>
      </c>
      <c r="C434" s="3"/>
      <c r="D434" s="3" t="s">
        <v>855</v>
      </c>
      <c r="E434" s="3">
        <v>264.89999999999998</v>
      </c>
      <c r="F434" s="3">
        <v>27.57</v>
      </c>
      <c r="G434" s="3">
        <v>17.18</v>
      </c>
      <c r="H434" s="3">
        <v>0</v>
      </c>
      <c r="I434" s="3">
        <v>0</v>
      </c>
      <c r="J434" s="3">
        <v>6.22</v>
      </c>
      <c r="K434" s="3">
        <v>7.64</v>
      </c>
      <c r="L434" s="3">
        <v>1.45</v>
      </c>
      <c r="M434" s="3">
        <v>21</v>
      </c>
      <c r="N434" s="3">
        <v>25</v>
      </c>
      <c r="O434" s="3">
        <v>232</v>
      </c>
      <c r="P434" s="3">
        <v>1.1000000000000001</v>
      </c>
      <c r="Q434" s="3">
        <v>354</v>
      </c>
      <c r="R434" s="3">
        <v>62</v>
      </c>
      <c r="S434" s="3">
        <v>2.9</v>
      </c>
      <c r="T434" s="3">
        <v>0</v>
      </c>
      <c r="U434" s="3">
        <v>2</v>
      </c>
      <c r="V434" s="3">
        <v>6</v>
      </c>
      <c r="W434" s="3">
        <v>0.77</v>
      </c>
    </row>
    <row r="435" spans="1:23" x14ac:dyDescent="0.25">
      <c r="A435" s="3" t="s">
        <v>2029</v>
      </c>
      <c r="B435" s="3" t="s">
        <v>856</v>
      </c>
      <c r="C435" s="3"/>
      <c r="D435" s="3" t="s">
        <v>857</v>
      </c>
      <c r="E435" s="3">
        <v>205.69</v>
      </c>
      <c r="F435" s="3">
        <v>19.899999999999999</v>
      </c>
      <c r="G435" s="3">
        <v>14.01</v>
      </c>
      <c r="H435" s="3">
        <v>0</v>
      </c>
      <c r="I435" s="3">
        <v>0</v>
      </c>
      <c r="J435" s="3">
        <v>4.8600000000000003</v>
      </c>
      <c r="K435" s="3">
        <v>6.25</v>
      </c>
      <c r="L435" s="3">
        <v>1.5</v>
      </c>
      <c r="M435" s="3">
        <v>60</v>
      </c>
      <c r="N435" s="3">
        <v>5</v>
      </c>
      <c r="O435" s="3">
        <v>193</v>
      </c>
      <c r="P435" s="3">
        <v>0.71</v>
      </c>
      <c r="Q435" s="3">
        <v>384</v>
      </c>
      <c r="R435" s="3">
        <v>42</v>
      </c>
      <c r="S435" s="3">
        <v>1.57</v>
      </c>
      <c r="T435" s="3">
        <v>0</v>
      </c>
      <c r="U435" s="3">
        <v>2</v>
      </c>
      <c r="V435" s="3">
        <v>6</v>
      </c>
      <c r="W435" s="3">
        <v>0.5</v>
      </c>
    </row>
    <row r="436" spans="1:23" x14ac:dyDescent="0.25">
      <c r="A436" s="3" t="s">
        <v>2029</v>
      </c>
      <c r="B436" s="3" t="s">
        <v>858</v>
      </c>
      <c r="C436" s="3"/>
      <c r="D436" s="3" t="s">
        <v>859</v>
      </c>
      <c r="E436" s="3">
        <v>239.55</v>
      </c>
      <c r="F436" s="3">
        <v>17.43</v>
      </c>
      <c r="G436" s="3">
        <v>18.87</v>
      </c>
      <c r="H436" s="3">
        <v>0</v>
      </c>
      <c r="I436" s="3">
        <v>0</v>
      </c>
      <c r="J436" s="3">
        <v>6.54</v>
      </c>
      <c r="K436" s="3">
        <v>8.3800000000000008</v>
      </c>
      <c r="L436" s="3">
        <v>2.0099999999999998</v>
      </c>
      <c r="M436" s="3">
        <v>73</v>
      </c>
      <c r="N436" s="3">
        <v>5</v>
      </c>
      <c r="O436" s="3">
        <v>199</v>
      </c>
      <c r="P436" s="3">
        <v>0.85</v>
      </c>
      <c r="Q436" s="3">
        <v>315</v>
      </c>
      <c r="R436" s="3">
        <v>47</v>
      </c>
      <c r="S436" s="3">
        <v>1.93</v>
      </c>
      <c r="T436" s="3">
        <v>1</v>
      </c>
      <c r="U436" s="3">
        <v>2</v>
      </c>
      <c r="V436" s="3">
        <v>7</v>
      </c>
      <c r="W436" s="3">
        <v>0.63</v>
      </c>
    </row>
    <row r="437" spans="1:23" x14ac:dyDescent="0.25">
      <c r="A437" s="3" t="s">
        <v>2029</v>
      </c>
      <c r="B437" s="3" t="s">
        <v>860</v>
      </c>
      <c r="C437" s="3"/>
      <c r="D437" s="3" t="s">
        <v>861</v>
      </c>
      <c r="E437" s="3">
        <v>210.35</v>
      </c>
      <c r="F437" s="3">
        <v>18.95</v>
      </c>
      <c r="G437" s="3">
        <v>14.95</v>
      </c>
      <c r="H437" s="3">
        <v>0</v>
      </c>
      <c r="I437" s="3">
        <v>0</v>
      </c>
      <c r="J437" s="3">
        <v>5.28</v>
      </c>
      <c r="K437" s="3">
        <v>6.63</v>
      </c>
      <c r="L437" s="3">
        <v>1.55</v>
      </c>
      <c r="M437" s="3">
        <v>67</v>
      </c>
      <c r="N437" s="3">
        <v>19</v>
      </c>
      <c r="O437" s="3">
        <v>200</v>
      </c>
      <c r="P437" s="3">
        <v>0.86</v>
      </c>
      <c r="Q437" s="3">
        <v>335</v>
      </c>
      <c r="R437" s="3">
        <v>55</v>
      </c>
      <c r="S437" s="3">
        <v>2.0099999999999998</v>
      </c>
      <c r="T437" s="3">
        <v>0.5</v>
      </c>
      <c r="U437" s="3">
        <v>2</v>
      </c>
      <c r="V437" s="3">
        <v>5</v>
      </c>
      <c r="W437" s="3">
        <v>0.66</v>
      </c>
    </row>
    <row r="438" spans="1:23" x14ac:dyDescent="0.25">
      <c r="A438" s="3" t="s">
        <v>2029</v>
      </c>
      <c r="B438" s="3" t="s">
        <v>862</v>
      </c>
      <c r="C438" s="3"/>
      <c r="D438" s="3" t="s">
        <v>863</v>
      </c>
      <c r="E438" s="3">
        <v>210.35</v>
      </c>
      <c r="F438" s="3">
        <v>18.95</v>
      </c>
      <c r="G438" s="3">
        <v>14.95</v>
      </c>
      <c r="H438" s="3">
        <v>0</v>
      </c>
      <c r="I438" s="3">
        <v>0</v>
      </c>
      <c r="J438" s="3">
        <v>5.28</v>
      </c>
      <c r="K438" s="3">
        <v>6.63</v>
      </c>
      <c r="L438" s="3">
        <v>1.55</v>
      </c>
      <c r="M438" s="3">
        <v>67</v>
      </c>
      <c r="N438" s="3">
        <v>19</v>
      </c>
      <c r="O438" s="3">
        <v>200</v>
      </c>
      <c r="P438" s="3">
        <v>0.86</v>
      </c>
      <c r="Q438" s="3">
        <v>335</v>
      </c>
      <c r="R438" s="3">
        <v>55</v>
      </c>
      <c r="S438" s="3">
        <v>2.0099999999999998</v>
      </c>
      <c r="T438" s="3">
        <v>0.5</v>
      </c>
      <c r="U438" s="3">
        <v>2</v>
      </c>
      <c r="V438" s="3">
        <v>5</v>
      </c>
      <c r="W438" s="3">
        <v>0.66</v>
      </c>
    </row>
    <row r="439" spans="1:23" x14ac:dyDescent="0.25">
      <c r="A439" s="3" t="s">
        <v>2029</v>
      </c>
      <c r="B439" s="3" t="s">
        <v>864</v>
      </c>
      <c r="C439" s="3"/>
      <c r="D439" s="3" t="s">
        <v>865</v>
      </c>
      <c r="E439" s="3">
        <v>655.29999999999995</v>
      </c>
      <c r="F439" s="3">
        <v>20.8</v>
      </c>
      <c r="G439" s="3">
        <v>56.1</v>
      </c>
      <c r="H439" s="3">
        <v>16.8</v>
      </c>
      <c r="I439" s="3"/>
      <c r="J439" s="3">
        <v>14.32</v>
      </c>
      <c r="K439" s="3">
        <v>13.7</v>
      </c>
      <c r="L439" s="3">
        <v>3.61</v>
      </c>
      <c r="M439" s="3">
        <v>74</v>
      </c>
      <c r="N439" s="3">
        <v>61</v>
      </c>
      <c r="O439" s="3">
        <v>149</v>
      </c>
      <c r="P439" s="3">
        <v>2.8</v>
      </c>
      <c r="Q439" s="3"/>
      <c r="R439" s="3"/>
      <c r="S439" s="3"/>
      <c r="T439" s="3">
        <v>0</v>
      </c>
      <c r="U439" s="3"/>
      <c r="V439" s="3"/>
      <c r="W439" s="3"/>
    </row>
    <row r="440" spans="1:23" x14ac:dyDescent="0.25">
      <c r="A440" s="3" t="s">
        <v>2029</v>
      </c>
      <c r="B440" s="3" t="s">
        <v>866</v>
      </c>
      <c r="C440" s="3"/>
      <c r="D440" s="3" t="s">
        <v>867</v>
      </c>
      <c r="E440" s="3">
        <v>119.65</v>
      </c>
      <c r="F440" s="3">
        <v>21.88</v>
      </c>
      <c r="G440" s="3">
        <v>3.57</v>
      </c>
      <c r="H440" s="3">
        <v>0</v>
      </c>
      <c r="I440" s="3">
        <v>0</v>
      </c>
      <c r="J440" s="3">
        <v>1.1200000000000001</v>
      </c>
      <c r="K440" s="3"/>
      <c r="L440" s="3"/>
      <c r="M440" s="3">
        <v>69</v>
      </c>
      <c r="N440" s="3">
        <v>18</v>
      </c>
      <c r="O440" s="3"/>
      <c r="P440" s="3">
        <v>0.64</v>
      </c>
      <c r="Q440" s="3"/>
      <c r="R440" s="3">
        <v>58</v>
      </c>
      <c r="S440" s="3"/>
      <c r="T440" s="3">
        <v>0</v>
      </c>
      <c r="U440" s="3">
        <v>0</v>
      </c>
      <c r="V440" s="3"/>
      <c r="W440" s="3"/>
    </row>
    <row r="441" spans="1:23" x14ac:dyDescent="0.25">
      <c r="A441" s="3" t="s">
        <v>2029</v>
      </c>
      <c r="B441" s="3" t="s">
        <v>868</v>
      </c>
      <c r="C441" s="3"/>
      <c r="D441" s="3" t="s">
        <v>869</v>
      </c>
      <c r="E441" s="3">
        <v>390.2</v>
      </c>
      <c r="F441" s="3">
        <v>17</v>
      </c>
      <c r="G441" s="3">
        <v>35.799999999999997</v>
      </c>
      <c r="H441" s="3">
        <v>0</v>
      </c>
      <c r="I441" s="3">
        <v>0</v>
      </c>
      <c r="J441" s="3">
        <v>12.45</v>
      </c>
      <c r="K441" s="3">
        <v>16.89</v>
      </c>
      <c r="L441" s="3">
        <v>3.94</v>
      </c>
      <c r="M441" s="3">
        <v>129</v>
      </c>
      <c r="N441" s="3">
        <v>14</v>
      </c>
      <c r="O441" s="3">
        <v>47</v>
      </c>
      <c r="P441" s="3">
        <v>0.79</v>
      </c>
      <c r="Q441" s="3">
        <v>157</v>
      </c>
      <c r="R441" s="3">
        <v>25</v>
      </c>
      <c r="S441" s="3">
        <v>1.64</v>
      </c>
      <c r="T441" s="3">
        <v>0</v>
      </c>
      <c r="U441" s="3">
        <v>0</v>
      </c>
      <c r="V441" s="3">
        <v>4</v>
      </c>
      <c r="W441" s="3">
        <v>0.55000000000000004</v>
      </c>
    </row>
    <row r="442" spans="1:23" x14ac:dyDescent="0.25">
      <c r="A442" s="3" t="s">
        <v>2029</v>
      </c>
      <c r="B442" s="3" t="s">
        <v>870</v>
      </c>
      <c r="C442" s="3"/>
      <c r="D442" s="3" t="s">
        <v>871</v>
      </c>
      <c r="E442" s="3">
        <v>113.64</v>
      </c>
      <c r="F442" s="3">
        <v>17.27</v>
      </c>
      <c r="G442" s="3">
        <v>4.3600000000000003</v>
      </c>
      <c r="H442" s="3">
        <v>1.33</v>
      </c>
      <c r="I442" s="3">
        <v>0</v>
      </c>
      <c r="J442" s="3">
        <v>1.1599999999999999</v>
      </c>
      <c r="K442" s="3">
        <v>1.02</v>
      </c>
      <c r="L442" s="3">
        <v>1.1200000000000001</v>
      </c>
      <c r="M442" s="3">
        <v>131</v>
      </c>
      <c r="N442" s="3">
        <v>5</v>
      </c>
      <c r="O442" s="3">
        <v>169</v>
      </c>
      <c r="P442" s="3">
        <v>4.68</v>
      </c>
      <c r="Q442" s="3">
        <v>294</v>
      </c>
      <c r="R442" s="3">
        <v>56</v>
      </c>
      <c r="S442" s="3">
        <v>2.8</v>
      </c>
      <c r="T442" s="3">
        <v>5</v>
      </c>
      <c r="U442" s="3">
        <v>8</v>
      </c>
      <c r="V442" s="3">
        <v>4</v>
      </c>
      <c r="W442" s="3">
        <v>3.79</v>
      </c>
    </row>
    <row r="443" spans="1:23" x14ac:dyDescent="0.25">
      <c r="A443" s="3" t="s">
        <v>2029</v>
      </c>
      <c r="B443" s="3" t="s">
        <v>872</v>
      </c>
      <c r="C443" s="3"/>
      <c r="D443" s="3" t="s">
        <v>873</v>
      </c>
      <c r="E443" s="3">
        <v>213.1</v>
      </c>
      <c r="F443" s="3">
        <v>10.6</v>
      </c>
      <c r="G443" s="3">
        <v>18.3</v>
      </c>
      <c r="H443" s="3">
        <v>1.5</v>
      </c>
      <c r="I443" s="3"/>
      <c r="J443" s="3"/>
      <c r="K443" s="3"/>
      <c r="L443" s="3"/>
      <c r="M443" s="3"/>
      <c r="N443" s="3">
        <v>3</v>
      </c>
      <c r="O443" s="3">
        <v>26</v>
      </c>
      <c r="P443" s="3">
        <v>0.08</v>
      </c>
      <c r="Q443" s="3">
        <v>112</v>
      </c>
      <c r="R443" s="3">
        <v>467</v>
      </c>
      <c r="S443" s="3">
        <v>0.19</v>
      </c>
      <c r="T443" s="3"/>
      <c r="U443" s="3"/>
      <c r="V443" s="3"/>
      <c r="W443" s="3"/>
    </row>
    <row r="444" spans="1:23" x14ac:dyDescent="0.25">
      <c r="A444" s="3" t="s">
        <v>2029</v>
      </c>
      <c r="B444" s="3" t="s">
        <v>874</v>
      </c>
      <c r="C444" s="3"/>
      <c r="D444" s="3" t="s">
        <v>875</v>
      </c>
      <c r="E444" s="3">
        <v>158.66</v>
      </c>
      <c r="F444" s="3">
        <v>16.850000000000001</v>
      </c>
      <c r="G444" s="3">
        <v>10.14</v>
      </c>
      <c r="H444" s="3">
        <v>0</v>
      </c>
      <c r="I444" s="3">
        <v>0</v>
      </c>
      <c r="J444" s="3">
        <v>4.03</v>
      </c>
      <c r="K444" s="3">
        <v>3.59</v>
      </c>
      <c r="L444" s="3">
        <v>0.89</v>
      </c>
      <c r="M444" s="3">
        <v>223</v>
      </c>
      <c r="N444" s="3">
        <v>11</v>
      </c>
      <c r="O444" s="3">
        <v>130</v>
      </c>
      <c r="P444" s="3">
        <v>1.01</v>
      </c>
      <c r="Q444" s="3">
        <v>140</v>
      </c>
      <c r="R444" s="3">
        <v>75</v>
      </c>
      <c r="S444" s="3">
        <v>1.85</v>
      </c>
      <c r="T444" s="3">
        <v>0</v>
      </c>
      <c r="U444" s="3">
        <v>0</v>
      </c>
      <c r="V444" s="3">
        <v>3</v>
      </c>
      <c r="W444" s="3">
        <v>0.3</v>
      </c>
    </row>
    <row r="445" spans="1:23" x14ac:dyDescent="0.25">
      <c r="A445" s="3" t="s">
        <v>2029</v>
      </c>
      <c r="B445" s="3" t="s">
        <v>876</v>
      </c>
      <c r="C445" s="3"/>
      <c r="D445" s="3" t="s">
        <v>877</v>
      </c>
      <c r="E445" s="3">
        <v>128.29</v>
      </c>
      <c r="F445" s="3">
        <v>21.39</v>
      </c>
      <c r="G445" s="3">
        <v>3.65</v>
      </c>
      <c r="H445" s="3">
        <v>2.4700000000000002</v>
      </c>
      <c r="I445" s="3">
        <v>0</v>
      </c>
      <c r="J445" s="3">
        <v>1.17</v>
      </c>
      <c r="K445" s="3">
        <v>0.52</v>
      </c>
      <c r="L445" s="3">
        <v>0.87</v>
      </c>
      <c r="M445" s="3">
        <v>301</v>
      </c>
      <c r="N445" s="3">
        <v>9</v>
      </c>
      <c r="O445" s="3">
        <v>288</v>
      </c>
      <c r="P445" s="3">
        <v>23.3</v>
      </c>
      <c r="Q445" s="3">
        <v>273</v>
      </c>
      <c r="R445" s="3">
        <v>87</v>
      </c>
      <c r="S445" s="3">
        <v>5.76</v>
      </c>
      <c r="T445" s="3">
        <v>25</v>
      </c>
      <c r="U445" s="3">
        <v>6502</v>
      </c>
      <c r="V445" s="3">
        <v>212</v>
      </c>
      <c r="W445" s="3">
        <v>26</v>
      </c>
    </row>
    <row r="446" spans="1:23" x14ac:dyDescent="0.25">
      <c r="A446" s="3" t="s">
        <v>2029</v>
      </c>
      <c r="B446" s="3" t="s">
        <v>878</v>
      </c>
      <c r="C446" s="3"/>
      <c r="D446" s="3" t="s">
        <v>879</v>
      </c>
      <c r="E446" s="3">
        <v>220</v>
      </c>
      <c r="F446" s="3">
        <v>16.3</v>
      </c>
      <c r="G446" s="3">
        <v>17.2</v>
      </c>
      <c r="H446" s="3">
        <v>0</v>
      </c>
      <c r="I446" s="3">
        <v>0</v>
      </c>
      <c r="J446" s="3">
        <v>5.96</v>
      </c>
      <c r="K446" s="3">
        <v>8.1300000000000008</v>
      </c>
      <c r="L446" s="3">
        <v>1.78</v>
      </c>
      <c r="M446" s="3">
        <v>101</v>
      </c>
      <c r="N446" s="3">
        <v>16</v>
      </c>
      <c r="O446" s="3">
        <v>193</v>
      </c>
      <c r="P446" s="3">
        <v>3.35</v>
      </c>
      <c r="Q446" s="3">
        <v>243</v>
      </c>
      <c r="R446" s="3">
        <v>110</v>
      </c>
      <c r="S446" s="3">
        <v>3.01</v>
      </c>
      <c r="T446" s="3">
        <v>4</v>
      </c>
      <c r="U446" s="3">
        <v>0</v>
      </c>
      <c r="V446" s="3">
        <v>4</v>
      </c>
      <c r="W446" s="3">
        <v>2.84</v>
      </c>
    </row>
    <row r="447" spans="1:23" x14ac:dyDescent="0.25">
      <c r="A447" s="3" t="s">
        <v>2029</v>
      </c>
      <c r="B447" s="3" t="s">
        <v>880</v>
      </c>
      <c r="C447" s="3"/>
      <c r="D447" s="3" t="s">
        <v>881</v>
      </c>
      <c r="E447" s="3">
        <v>205.95</v>
      </c>
      <c r="F447" s="3">
        <v>23.16</v>
      </c>
      <c r="G447" s="3">
        <v>12.59</v>
      </c>
      <c r="H447" s="3">
        <v>0</v>
      </c>
      <c r="I447" s="3">
        <v>0</v>
      </c>
      <c r="J447" s="3">
        <v>3.57</v>
      </c>
      <c r="K447" s="3">
        <v>6.29</v>
      </c>
      <c r="L447" s="3">
        <v>1.0900000000000001</v>
      </c>
      <c r="M447" s="3">
        <v>88</v>
      </c>
      <c r="N447" s="3">
        <v>70</v>
      </c>
      <c r="O447" s="3">
        <v>75</v>
      </c>
      <c r="P447" s="3">
        <v>0.57999999999999996</v>
      </c>
      <c r="Q447" s="3">
        <v>63</v>
      </c>
      <c r="R447" s="3">
        <v>132</v>
      </c>
      <c r="S447" s="3">
        <v>0.76</v>
      </c>
      <c r="T447" s="3">
        <v>0</v>
      </c>
      <c r="U447" s="3">
        <v>0</v>
      </c>
      <c r="V447" s="3">
        <v>10</v>
      </c>
      <c r="W447" s="3">
        <v>0.52</v>
      </c>
    </row>
    <row r="448" spans="1:23" x14ac:dyDescent="0.25">
      <c r="A448" s="3" t="s">
        <v>2029</v>
      </c>
      <c r="B448" s="3" t="s">
        <v>882</v>
      </c>
      <c r="C448" s="3"/>
      <c r="D448" s="3" t="s">
        <v>883</v>
      </c>
      <c r="E448" s="3">
        <v>153.41999999999999</v>
      </c>
      <c r="F448" s="3">
        <v>13.83</v>
      </c>
      <c r="G448" s="3">
        <v>10.9</v>
      </c>
      <c r="H448" s="3">
        <v>0</v>
      </c>
      <c r="I448" s="3">
        <v>0</v>
      </c>
      <c r="J448" s="3">
        <v>3.4</v>
      </c>
      <c r="K448" s="3">
        <v>5.6</v>
      </c>
      <c r="L448" s="3">
        <v>1.1299999999999999</v>
      </c>
      <c r="M448" s="3">
        <v>69</v>
      </c>
      <c r="N448" s="3">
        <v>16</v>
      </c>
      <c r="O448" s="3">
        <v>56</v>
      </c>
      <c r="P448" s="3">
        <v>1.5</v>
      </c>
      <c r="Q448" s="3">
        <v>31</v>
      </c>
      <c r="R448" s="3">
        <v>941</v>
      </c>
      <c r="S448" s="3">
        <v>0.97</v>
      </c>
      <c r="T448" s="3">
        <v>0</v>
      </c>
      <c r="U448" s="3">
        <v>0</v>
      </c>
      <c r="V448" s="3">
        <v>2</v>
      </c>
      <c r="W448" s="3">
        <v>1.05</v>
      </c>
    </row>
    <row r="449" spans="1:23" x14ac:dyDescent="0.25">
      <c r="A449" s="3" t="s">
        <v>2029</v>
      </c>
      <c r="B449" s="3" t="s">
        <v>884</v>
      </c>
      <c r="C449" s="3"/>
      <c r="D449" s="3" t="s">
        <v>885</v>
      </c>
      <c r="E449" s="3">
        <v>95.09</v>
      </c>
      <c r="F449" s="3">
        <v>16.46</v>
      </c>
      <c r="G449" s="3">
        <v>3.25</v>
      </c>
      <c r="H449" s="3">
        <v>0</v>
      </c>
      <c r="I449" s="3">
        <v>0</v>
      </c>
      <c r="J449" s="3">
        <v>1.04</v>
      </c>
      <c r="K449" s="3">
        <v>1.07</v>
      </c>
      <c r="L449" s="3">
        <v>0.26</v>
      </c>
      <c r="M449" s="3">
        <v>319</v>
      </c>
      <c r="N449" s="3">
        <v>9</v>
      </c>
      <c r="O449" s="3">
        <v>204</v>
      </c>
      <c r="P449" s="3">
        <v>4.8899999999999997</v>
      </c>
      <c r="Q449" s="3">
        <v>229</v>
      </c>
      <c r="R449" s="3">
        <v>121</v>
      </c>
      <c r="S449" s="3">
        <v>2.75</v>
      </c>
      <c r="T449" s="3">
        <v>13</v>
      </c>
      <c r="U449" s="3">
        <v>59</v>
      </c>
      <c r="V449" s="3">
        <v>42</v>
      </c>
      <c r="W449" s="3">
        <v>8.49</v>
      </c>
    </row>
    <row r="450" spans="1:23" x14ac:dyDescent="0.25">
      <c r="A450" s="3" t="s">
        <v>2029</v>
      </c>
      <c r="B450" s="3" t="s">
        <v>886</v>
      </c>
      <c r="C450" s="3"/>
      <c r="D450" s="3" t="s">
        <v>887</v>
      </c>
      <c r="E450" s="3">
        <v>529.9</v>
      </c>
      <c r="F450" s="3">
        <v>37.04</v>
      </c>
      <c r="G450" s="3">
        <v>41.78</v>
      </c>
      <c r="H450" s="3">
        <v>1.43</v>
      </c>
      <c r="I450" s="3">
        <v>0</v>
      </c>
      <c r="J450" s="3">
        <v>13.74</v>
      </c>
      <c r="K450" s="3">
        <v>18.52</v>
      </c>
      <c r="L450" s="3">
        <v>4.75</v>
      </c>
      <c r="M450" s="3">
        <v>110</v>
      </c>
      <c r="N450" s="3">
        <v>11</v>
      </c>
      <c r="O450" s="3">
        <v>533</v>
      </c>
      <c r="P450" s="3">
        <v>1.44</v>
      </c>
      <c r="Q450" s="3">
        <v>565</v>
      </c>
      <c r="R450" s="3">
        <v>2310</v>
      </c>
      <c r="S450" s="3">
        <v>3.5</v>
      </c>
      <c r="T450" s="3">
        <v>0</v>
      </c>
      <c r="U450" s="3">
        <v>11</v>
      </c>
      <c r="V450" s="3">
        <v>2</v>
      </c>
      <c r="W450" s="3">
        <v>1.23</v>
      </c>
    </row>
    <row r="451" spans="1:23" x14ac:dyDescent="0.25">
      <c r="A451" s="3" t="s">
        <v>2029</v>
      </c>
      <c r="B451" s="3" t="s">
        <v>888</v>
      </c>
      <c r="C451" s="3"/>
      <c r="D451" s="3" t="s">
        <v>889</v>
      </c>
      <c r="E451" s="3">
        <v>251</v>
      </c>
      <c r="F451" s="3">
        <v>9</v>
      </c>
      <c r="G451" s="3">
        <v>23</v>
      </c>
      <c r="H451" s="3">
        <v>2</v>
      </c>
      <c r="I451" s="3"/>
      <c r="J451" s="3">
        <v>11</v>
      </c>
      <c r="K451" s="3">
        <v>11</v>
      </c>
      <c r="L451" s="3">
        <v>1</v>
      </c>
      <c r="M451" s="3">
        <v>33</v>
      </c>
      <c r="N451" s="3"/>
      <c r="O451" s="3"/>
      <c r="P451" s="3"/>
      <c r="Q451" s="3"/>
      <c r="R451" s="3">
        <v>50</v>
      </c>
      <c r="S451" s="3"/>
      <c r="T451" s="3"/>
      <c r="U451" s="3"/>
      <c r="V451" s="3"/>
      <c r="W451" s="3"/>
    </row>
    <row r="452" spans="1:23" x14ac:dyDescent="0.25">
      <c r="A452" s="3" t="s">
        <v>2029</v>
      </c>
      <c r="B452" s="3" t="s">
        <v>890</v>
      </c>
      <c r="C452" s="3"/>
      <c r="D452" s="3" t="s">
        <v>891</v>
      </c>
      <c r="E452" s="3">
        <v>181.7</v>
      </c>
      <c r="F452" s="3">
        <v>16.600000000000001</v>
      </c>
      <c r="G452" s="3">
        <v>11.7</v>
      </c>
      <c r="H452" s="3">
        <v>2.5</v>
      </c>
      <c r="I452" s="3"/>
      <c r="J452" s="3"/>
      <c r="K452" s="3"/>
      <c r="L452" s="3"/>
      <c r="M452" s="3"/>
      <c r="N452" s="3">
        <v>40</v>
      </c>
      <c r="O452" s="3">
        <v>144</v>
      </c>
      <c r="P452" s="3">
        <v>4.7</v>
      </c>
      <c r="Q452" s="3"/>
      <c r="R452" s="3"/>
      <c r="S452" s="3"/>
      <c r="T452" s="3">
        <v>0</v>
      </c>
      <c r="U452" s="3"/>
      <c r="V452" s="3"/>
      <c r="W452" s="3"/>
    </row>
    <row r="453" spans="1:23" x14ac:dyDescent="0.25">
      <c r="A453" s="3" t="s">
        <v>2029</v>
      </c>
      <c r="B453" s="3" t="s">
        <v>892</v>
      </c>
      <c r="C453" s="3"/>
      <c r="D453" s="3" t="s">
        <v>893</v>
      </c>
      <c r="E453" s="3">
        <v>198.4</v>
      </c>
      <c r="F453" s="3">
        <v>21.1</v>
      </c>
      <c r="G453" s="3">
        <v>8.4</v>
      </c>
      <c r="H453" s="3">
        <v>9.6</v>
      </c>
      <c r="I453" s="3"/>
      <c r="J453" s="3"/>
      <c r="K453" s="3"/>
      <c r="L453" s="3"/>
      <c r="M453" s="3"/>
      <c r="N453" s="3">
        <v>78</v>
      </c>
      <c r="O453" s="3">
        <v>129</v>
      </c>
      <c r="P453" s="3">
        <v>4.5999999999999996</v>
      </c>
      <c r="Q453" s="3"/>
      <c r="R453" s="3"/>
      <c r="S453" s="3"/>
      <c r="T453" s="3">
        <v>0</v>
      </c>
      <c r="U453" s="3">
        <v>4</v>
      </c>
      <c r="V453" s="3"/>
      <c r="W453" s="3"/>
    </row>
    <row r="454" spans="1:23" x14ac:dyDescent="0.25">
      <c r="A454" s="3" t="s">
        <v>2029</v>
      </c>
      <c r="B454" s="3" t="s">
        <v>894</v>
      </c>
      <c r="C454" s="3"/>
      <c r="D454" s="3" t="s">
        <v>895</v>
      </c>
      <c r="E454" s="3">
        <v>197.21</v>
      </c>
      <c r="F454" s="3">
        <v>30.38</v>
      </c>
      <c r="G454" s="3">
        <v>8.41</v>
      </c>
      <c r="H454" s="3">
        <v>0</v>
      </c>
      <c r="I454" s="3">
        <v>0</v>
      </c>
      <c r="J454" s="3">
        <v>2.5099999999999998</v>
      </c>
      <c r="K454" s="3">
        <v>2.27</v>
      </c>
      <c r="L454" s="3">
        <v>1.63</v>
      </c>
      <c r="M454" s="3">
        <v>86</v>
      </c>
      <c r="N454" s="3">
        <v>20</v>
      </c>
      <c r="O454" s="3">
        <v>226</v>
      </c>
      <c r="P454" s="3">
        <v>2.37</v>
      </c>
      <c r="Q454" s="3">
        <v>300</v>
      </c>
      <c r="R454" s="3">
        <v>37</v>
      </c>
      <c r="S454" s="3">
        <v>2.37</v>
      </c>
      <c r="T454" s="3">
        <v>0</v>
      </c>
      <c r="U454" s="3">
        <v>0</v>
      </c>
      <c r="V454" s="3">
        <v>9</v>
      </c>
      <c r="W454" s="3">
        <v>6.51</v>
      </c>
    </row>
    <row r="455" spans="1:23" x14ac:dyDescent="0.25">
      <c r="A455" s="3" t="s">
        <v>2029</v>
      </c>
      <c r="B455" s="3" t="s">
        <v>896</v>
      </c>
      <c r="C455" s="3"/>
      <c r="D455" s="3" t="s">
        <v>897</v>
      </c>
      <c r="E455" s="3">
        <v>130.15</v>
      </c>
      <c r="F455" s="3">
        <v>20.05</v>
      </c>
      <c r="G455" s="3">
        <v>5.55</v>
      </c>
      <c r="H455" s="3">
        <v>0</v>
      </c>
      <c r="I455" s="3">
        <v>0</v>
      </c>
      <c r="J455" s="3">
        <v>1.66</v>
      </c>
      <c r="K455" s="3">
        <v>1.5</v>
      </c>
      <c r="L455" s="3">
        <v>1.08</v>
      </c>
      <c r="M455" s="3">
        <v>57</v>
      </c>
      <c r="N455" s="3">
        <v>13</v>
      </c>
      <c r="O455" s="3">
        <v>213</v>
      </c>
      <c r="P455" s="3">
        <v>1.57</v>
      </c>
      <c r="Q455" s="3">
        <v>330</v>
      </c>
      <c r="R455" s="3">
        <v>41</v>
      </c>
      <c r="S455" s="3">
        <v>1.57</v>
      </c>
      <c r="T455" s="3">
        <v>0</v>
      </c>
      <c r="U455" s="3">
        <v>0</v>
      </c>
      <c r="V455" s="3">
        <v>8</v>
      </c>
      <c r="W455" s="3">
        <v>7.16</v>
      </c>
    </row>
    <row r="456" spans="1:23" x14ac:dyDescent="0.25">
      <c r="A456" s="3" t="s">
        <v>2029</v>
      </c>
      <c r="B456" s="3" t="s">
        <v>898</v>
      </c>
      <c r="C456" s="3"/>
      <c r="D456" s="3" t="s">
        <v>899</v>
      </c>
      <c r="E456" s="3">
        <v>125.86</v>
      </c>
      <c r="F456" s="3">
        <v>21.43</v>
      </c>
      <c r="G456" s="3">
        <v>4.46</v>
      </c>
      <c r="H456" s="3">
        <v>0</v>
      </c>
      <c r="I456" s="3">
        <v>0</v>
      </c>
      <c r="J456" s="3">
        <v>1.34</v>
      </c>
      <c r="K456" s="3">
        <v>0</v>
      </c>
      <c r="L456" s="3">
        <v>0</v>
      </c>
      <c r="M456" s="3">
        <v>67</v>
      </c>
      <c r="N456" s="3">
        <v>11</v>
      </c>
      <c r="O456" s="3"/>
      <c r="P456" s="3">
        <v>1.65</v>
      </c>
      <c r="Q456" s="3">
        <v>348</v>
      </c>
      <c r="R456" s="3">
        <v>62</v>
      </c>
      <c r="S456" s="3"/>
      <c r="T456" s="3">
        <v>0</v>
      </c>
      <c r="U456" s="3">
        <v>0</v>
      </c>
      <c r="V456" s="3"/>
      <c r="W456" s="3"/>
    </row>
    <row r="457" spans="1:23" x14ac:dyDescent="0.25">
      <c r="A457" s="3" t="s">
        <v>2029</v>
      </c>
      <c r="B457" s="3" t="s">
        <v>900</v>
      </c>
      <c r="C457" s="3"/>
      <c r="D457" s="3" t="s">
        <v>901</v>
      </c>
      <c r="E457" s="3">
        <v>182.86</v>
      </c>
      <c r="F457" s="3">
        <v>28.3</v>
      </c>
      <c r="G457" s="3">
        <v>7.74</v>
      </c>
      <c r="H457" s="3">
        <v>0</v>
      </c>
      <c r="I457" s="3">
        <v>0</v>
      </c>
      <c r="J457" s="3">
        <v>2.76</v>
      </c>
      <c r="K457" s="3">
        <v>3.39</v>
      </c>
      <c r="L457" s="3">
        <v>0.51</v>
      </c>
      <c r="M457" s="3">
        <v>89</v>
      </c>
      <c r="N457" s="3">
        <v>8</v>
      </c>
      <c r="O457" s="3">
        <v>206</v>
      </c>
      <c r="P457" s="3">
        <v>2.12</v>
      </c>
      <c r="Q457" s="3">
        <v>338</v>
      </c>
      <c r="R457" s="3">
        <v>68</v>
      </c>
      <c r="S457" s="3">
        <v>4.9400000000000004</v>
      </c>
      <c r="T457" s="3">
        <v>0</v>
      </c>
      <c r="U457" s="3">
        <v>0</v>
      </c>
      <c r="V457" s="3">
        <v>23</v>
      </c>
      <c r="W457" s="3">
        <v>2.64</v>
      </c>
    </row>
    <row r="458" spans="1:23" x14ac:dyDescent="0.25">
      <c r="A458" s="3" t="s">
        <v>2029</v>
      </c>
      <c r="B458" s="3" t="s">
        <v>902</v>
      </c>
      <c r="C458" s="3"/>
      <c r="D458" s="3" t="s">
        <v>825</v>
      </c>
      <c r="E458" s="3">
        <v>122.83</v>
      </c>
      <c r="F458" s="3">
        <v>20.56</v>
      </c>
      <c r="G458" s="3">
        <v>4.51</v>
      </c>
      <c r="H458" s="3">
        <v>0</v>
      </c>
      <c r="I458" s="3">
        <v>0</v>
      </c>
      <c r="J458" s="3">
        <v>1.61</v>
      </c>
      <c r="K458" s="3">
        <v>1.81</v>
      </c>
      <c r="L458" s="3">
        <v>0.41</v>
      </c>
      <c r="M458" s="3">
        <v>64</v>
      </c>
      <c r="N458" s="3">
        <v>6</v>
      </c>
      <c r="O458" s="3">
        <v>193</v>
      </c>
      <c r="P458" s="3">
        <v>1.82</v>
      </c>
      <c r="Q458" s="3">
        <v>289</v>
      </c>
      <c r="R458" s="3">
        <v>62</v>
      </c>
      <c r="S458" s="3">
        <v>3.84</v>
      </c>
      <c r="T458" s="3">
        <v>0</v>
      </c>
      <c r="U458" s="3">
        <v>0</v>
      </c>
      <c r="V458" s="3">
        <v>23</v>
      </c>
      <c r="W458" s="3">
        <v>2.7</v>
      </c>
    </row>
    <row r="459" spans="1:23" x14ac:dyDescent="0.25">
      <c r="A459" s="3" t="s">
        <v>2029</v>
      </c>
      <c r="B459" s="3" t="s">
        <v>903</v>
      </c>
      <c r="C459" s="3"/>
      <c r="D459" s="3" t="s">
        <v>904</v>
      </c>
      <c r="E459" s="3">
        <v>271.60000000000002</v>
      </c>
      <c r="F459" s="3">
        <v>25.3</v>
      </c>
      <c r="G459" s="3">
        <v>12.8</v>
      </c>
      <c r="H459" s="3">
        <v>13.8</v>
      </c>
      <c r="I459" s="3"/>
      <c r="J459" s="3"/>
      <c r="K459" s="3"/>
      <c r="L459" s="3"/>
      <c r="M459" s="3"/>
      <c r="N459" s="3">
        <v>8</v>
      </c>
      <c r="O459" s="3">
        <v>134</v>
      </c>
      <c r="P459" s="3">
        <v>5.36</v>
      </c>
      <c r="Q459" s="3">
        <v>216</v>
      </c>
      <c r="R459" s="3">
        <v>686</v>
      </c>
      <c r="S459" s="3">
        <v>4.3600000000000003</v>
      </c>
      <c r="T459" s="3"/>
      <c r="U459" s="3"/>
      <c r="V459" s="3"/>
      <c r="W459" s="3"/>
    </row>
    <row r="460" spans="1:23" x14ac:dyDescent="0.25">
      <c r="A460" s="3" t="s">
        <v>2029</v>
      </c>
      <c r="B460" s="3" t="s">
        <v>905</v>
      </c>
      <c r="C460" s="3"/>
      <c r="D460" s="3" t="s">
        <v>906</v>
      </c>
      <c r="E460" s="3">
        <v>90.4</v>
      </c>
      <c r="F460" s="3">
        <v>19</v>
      </c>
      <c r="G460" s="3">
        <v>1.6</v>
      </c>
      <c r="H460" s="3">
        <v>0</v>
      </c>
      <c r="I460" s="3"/>
      <c r="J460" s="3"/>
      <c r="K460" s="3"/>
      <c r="L460" s="3"/>
      <c r="M460" s="3"/>
      <c r="N460" s="3">
        <v>29</v>
      </c>
      <c r="O460" s="3">
        <v>253</v>
      </c>
      <c r="P460" s="3">
        <v>1.9</v>
      </c>
      <c r="Q460" s="3"/>
      <c r="R460" s="3"/>
      <c r="S460" s="3"/>
      <c r="T460" s="3"/>
      <c r="U460" s="3"/>
      <c r="V460" s="3"/>
      <c r="W460" s="3"/>
    </row>
    <row r="461" spans="1:23" x14ac:dyDescent="0.25">
      <c r="A461" s="3" t="s">
        <v>2029</v>
      </c>
      <c r="B461" s="3" t="s">
        <v>907</v>
      </c>
      <c r="C461" s="3"/>
      <c r="D461" s="3" t="s">
        <v>908</v>
      </c>
      <c r="E461" s="3">
        <v>366.02</v>
      </c>
      <c r="F461" s="3">
        <v>15.86</v>
      </c>
      <c r="G461" s="3">
        <v>33.619999999999997</v>
      </c>
      <c r="H461" s="3">
        <v>0</v>
      </c>
      <c r="I461" s="3">
        <v>0</v>
      </c>
      <c r="J461" s="3">
        <v>9.7799999999999994</v>
      </c>
      <c r="K461" s="3">
        <v>17.77</v>
      </c>
      <c r="L461" s="3">
        <v>3.76</v>
      </c>
      <c r="M461" s="3">
        <v>80</v>
      </c>
      <c r="N461" s="3">
        <v>12</v>
      </c>
      <c r="O461" s="3">
        <v>234</v>
      </c>
      <c r="P461" s="3">
        <v>2.5</v>
      </c>
      <c r="Q461" s="3">
        <v>308</v>
      </c>
      <c r="R461" s="3">
        <v>73</v>
      </c>
      <c r="S461" s="3">
        <v>1.72</v>
      </c>
      <c r="T461" s="3">
        <v>4</v>
      </c>
      <c r="U461" s="3">
        <v>17</v>
      </c>
      <c r="V461" s="3">
        <v>4</v>
      </c>
      <c r="W461" s="3">
        <v>0.34</v>
      </c>
    </row>
    <row r="462" spans="1:23" x14ac:dyDescent="0.25">
      <c r="A462" s="3" t="s">
        <v>2029</v>
      </c>
      <c r="B462" s="3" t="s">
        <v>909</v>
      </c>
      <c r="C462" s="3"/>
      <c r="D462" s="3" t="s">
        <v>910</v>
      </c>
      <c r="E462" s="3">
        <v>153.65</v>
      </c>
      <c r="F462" s="3">
        <v>13.05</v>
      </c>
      <c r="G462" s="3">
        <v>11.09</v>
      </c>
      <c r="H462" s="3">
        <v>0.41</v>
      </c>
      <c r="I462" s="3">
        <v>0</v>
      </c>
      <c r="J462" s="3">
        <v>3.56</v>
      </c>
      <c r="K462" s="3">
        <v>4.32</v>
      </c>
      <c r="L462" s="3">
        <v>1.32</v>
      </c>
      <c r="M462" s="3">
        <v>844</v>
      </c>
      <c r="N462" s="3">
        <v>64</v>
      </c>
      <c r="O462" s="3">
        <v>226</v>
      </c>
      <c r="P462" s="3">
        <v>3.65</v>
      </c>
      <c r="Q462" s="3">
        <v>132</v>
      </c>
      <c r="R462" s="3">
        <v>141</v>
      </c>
      <c r="S462" s="3">
        <v>1.47</v>
      </c>
      <c r="T462" s="3">
        <v>0</v>
      </c>
      <c r="U462" s="3">
        <v>156</v>
      </c>
      <c r="V462" s="3">
        <v>66</v>
      </c>
      <c r="W462" s="3">
        <v>1.58</v>
      </c>
    </row>
    <row r="463" spans="1:23" x14ac:dyDescent="0.25">
      <c r="A463" s="3" t="s">
        <v>2029</v>
      </c>
      <c r="B463" s="3" t="s">
        <v>911</v>
      </c>
      <c r="C463" s="3"/>
      <c r="D463" s="3" t="s">
        <v>912</v>
      </c>
      <c r="E463" s="3">
        <v>48.05</v>
      </c>
      <c r="F463" s="3">
        <v>10.9</v>
      </c>
      <c r="G463" s="3">
        <v>0.17</v>
      </c>
      <c r="H463" s="3">
        <v>0.73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7</v>
      </c>
      <c r="O463" s="3">
        <v>15</v>
      </c>
      <c r="P463" s="3">
        <v>0.08</v>
      </c>
      <c r="Q463" s="3">
        <v>163</v>
      </c>
      <c r="R463" s="3">
        <v>166</v>
      </c>
      <c r="S463" s="3">
        <v>0.03</v>
      </c>
      <c r="T463" s="3">
        <v>0</v>
      </c>
      <c r="U463" s="3">
        <v>0</v>
      </c>
      <c r="V463" s="3">
        <v>4</v>
      </c>
      <c r="W463" s="3">
        <v>0.09</v>
      </c>
    </row>
    <row r="464" spans="1:23" x14ac:dyDescent="0.25">
      <c r="A464" s="3" t="s">
        <v>2029</v>
      </c>
      <c r="B464" s="3" t="s">
        <v>913</v>
      </c>
      <c r="C464" s="3"/>
      <c r="D464" s="3" t="s">
        <v>914</v>
      </c>
      <c r="E464" s="3">
        <v>138.71</v>
      </c>
      <c r="F464" s="3">
        <v>12.56</v>
      </c>
      <c r="G464" s="3">
        <v>9.51</v>
      </c>
      <c r="H464" s="3">
        <v>0.72</v>
      </c>
      <c r="I464" s="3">
        <v>0</v>
      </c>
      <c r="J464" s="3">
        <v>3.13</v>
      </c>
      <c r="K464" s="3">
        <v>3.66</v>
      </c>
      <c r="L464" s="3">
        <v>1.91</v>
      </c>
      <c r="M464" s="3">
        <v>372</v>
      </c>
      <c r="N464" s="3">
        <v>56</v>
      </c>
      <c r="O464" s="3">
        <v>198</v>
      </c>
      <c r="P464" s="3">
        <v>1.75</v>
      </c>
      <c r="Q464" s="3">
        <v>138</v>
      </c>
      <c r="R464" s="3">
        <v>142</v>
      </c>
      <c r="S464" s="3">
        <v>1.29</v>
      </c>
      <c r="T464" s="3">
        <v>0</v>
      </c>
      <c r="U464" s="3">
        <v>160</v>
      </c>
      <c r="V464" s="3">
        <v>47</v>
      </c>
      <c r="W464" s="3">
        <v>0.89</v>
      </c>
    </row>
    <row r="465" spans="1:23" x14ac:dyDescent="0.25">
      <c r="A465" s="3" t="s">
        <v>2029</v>
      </c>
      <c r="B465" s="3" t="s">
        <v>915</v>
      </c>
      <c r="C465" s="3"/>
      <c r="D465" s="3" t="s">
        <v>916</v>
      </c>
      <c r="E465" s="3">
        <v>142.86000000000001</v>
      </c>
      <c r="F465" s="3">
        <v>12.58</v>
      </c>
      <c r="G465" s="3">
        <v>9.94</v>
      </c>
      <c r="H465" s="3">
        <v>0.77</v>
      </c>
      <c r="I465" s="3">
        <v>0</v>
      </c>
      <c r="J465" s="3">
        <v>3.1</v>
      </c>
      <c r="K465" s="3">
        <v>3.81</v>
      </c>
      <c r="L465" s="3">
        <v>1.36</v>
      </c>
      <c r="M465" s="3">
        <v>423</v>
      </c>
      <c r="N465" s="3">
        <v>53</v>
      </c>
      <c r="O465" s="3">
        <v>191</v>
      </c>
      <c r="P465" s="3">
        <v>1.83</v>
      </c>
      <c r="Q465" s="3">
        <v>134</v>
      </c>
      <c r="R465" s="3">
        <v>140</v>
      </c>
      <c r="S465" s="3">
        <v>1.1100000000000001</v>
      </c>
      <c r="T465" s="3">
        <v>0</v>
      </c>
      <c r="U465" s="3">
        <v>140</v>
      </c>
      <c r="V465" s="3">
        <v>47</v>
      </c>
      <c r="W465" s="3">
        <v>1.29</v>
      </c>
    </row>
    <row r="466" spans="1:23" x14ac:dyDescent="0.25">
      <c r="A466" s="3" t="s">
        <v>2029</v>
      </c>
      <c r="B466" s="3" t="s">
        <v>917</v>
      </c>
      <c r="C466" s="3"/>
      <c r="D466" s="3" t="s">
        <v>918</v>
      </c>
      <c r="E466" s="3">
        <v>316.66000000000003</v>
      </c>
      <c r="F466" s="3">
        <v>15.86</v>
      </c>
      <c r="G466" s="3">
        <v>26.54</v>
      </c>
      <c r="H466" s="3">
        <v>3.59</v>
      </c>
      <c r="I466" s="3">
        <v>0</v>
      </c>
      <c r="J466" s="3">
        <v>9.5500000000000007</v>
      </c>
      <c r="K466" s="3">
        <v>11.74</v>
      </c>
      <c r="L466" s="3">
        <v>4.2</v>
      </c>
      <c r="M466" s="3">
        <v>1234</v>
      </c>
      <c r="N466" s="3">
        <v>129</v>
      </c>
      <c r="O466" s="3">
        <v>390</v>
      </c>
      <c r="P466" s="3">
        <v>2.73</v>
      </c>
      <c r="Q466" s="3">
        <v>109</v>
      </c>
      <c r="R466" s="3">
        <v>48</v>
      </c>
      <c r="S466" s="3">
        <v>2.2999999999999998</v>
      </c>
      <c r="T466" s="3">
        <v>0</v>
      </c>
      <c r="U466" s="3">
        <v>381</v>
      </c>
      <c r="V466" s="3">
        <v>146</v>
      </c>
      <c r="W466" s="3">
        <v>1.95</v>
      </c>
    </row>
    <row r="467" spans="1:23" x14ac:dyDescent="0.25">
      <c r="A467" s="3" t="s">
        <v>2029</v>
      </c>
      <c r="B467" s="3" t="s">
        <v>919</v>
      </c>
      <c r="C467" s="3"/>
      <c r="D467" s="3" t="s">
        <v>920</v>
      </c>
      <c r="E467" s="3">
        <v>161.5</v>
      </c>
      <c r="F467" s="3">
        <v>13.1</v>
      </c>
      <c r="G467" s="3">
        <v>11.1</v>
      </c>
      <c r="H467" s="3">
        <v>2.2999999999999998</v>
      </c>
      <c r="I467" s="3">
        <v>0</v>
      </c>
      <c r="J467" s="3"/>
      <c r="K467" s="3"/>
      <c r="L467" s="3"/>
      <c r="M467" s="3"/>
      <c r="N467" s="3">
        <v>58</v>
      </c>
      <c r="O467" s="3">
        <v>193</v>
      </c>
      <c r="P467" s="3">
        <v>1.7</v>
      </c>
      <c r="Q467" s="3"/>
      <c r="R467" s="3"/>
      <c r="S467" s="3">
        <v>1.41</v>
      </c>
      <c r="T467" s="3">
        <v>1</v>
      </c>
      <c r="U467" s="3">
        <v>194</v>
      </c>
      <c r="V467" s="3"/>
      <c r="W467" s="3"/>
    </row>
    <row r="468" spans="1:23" x14ac:dyDescent="0.25">
      <c r="A468" s="3" t="s">
        <v>2029</v>
      </c>
      <c r="B468" s="3" t="s">
        <v>921</v>
      </c>
      <c r="C468" s="3"/>
      <c r="D468" s="3" t="s">
        <v>922</v>
      </c>
      <c r="E468" s="3">
        <v>157.66999999999999</v>
      </c>
      <c r="F468" s="3">
        <v>18.260000000000002</v>
      </c>
      <c r="G468" s="3">
        <v>8.39</v>
      </c>
      <c r="H468" s="3">
        <v>2.2799999999999998</v>
      </c>
      <c r="I468" s="3">
        <v>0</v>
      </c>
      <c r="J468" s="3">
        <v>2.7</v>
      </c>
      <c r="K468" s="3">
        <v>3.94</v>
      </c>
      <c r="L468" s="3">
        <v>0.93</v>
      </c>
      <c r="M468" s="3">
        <v>53</v>
      </c>
      <c r="N468" s="3">
        <v>7</v>
      </c>
      <c r="O468" s="3">
        <v>236</v>
      </c>
      <c r="P468" s="3">
        <v>0.9</v>
      </c>
      <c r="Q468" s="3">
        <v>297</v>
      </c>
      <c r="R468" s="3">
        <v>1278</v>
      </c>
      <c r="S468" s="3">
        <v>2.0499999999999998</v>
      </c>
      <c r="T468" s="3">
        <v>0</v>
      </c>
      <c r="U468" s="3">
        <v>0</v>
      </c>
      <c r="V468" s="3">
        <v>3</v>
      </c>
      <c r="W468" s="3">
        <v>0.8</v>
      </c>
    </row>
    <row r="469" spans="1:23" x14ac:dyDescent="0.25">
      <c r="A469" s="3" t="s">
        <v>2029</v>
      </c>
      <c r="B469" s="3" t="s">
        <v>923</v>
      </c>
      <c r="C469" s="3"/>
      <c r="D469" s="3" t="s">
        <v>924</v>
      </c>
      <c r="E469" s="3">
        <v>228.48</v>
      </c>
      <c r="F469" s="3">
        <v>14.92</v>
      </c>
      <c r="G469" s="3">
        <v>16.64</v>
      </c>
      <c r="H469" s="3">
        <v>4.76</v>
      </c>
      <c r="I469" s="3">
        <v>0</v>
      </c>
      <c r="J469" s="3">
        <v>6.07</v>
      </c>
      <c r="K469" s="3">
        <v>7.68</v>
      </c>
      <c r="L469" s="3">
        <v>1.89</v>
      </c>
      <c r="M469" s="3">
        <v>38</v>
      </c>
      <c r="N469" s="3">
        <v>47</v>
      </c>
      <c r="O469" s="3">
        <v>125</v>
      </c>
      <c r="P469" s="3">
        <v>1.02</v>
      </c>
      <c r="Q469" s="3">
        <v>267</v>
      </c>
      <c r="R469" s="3">
        <v>1164</v>
      </c>
      <c r="S469" s="3">
        <v>2.1800000000000002</v>
      </c>
      <c r="T469" s="3">
        <v>0</v>
      </c>
      <c r="U469" s="3">
        <v>0</v>
      </c>
      <c r="V469" s="3">
        <v>2</v>
      </c>
      <c r="W469" s="3">
        <v>1.5</v>
      </c>
    </row>
    <row r="470" spans="1:23" x14ac:dyDescent="0.25">
      <c r="A470" s="3" t="s">
        <v>2029</v>
      </c>
      <c r="B470" s="3" t="s">
        <v>925</v>
      </c>
      <c r="C470" s="3"/>
      <c r="D470" s="3" t="s">
        <v>926</v>
      </c>
      <c r="E470" s="3">
        <v>141.9</v>
      </c>
      <c r="F470" s="3">
        <v>18.7</v>
      </c>
      <c r="G470" s="3">
        <v>7.22</v>
      </c>
      <c r="H470" s="3">
        <v>0.53</v>
      </c>
      <c r="I470" s="3">
        <v>0</v>
      </c>
      <c r="J470" s="3">
        <v>2.02</v>
      </c>
      <c r="K470" s="3">
        <v>2.5</v>
      </c>
      <c r="L470" s="3">
        <v>1.74</v>
      </c>
      <c r="M470" s="3">
        <v>43</v>
      </c>
      <c r="N470" s="3">
        <v>40</v>
      </c>
      <c r="O470" s="3">
        <v>183</v>
      </c>
      <c r="P470" s="3">
        <v>1.28</v>
      </c>
      <c r="Q470" s="3">
        <v>251</v>
      </c>
      <c r="R470" s="3">
        <v>489</v>
      </c>
      <c r="S470" s="3">
        <v>1.56</v>
      </c>
      <c r="T470" s="3">
        <v>0</v>
      </c>
      <c r="U470" s="3">
        <v>0</v>
      </c>
      <c r="V470" s="3">
        <v>4</v>
      </c>
      <c r="W470" s="3">
        <v>0.24</v>
      </c>
    </row>
    <row r="471" spans="1:23" x14ac:dyDescent="0.25">
      <c r="A471" s="3" t="s">
        <v>2029</v>
      </c>
      <c r="B471" s="3" t="s">
        <v>927</v>
      </c>
      <c r="C471" s="3"/>
      <c r="D471" s="3" t="s">
        <v>928</v>
      </c>
      <c r="E471" s="3">
        <v>154.30000000000001</v>
      </c>
      <c r="F471" s="3">
        <v>19.53</v>
      </c>
      <c r="G471" s="3">
        <v>7.38</v>
      </c>
      <c r="H471" s="3">
        <v>2.44</v>
      </c>
      <c r="I471" s="3">
        <v>0</v>
      </c>
      <c r="J471" s="3">
        <v>1.97</v>
      </c>
      <c r="K471" s="3">
        <v>2.92</v>
      </c>
      <c r="L471" s="3">
        <v>1.53</v>
      </c>
      <c r="M471" s="3">
        <v>50</v>
      </c>
      <c r="N471" s="3">
        <v>43</v>
      </c>
      <c r="O471" s="3">
        <v>157</v>
      </c>
      <c r="P471" s="3">
        <v>0.97</v>
      </c>
      <c r="Q471" s="3">
        <v>228</v>
      </c>
      <c r="R471" s="3">
        <v>584</v>
      </c>
      <c r="S471" s="3">
        <v>0.72</v>
      </c>
      <c r="T471" s="3">
        <v>0</v>
      </c>
      <c r="U471" s="3">
        <v>24</v>
      </c>
      <c r="V471" s="3">
        <v>2</v>
      </c>
      <c r="W471" s="3">
        <v>0.15</v>
      </c>
    </row>
    <row r="472" spans="1:23" x14ac:dyDescent="0.25">
      <c r="A472" s="3" t="s">
        <v>2029</v>
      </c>
      <c r="B472" s="3" t="s">
        <v>929</v>
      </c>
      <c r="C472" s="3"/>
      <c r="D472" s="3" t="s">
        <v>930</v>
      </c>
      <c r="E472" s="3">
        <v>129</v>
      </c>
      <c r="F472" s="3">
        <v>21</v>
      </c>
      <c r="G472" s="3">
        <v>5</v>
      </c>
      <c r="H472" s="3">
        <v>0</v>
      </c>
      <c r="I472" s="3"/>
      <c r="J472" s="3">
        <v>2</v>
      </c>
      <c r="K472" s="3">
        <v>2</v>
      </c>
      <c r="L472" s="3">
        <v>1</v>
      </c>
      <c r="M472" s="3">
        <v>65</v>
      </c>
      <c r="N472" s="3">
        <v>12</v>
      </c>
      <c r="O472" s="3">
        <v>157</v>
      </c>
      <c r="P472" s="3">
        <v>3.2</v>
      </c>
      <c r="Q472" s="3">
        <v>260</v>
      </c>
      <c r="R472" s="3">
        <v>43</v>
      </c>
      <c r="S472" s="3">
        <v>1.4</v>
      </c>
      <c r="T472" s="3"/>
      <c r="U472" s="3"/>
      <c r="V472" s="3"/>
      <c r="W472" s="3">
        <v>10</v>
      </c>
    </row>
    <row r="473" spans="1:23" x14ac:dyDescent="0.25">
      <c r="A473" s="3" t="s">
        <v>2029</v>
      </c>
      <c r="B473" s="3" t="s">
        <v>931</v>
      </c>
      <c r="C473" s="3"/>
      <c r="D473" s="3" t="s">
        <v>932</v>
      </c>
      <c r="E473" s="3">
        <v>130.5</v>
      </c>
      <c r="F473" s="3">
        <v>22.5</v>
      </c>
      <c r="G473" s="3">
        <v>3.3</v>
      </c>
      <c r="H473" s="3">
        <v>2.7</v>
      </c>
      <c r="I473" s="3"/>
      <c r="J473" s="3"/>
      <c r="K473" s="3"/>
      <c r="L473" s="3"/>
      <c r="M473" s="3"/>
      <c r="N473" s="3">
        <v>47</v>
      </c>
      <c r="O473" s="3">
        <v>189</v>
      </c>
      <c r="P473" s="3">
        <v>4.62</v>
      </c>
      <c r="Q473" s="3"/>
      <c r="R473" s="3"/>
      <c r="S473" s="3"/>
      <c r="T473" s="3"/>
      <c r="U473" s="3">
        <v>6</v>
      </c>
      <c r="V473" s="3"/>
      <c r="W473" s="3"/>
    </row>
    <row r="474" spans="1:23" x14ac:dyDescent="0.25">
      <c r="A474" s="3" t="s">
        <v>2029</v>
      </c>
      <c r="B474" s="3" t="s">
        <v>933</v>
      </c>
      <c r="C474" s="3"/>
      <c r="D474" s="3" t="s">
        <v>934</v>
      </c>
      <c r="E474" s="3">
        <v>384.3</v>
      </c>
      <c r="F474" s="3">
        <v>7.7</v>
      </c>
      <c r="G474" s="3">
        <v>38.299999999999997</v>
      </c>
      <c r="H474" s="3">
        <v>2.2000000000000002</v>
      </c>
      <c r="I474" s="3"/>
      <c r="J474" s="3"/>
      <c r="K474" s="3"/>
      <c r="L474" s="3"/>
      <c r="M474" s="3"/>
      <c r="N474" s="3">
        <v>41</v>
      </c>
      <c r="O474" s="3">
        <v>98</v>
      </c>
      <c r="P474" s="3">
        <v>3.7</v>
      </c>
      <c r="Q474" s="3"/>
      <c r="R474" s="3"/>
      <c r="S474" s="3"/>
      <c r="T474" s="3">
        <v>2</v>
      </c>
      <c r="U474" s="3"/>
      <c r="V474" s="3"/>
      <c r="W474" s="3"/>
    </row>
    <row r="475" spans="1:23" x14ac:dyDescent="0.25">
      <c r="A475" s="3" t="s">
        <v>2029</v>
      </c>
      <c r="B475" s="3" t="s">
        <v>935</v>
      </c>
      <c r="C475" s="3"/>
      <c r="D475" s="3" t="s">
        <v>936</v>
      </c>
      <c r="E475" s="3">
        <v>179.2</v>
      </c>
      <c r="F475" s="3">
        <v>13.8</v>
      </c>
      <c r="G475" s="3">
        <v>12.8</v>
      </c>
      <c r="H475" s="3">
        <v>2.2000000000000002</v>
      </c>
      <c r="I475" s="3"/>
      <c r="J475" s="3">
        <v>5</v>
      </c>
      <c r="K475" s="3">
        <v>5.6</v>
      </c>
      <c r="L475" s="3">
        <v>1.2</v>
      </c>
      <c r="M475" s="3">
        <v>120</v>
      </c>
      <c r="N475" s="3">
        <v>10</v>
      </c>
      <c r="O475" s="3">
        <v>44</v>
      </c>
      <c r="P475" s="3">
        <v>37</v>
      </c>
      <c r="Q475" s="3"/>
      <c r="R475" s="3"/>
      <c r="S475" s="3"/>
      <c r="T475" s="3">
        <v>2</v>
      </c>
      <c r="U475" s="3">
        <v>20</v>
      </c>
      <c r="V475" s="3"/>
      <c r="W475" s="3"/>
    </row>
    <row r="476" spans="1:23" x14ac:dyDescent="0.25">
      <c r="A476" s="3" t="s">
        <v>2029</v>
      </c>
      <c r="B476" s="3" t="s">
        <v>937</v>
      </c>
      <c r="C476" s="3"/>
      <c r="D476" s="3" t="s">
        <v>938</v>
      </c>
      <c r="E476" s="3">
        <v>242.95</v>
      </c>
      <c r="F476" s="3">
        <v>15.3</v>
      </c>
      <c r="G476" s="3">
        <v>19.87</v>
      </c>
      <c r="H476" s="3">
        <v>0.73</v>
      </c>
      <c r="I476" s="3">
        <v>0</v>
      </c>
      <c r="J476" s="3">
        <v>6.84</v>
      </c>
      <c r="K476" s="3">
        <v>9.73</v>
      </c>
      <c r="L476" s="3">
        <v>2.11</v>
      </c>
      <c r="M476" s="3">
        <v>59</v>
      </c>
      <c r="N476" s="3">
        <v>11</v>
      </c>
      <c r="O476" s="3">
        <v>139</v>
      </c>
      <c r="P476" s="3">
        <v>0.77</v>
      </c>
      <c r="Q476" s="3">
        <v>281</v>
      </c>
      <c r="R476" s="3">
        <v>907</v>
      </c>
      <c r="S476" s="3">
        <v>2.0299999999999998</v>
      </c>
      <c r="T476" s="3">
        <v>0</v>
      </c>
      <c r="U476" s="3">
        <v>0</v>
      </c>
      <c r="V476" s="3">
        <v>5</v>
      </c>
      <c r="W476" s="3">
        <v>0.93</v>
      </c>
    </row>
    <row r="477" spans="1:23" x14ac:dyDescent="0.25">
      <c r="A477" s="3" t="s">
        <v>2029</v>
      </c>
      <c r="B477" s="3" t="s">
        <v>939</v>
      </c>
      <c r="C477" s="3"/>
      <c r="D477" s="3" t="s">
        <v>940</v>
      </c>
      <c r="E477" s="3">
        <v>306.19</v>
      </c>
      <c r="F477" s="3">
        <v>16.37</v>
      </c>
      <c r="G477" s="3">
        <v>25.39</v>
      </c>
      <c r="H477" s="3">
        <v>3.05</v>
      </c>
      <c r="I477" s="3">
        <v>0</v>
      </c>
      <c r="J477" s="3">
        <v>9.51</v>
      </c>
      <c r="K477" s="3">
        <v>11.38</v>
      </c>
      <c r="L477" s="3">
        <v>3.12</v>
      </c>
      <c r="M477" s="3">
        <v>56</v>
      </c>
      <c r="N477" s="3">
        <v>18</v>
      </c>
      <c r="O477" s="3">
        <v>97</v>
      </c>
      <c r="P477" s="3">
        <v>1.4</v>
      </c>
      <c r="Q477" s="3">
        <v>163</v>
      </c>
      <c r="R477" s="3">
        <v>1246</v>
      </c>
      <c r="S477" s="3">
        <v>2.1</v>
      </c>
      <c r="T477" s="3">
        <v>0</v>
      </c>
      <c r="U477" s="3">
        <v>0</v>
      </c>
      <c r="V477" s="3">
        <v>3</v>
      </c>
      <c r="W477" s="3">
        <v>1.48</v>
      </c>
    </row>
    <row r="478" spans="1:23" x14ac:dyDescent="0.25">
      <c r="A478" s="3" t="s">
        <v>2029</v>
      </c>
      <c r="B478" s="3" t="s">
        <v>941</v>
      </c>
      <c r="C478" s="3"/>
      <c r="D478" s="3" t="s">
        <v>942</v>
      </c>
      <c r="E478" s="3">
        <v>288.08</v>
      </c>
      <c r="F478" s="3">
        <v>18.47</v>
      </c>
      <c r="G478" s="3">
        <v>23.8</v>
      </c>
      <c r="H478" s="3">
        <v>0</v>
      </c>
      <c r="I478" s="3">
        <v>0</v>
      </c>
      <c r="J478" s="3">
        <v>8.43</v>
      </c>
      <c r="K478" s="3">
        <v>9.7200000000000006</v>
      </c>
      <c r="L478" s="3">
        <v>3.07</v>
      </c>
      <c r="M478" s="3">
        <v>95</v>
      </c>
      <c r="N478" s="3">
        <v>12</v>
      </c>
      <c r="O478" s="3">
        <v>248</v>
      </c>
      <c r="P478" s="3">
        <v>3.54</v>
      </c>
      <c r="Q478" s="3">
        <v>199</v>
      </c>
      <c r="R478" s="3">
        <v>54</v>
      </c>
      <c r="S478" s="3">
        <v>2.2000000000000002</v>
      </c>
      <c r="T478" s="3">
        <v>5</v>
      </c>
      <c r="U478" s="3">
        <v>73</v>
      </c>
      <c r="V478" s="3">
        <v>6</v>
      </c>
      <c r="W478" s="3">
        <v>0.4</v>
      </c>
    </row>
    <row r="479" spans="1:23" x14ac:dyDescent="0.25">
      <c r="A479" s="3" t="s">
        <v>2029</v>
      </c>
      <c r="B479" s="3" t="s">
        <v>943</v>
      </c>
      <c r="C479" s="3"/>
      <c r="D479" s="3" t="s">
        <v>944</v>
      </c>
      <c r="E479" s="3">
        <v>458.84</v>
      </c>
      <c r="F479" s="3">
        <v>11.4</v>
      </c>
      <c r="G479" s="3">
        <v>43.84</v>
      </c>
      <c r="H479" s="3">
        <v>4.67</v>
      </c>
      <c r="I479" s="3">
        <v>0</v>
      </c>
      <c r="J479" s="3">
        <v>14.45</v>
      </c>
      <c r="K479" s="3">
        <v>25.61</v>
      </c>
      <c r="L479" s="3">
        <v>0.84</v>
      </c>
      <c r="M479" s="3">
        <v>150</v>
      </c>
      <c r="N479" s="3">
        <v>70</v>
      </c>
      <c r="O479" s="3">
        <v>200</v>
      </c>
      <c r="P479" s="3">
        <v>5.5</v>
      </c>
      <c r="Q479" s="3">
        <v>138</v>
      </c>
      <c r="R479" s="3">
        <v>697</v>
      </c>
      <c r="S479" s="3">
        <v>0.92</v>
      </c>
      <c r="T479" s="3">
        <v>0</v>
      </c>
      <c r="U479" s="3">
        <v>1001</v>
      </c>
      <c r="V479" s="3">
        <v>60</v>
      </c>
      <c r="W479" s="3">
        <v>9.4</v>
      </c>
    </row>
    <row r="480" spans="1:23" x14ac:dyDescent="0.25">
      <c r="A480" s="3" t="s">
        <v>2029</v>
      </c>
      <c r="B480" s="3" t="s">
        <v>945</v>
      </c>
      <c r="C480" s="3"/>
      <c r="D480" s="3" t="s">
        <v>946</v>
      </c>
      <c r="E480" s="3">
        <v>321.39999999999998</v>
      </c>
      <c r="F480" s="3">
        <v>16</v>
      </c>
      <c r="G480" s="3">
        <v>28.6</v>
      </c>
      <c r="H480" s="3">
        <v>0</v>
      </c>
      <c r="I480" s="3"/>
      <c r="J480" s="3">
        <v>9.67</v>
      </c>
      <c r="K480" s="3">
        <v>11.52</v>
      </c>
      <c r="L480" s="3">
        <v>3.36</v>
      </c>
      <c r="M480" s="3">
        <v>84</v>
      </c>
      <c r="N480" s="3">
        <v>15</v>
      </c>
      <c r="O480" s="3">
        <v>188</v>
      </c>
      <c r="P480" s="3">
        <v>1.8</v>
      </c>
      <c r="Q480" s="3">
        <v>204</v>
      </c>
      <c r="R480" s="3">
        <v>59</v>
      </c>
      <c r="S480" s="3">
        <v>1.86</v>
      </c>
      <c r="T480" s="3">
        <v>0</v>
      </c>
      <c r="U480" s="3">
        <v>63</v>
      </c>
      <c r="V480" s="3"/>
      <c r="W480" s="3">
        <v>0.3</v>
      </c>
    </row>
    <row r="481" spans="1:23" x14ac:dyDescent="0.25">
      <c r="A481" s="3" t="s">
        <v>2029</v>
      </c>
      <c r="B481" s="3" t="s">
        <v>947</v>
      </c>
      <c r="C481" s="3"/>
      <c r="D481" s="3" t="s">
        <v>948</v>
      </c>
      <c r="E481" s="3">
        <v>108.22</v>
      </c>
      <c r="F481" s="3">
        <v>21.28</v>
      </c>
      <c r="G481" s="3">
        <v>2.5</v>
      </c>
      <c r="H481" s="3">
        <v>0.15</v>
      </c>
      <c r="I481" s="3">
        <v>0</v>
      </c>
      <c r="J481" s="3">
        <v>0.68</v>
      </c>
      <c r="K481" s="3">
        <v>0.76</v>
      </c>
      <c r="L481" s="3">
        <v>0.61</v>
      </c>
      <c r="M481" s="3">
        <v>79</v>
      </c>
      <c r="N481" s="3">
        <v>11</v>
      </c>
      <c r="O481" s="3">
        <v>176</v>
      </c>
      <c r="P481" s="3">
        <v>1.04</v>
      </c>
      <c r="Q481" s="3">
        <v>226</v>
      </c>
      <c r="R481" s="3">
        <v>124</v>
      </c>
      <c r="S481" s="3">
        <v>2.59</v>
      </c>
      <c r="T481" s="3">
        <v>0</v>
      </c>
      <c r="U481" s="3">
        <v>13</v>
      </c>
      <c r="V481" s="3">
        <v>7</v>
      </c>
      <c r="W481" s="3">
        <v>0</v>
      </c>
    </row>
    <row r="482" spans="1:23" x14ac:dyDescent="0.25">
      <c r="A482" s="3" t="s">
        <v>2029</v>
      </c>
      <c r="B482" s="3" t="s">
        <v>949</v>
      </c>
      <c r="C482" s="3"/>
      <c r="D482" s="3" t="s">
        <v>950</v>
      </c>
      <c r="E482" s="3">
        <v>460.08</v>
      </c>
      <c r="F482" s="3">
        <v>20.350000000000001</v>
      </c>
      <c r="G482" s="3">
        <v>40.28</v>
      </c>
      <c r="H482" s="3">
        <v>4.04</v>
      </c>
      <c r="I482" s="3">
        <v>1.5</v>
      </c>
      <c r="J482" s="3">
        <v>16.09</v>
      </c>
      <c r="K482" s="3">
        <v>19.04</v>
      </c>
      <c r="L482" s="3">
        <v>2.63</v>
      </c>
      <c r="M482" s="3">
        <v>118</v>
      </c>
      <c r="N482" s="3">
        <v>21</v>
      </c>
      <c r="O482" s="3">
        <v>176</v>
      </c>
      <c r="P482" s="3">
        <v>1.44</v>
      </c>
      <c r="Q482" s="3">
        <v>315</v>
      </c>
      <c r="R482" s="3">
        <v>1788</v>
      </c>
      <c r="S482" s="3">
        <v>2.73</v>
      </c>
      <c r="T482" s="3">
        <v>1</v>
      </c>
      <c r="U482" s="3">
        <v>0</v>
      </c>
      <c r="V482" s="3">
        <v>6</v>
      </c>
      <c r="W482" s="3">
        <v>1.57</v>
      </c>
    </row>
    <row r="483" spans="1:23" x14ac:dyDescent="0.25">
      <c r="A483" s="3" t="s">
        <v>2029</v>
      </c>
      <c r="B483" s="3" t="s">
        <v>951</v>
      </c>
      <c r="C483" s="3"/>
      <c r="D483" s="3" t="s">
        <v>952</v>
      </c>
      <c r="E483" s="3">
        <v>242.5</v>
      </c>
      <c r="F483" s="3">
        <v>22.78</v>
      </c>
      <c r="G483" s="3">
        <v>16.82</v>
      </c>
      <c r="H483" s="3">
        <v>0</v>
      </c>
      <c r="I483" s="3">
        <v>0</v>
      </c>
      <c r="J483" s="3">
        <v>4.71</v>
      </c>
      <c r="K483" s="3">
        <v>6.6</v>
      </c>
      <c r="L483" s="3">
        <v>3.58</v>
      </c>
      <c r="M483" s="3">
        <v>70</v>
      </c>
      <c r="N483" s="3">
        <v>12</v>
      </c>
      <c r="O483" s="3">
        <v>121</v>
      </c>
      <c r="P483" s="3">
        <v>1.1299999999999999</v>
      </c>
      <c r="Q483" s="3">
        <v>139</v>
      </c>
      <c r="R483" s="3">
        <v>67</v>
      </c>
      <c r="S483" s="3">
        <v>1.63</v>
      </c>
      <c r="T483" s="3">
        <v>0</v>
      </c>
      <c r="U483" s="3">
        <v>40</v>
      </c>
      <c r="V483" s="3">
        <v>3</v>
      </c>
      <c r="W483" s="3">
        <v>0.18</v>
      </c>
    </row>
    <row r="484" spans="1:23" x14ac:dyDescent="0.25">
      <c r="A484" s="3" t="s">
        <v>2029</v>
      </c>
      <c r="B484" s="3" t="s">
        <v>953</v>
      </c>
      <c r="C484" s="3"/>
      <c r="D484" s="3" t="s">
        <v>954</v>
      </c>
      <c r="E484" s="3">
        <v>217.05</v>
      </c>
      <c r="F484" s="3">
        <v>18.329999999999998</v>
      </c>
      <c r="G484" s="3">
        <v>15.97</v>
      </c>
      <c r="H484" s="3">
        <v>0</v>
      </c>
      <c r="I484" s="3">
        <v>0</v>
      </c>
      <c r="J484" s="3">
        <v>4.4800000000000004</v>
      </c>
      <c r="K484" s="3">
        <v>6.35</v>
      </c>
      <c r="L484" s="3">
        <v>3.39</v>
      </c>
      <c r="M484" s="3">
        <v>77</v>
      </c>
      <c r="N484" s="3">
        <v>12</v>
      </c>
      <c r="O484" s="3">
        <v>132</v>
      </c>
      <c r="P484" s="3">
        <v>0.95</v>
      </c>
      <c r="Q484" s="3">
        <v>156</v>
      </c>
      <c r="R484" s="3">
        <v>73</v>
      </c>
      <c r="S484" s="3">
        <v>1.33</v>
      </c>
      <c r="T484" s="3">
        <v>1</v>
      </c>
      <c r="U484" s="3">
        <v>44</v>
      </c>
      <c r="V484" s="3">
        <v>4</v>
      </c>
      <c r="W484" s="3">
        <v>0.32</v>
      </c>
    </row>
    <row r="485" spans="1:23" x14ac:dyDescent="0.25">
      <c r="A485" s="3" t="s">
        <v>2029</v>
      </c>
      <c r="B485" s="3" t="s">
        <v>955</v>
      </c>
      <c r="C485" s="3"/>
      <c r="D485" s="3" t="s">
        <v>956</v>
      </c>
      <c r="E485" s="3">
        <v>149.01</v>
      </c>
      <c r="F485" s="3">
        <v>15.55</v>
      </c>
      <c r="G485" s="3">
        <v>9.33</v>
      </c>
      <c r="H485" s="3">
        <v>0.71</v>
      </c>
      <c r="I485" s="3">
        <v>0</v>
      </c>
      <c r="J485" s="3">
        <v>2.66</v>
      </c>
      <c r="K485" s="3">
        <v>2.37</v>
      </c>
      <c r="L485" s="3">
        <v>2.71</v>
      </c>
      <c r="M485" s="3">
        <v>136</v>
      </c>
      <c r="N485" s="3">
        <v>12</v>
      </c>
      <c r="O485" s="3">
        <v>177</v>
      </c>
      <c r="P485" s="3">
        <v>5.96</v>
      </c>
      <c r="Q485" s="3">
        <v>176</v>
      </c>
      <c r="R485" s="3">
        <v>74</v>
      </c>
      <c r="S485" s="3">
        <v>6.59</v>
      </c>
      <c r="T485" s="3">
        <v>3</v>
      </c>
      <c r="U485" s="3">
        <v>9</v>
      </c>
      <c r="V485" s="3">
        <v>72</v>
      </c>
      <c r="W485" s="3">
        <v>7.29</v>
      </c>
    </row>
    <row r="486" spans="1:23" x14ac:dyDescent="0.25">
      <c r="A486" s="3" t="s">
        <v>2029</v>
      </c>
      <c r="B486" s="3" t="s">
        <v>957</v>
      </c>
      <c r="C486" s="3"/>
      <c r="D486" s="3" t="s">
        <v>958</v>
      </c>
      <c r="E486" s="3">
        <v>159.91</v>
      </c>
      <c r="F486" s="3">
        <v>24.46</v>
      </c>
      <c r="G486" s="3">
        <v>6.51</v>
      </c>
      <c r="H486" s="3">
        <v>0.87</v>
      </c>
      <c r="I486" s="3">
        <v>0</v>
      </c>
      <c r="J486" s="3">
        <v>2.06</v>
      </c>
      <c r="K486" s="3">
        <v>1.42</v>
      </c>
      <c r="L486" s="3">
        <v>2.0099999999999998</v>
      </c>
      <c r="M486" s="3">
        <v>563</v>
      </c>
      <c r="N486" s="3">
        <v>11</v>
      </c>
      <c r="O486" s="3">
        <v>405</v>
      </c>
      <c r="P486" s="3">
        <v>11.63</v>
      </c>
      <c r="Q486" s="3">
        <v>263</v>
      </c>
      <c r="R486" s="3">
        <v>76</v>
      </c>
      <c r="S486" s="3">
        <v>3.98</v>
      </c>
      <c r="T486" s="3">
        <v>28</v>
      </c>
      <c r="U486" s="3">
        <v>3981</v>
      </c>
      <c r="V486" s="3">
        <v>578</v>
      </c>
      <c r="W486" s="3">
        <v>16.850000000000001</v>
      </c>
    </row>
    <row r="487" spans="1:23" x14ac:dyDescent="0.25">
      <c r="A487" s="3" t="s">
        <v>2029</v>
      </c>
      <c r="B487" s="3" t="s">
        <v>959</v>
      </c>
      <c r="C487" s="3"/>
      <c r="D487" s="3" t="s">
        <v>960</v>
      </c>
      <c r="E487" s="3">
        <v>111.15</v>
      </c>
      <c r="F487" s="3">
        <v>16.920000000000002</v>
      </c>
      <c r="G487" s="3">
        <v>4.83</v>
      </c>
      <c r="H487" s="3">
        <v>0</v>
      </c>
      <c r="I487" s="3">
        <v>0</v>
      </c>
      <c r="J487" s="3">
        <v>1.56</v>
      </c>
      <c r="K487" s="3">
        <v>1.25</v>
      </c>
      <c r="L487" s="3">
        <v>0.82</v>
      </c>
      <c r="M487" s="3">
        <v>345</v>
      </c>
      <c r="N487" s="3">
        <v>8</v>
      </c>
      <c r="O487" s="3">
        <v>297</v>
      </c>
      <c r="P487" s="3">
        <v>8.99</v>
      </c>
      <c r="Q487" s="3">
        <v>230</v>
      </c>
      <c r="R487" s="3">
        <v>71</v>
      </c>
      <c r="S487" s="3">
        <v>2.67</v>
      </c>
      <c r="T487" s="3">
        <v>18</v>
      </c>
      <c r="U487" s="3">
        <v>3296</v>
      </c>
      <c r="V487" s="3">
        <v>588</v>
      </c>
      <c r="W487" s="3">
        <v>16.579999999999998</v>
      </c>
    </row>
    <row r="488" spans="1:23" x14ac:dyDescent="0.25">
      <c r="A488" s="3" t="s">
        <v>2029</v>
      </c>
      <c r="B488" s="3" t="s">
        <v>961</v>
      </c>
      <c r="C488" s="3"/>
      <c r="D488" s="3" t="s">
        <v>962</v>
      </c>
      <c r="E488" s="3">
        <v>145.68</v>
      </c>
      <c r="F488" s="3">
        <v>30.39</v>
      </c>
      <c r="G488" s="3">
        <v>2.68</v>
      </c>
      <c r="H488" s="3">
        <v>0</v>
      </c>
      <c r="I488" s="3">
        <v>0</v>
      </c>
      <c r="J488" s="3">
        <v>0.67</v>
      </c>
      <c r="K488" s="3">
        <v>0.53</v>
      </c>
      <c r="L488" s="3">
        <v>0.35</v>
      </c>
      <c r="M488" s="3">
        <v>370</v>
      </c>
      <c r="N488" s="3">
        <v>17</v>
      </c>
      <c r="O488" s="3">
        <v>189</v>
      </c>
      <c r="P488" s="3">
        <v>3.19</v>
      </c>
      <c r="Q488" s="3">
        <v>179</v>
      </c>
      <c r="R488" s="3">
        <v>56</v>
      </c>
      <c r="S488" s="3">
        <v>4.42</v>
      </c>
      <c r="T488" s="3">
        <v>0</v>
      </c>
      <c r="U488" s="3">
        <v>0</v>
      </c>
      <c r="V488" s="3">
        <v>5</v>
      </c>
      <c r="W488" s="3">
        <v>1.04</v>
      </c>
    </row>
    <row r="489" spans="1:23" x14ac:dyDescent="0.25">
      <c r="A489" s="3" t="s">
        <v>2029</v>
      </c>
      <c r="B489" s="3" t="s">
        <v>963</v>
      </c>
      <c r="C489" s="3"/>
      <c r="D489" s="3" t="s">
        <v>964</v>
      </c>
      <c r="E489" s="3">
        <v>89.18</v>
      </c>
      <c r="F489" s="3">
        <v>17.66</v>
      </c>
      <c r="G489" s="3">
        <v>2.06</v>
      </c>
      <c r="H489" s="3">
        <v>0</v>
      </c>
      <c r="I489" s="3">
        <v>0</v>
      </c>
      <c r="J489" s="3">
        <v>0.53</v>
      </c>
      <c r="K489" s="3">
        <v>0.51</v>
      </c>
      <c r="L489" s="3">
        <v>0.36</v>
      </c>
      <c r="M489" s="3">
        <v>240</v>
      </c>
      <c r="N489" s="3">
        <v>11</v>
      </c>
      <c r="O489" s="3">
        <v>148</v>
      </c>
      <c r="P489" s="3">
        <v>2.4900000000000002</v>
      </c>
      <c r="Q489" s="3">
        <v>237</v>
      </c>
      <c r="R489" s="3">
        <v>69</v>
      </c>
      <c r="S489" s="3">
        <v>272</v>
      </c>
      <c r="T489" s="3">
        <v>4</v>
      </c>
      <c r="U489" s="3">
        <v>19</v>
      </c>
      <c r="V489" s="3">
        <v>5</v>
      </c>
      <c r="W489" s="3" t="s">
        <v>965</v>
      </c>
    </row>
    <row r="490" spans="1:23" x14ac:dyDescent="0.25">
      <c r="A490" s="3" t="s">
        <v>2029</v>
      </c>
      <c r="B490" s="3" t="s">
        <v>966</v>
      </c>
      <c r="C490" s="3"/>
      <c r="D490" s="3" t="s">
        <v>967</v>
      </c>
      <c r="E490" s="3">
        <v>188.11</v>
      </c>
      <c r="F490" s="3">
        <v>25</v>
      </c>
      <c r="G490" s="3">
        <v>9.7899999999999991</v>
      </c>
      <c r="H490" s="3">
        <v>0</v>
      </c>
      <c r="I490" s="3">
        <v>0</v>
      </c>
      <c r="J490" s="3">
        <v>2.71</v>
      </c>
      <c r="K490" s="3">
        <v>3.7</v>
      </c>
      <c r="L490" s="3">
        <v>2.2400000000000002</v>
      </c>
      <c r="M490" s="3">
        <v>90</v>
      </c>
      <c r="N490" s="3">
        <v>11</v>
      </c>
      <c r="O490" s="3">
        <v>149</v>
      </c>
      <c r="P490" s="3">
        <v>1.42</v>
      </c>
      <c r="Q490" s="3">
        <v>183</v>
      </c>
      <c r="R490" s="3">
        <v>75</v>
      </c>
      <c r="S490" s="3">
        <v>2.58</v>
      </c>
      <c r="T490" s="3">
        <v>0</v>
      </c>
      <c r="U490" s="3">
        <v>19</v>
      </c>
      <c r="V490" s="3">
        <v>7</v>
      </c>
      <c r="W490" s="3">
        <v>0.21</v>
      </c>
    </row>
    <row r="491" spans="1:23" x14ac:dyDescent="0.25">
      <c r="A491" s="3" t="s">
        <v>2029</v>
      </c>
      <c r="B491" s="3" t="s">
        <v>968</v>
      </c>
      <c r="C491" s="3"/>
      <c r="D491" s="3" t="s">
        <v>969</v>
      </c>
      <c r="E491" s="3">
        <v>201.68</v>
      </c>
      <c r="F491" s="3">
        <v>25.94</v>
      </c>
      <c r="G491" s="3">
        <v>10.88</v>
      </c>
      <c r="H491" s="3">
        <v>0</v>
      </c>
      <c r="I491" s="3">
        <v>0</v>
      </c>
      <c r="J491" s="3">
        <v>3.03</v>
      </c>
      <c r="K491" s="3">
        <v>4.1500000000000004</v>
      </c>
      <c r="L491" s="3">
        <v>2.48</v>
      </c>
      <c r="M491" s="3">
        <v>95</v>
      </c>
      <c r="N491" s="3">
        <v>12</v>
      </c>
      <c r="O491" s="3">
        <v>183</v>
      </c>
      <c r="P491" s="3">
        <v>1.31</v>
      </c>
      <c r="Q491" s="3">
        <v>238</v>
      </c>
      <c r="R491" s="3">
        <v>88</v>
      </c>
      <c r="S491" s="3">
        <v>2.57</v>
      </c>
      <c r="T491" s="3">
        <v>0</v>
      </c>
      <c r="U491" s="3">
        <v>20</v>
      </c>
      <c r="V491" s="3">
        <v>8</v>
      </c>
      <c r="W491" s="3">
        <v>0.31</v>
      </c>
    </row>
    <row r="492" spans="1:23" x14ac:dyDescent="0.25">
      <c r="A492" s="3" t="s">
        <v>2029</v>
      </c>
      <c r="B492" s="3" t="s">
        <v>970</v>
      </c>
      <c r="C492" s="3"/>
      <c r="D492" s="3" t="s">
        <v>971</v>
      </c>
      <c r="E492" s="3">
        <v>166.65</v>
      </c>
      <c r="F492" s="3">
        <v>20.85</v>
      </c>
      <c r="G492" s="3">
        <v>9.25</v>
      </c>
      <c r="H492" s="3">
        <v>0</v>
      </c>
      <c r="I492" s="3">
        <v>0</v>
      </c>
      <c r="J492" s="3">
        <v>2.66</v>
      </c>
      <c r="K492" s="3">
        <v>3.82</v>
      </c>
      <c r="L492" s="3">
        <v>1.96</v>
      </c>
      <c r="M492" s="3">
        <v>64</v>
      </c>
      <c r="N492" s="3">
        <v>11</v>
      </c>
      <c r="O492" s="3">
        <v>174</v>
      </c>
      <c r="P492" s="3">
        <v>0.74</v>
      </c>
      <c r="Q492" s="3">
        <v>220</v>
      </c>
      <c r="R492" s="3">
        <v>63</v>
      </c>
      <c r="S492" s="3">
        <v>0.8</v>
      </c>
      <c r="T492" s="3">
        <v>0</v>
      </c>
      <c r="U492" s="3">
        <v>25</v>
      </c>
      <c r="V492" s="3">
        <v>4</v>
      </c>
      <c r="W492" s="3">
        <v>0.34</v>
      </c>
    </row>
    <row r="493" spans="1:23" x14ac:dyDescent="0.25">
      <c r="A493" s="3" t="s">
        <v>2029</v>
      </c>
      <c r="B493" s="3" t="s">
        <v>972</v>
      </c>
      <c r="C493" s="3"/>
      <c r="D493" s="3" t="s">
        <v>973</v>
      </c>
      <c r="E493" s="3">
        <v>143.19</v>
      </c>
      <c r="F493" s="3">
        <v>28.98</v>
      </c>
      <c r="G493" s="3">
        <v>3.03</v>
      </c>
      <c r="H493" s="3">
        <v>0</v>
      </c>
      <c r="I493" s="3">
        <v>0</v>
      </c>
      <c r="J493" s="3">
        <v>0.85</v>
      </c>
      <c r="K493" s="3">
        <v>1.03</v>
      </c>
      <c r="L493" s="3">
        <v>0.66</v>
      </c>
      <c r="M493" s="3">
        <v>77</v>
      </c>
      <c r="N493" s="3">
        <v>13</v>
      </c>
      <c r="O493" s="3">
        <v>165</v>
      </c>
      <c r="P493" s="3">
        <v>0.88</v>
      </c>
      <c r="Q493" s="3">
        <v>187</v>
      </c>
      <c r="R493" s="3">
        <v>63</v>
      </c>
      <c r="S493" s="3">
        <v>0.97</v>
      </c>
      <c r="T493" s="3">
        <v>0</v>
      </c>
      <c r="U493" s="3">
        <v>6</v>
      </c>
      <c r="V493" s="3">
        <v>3</v>
      </c>
      <c r="W493" s="3">
        <v>0.23</v>
      </c>
    </row>
    <row r="494" spans="1:23" x14ac:dyDescent="0.25">
      <c r="A494" s="3" t="s">
        <v>2029</v>
      </c>
      <c r="B494" s="3" t="s">
        <v>974</v>
      </c>
      <c r="C494" s="3"/>
      <c r="D494" s="3" t="s">
        <v>975</v>
      </c>
      <c r="E494" s="3">
        <v>212.96</v>
      </c>
      <c r="F494" s="3">
        <v>24.17</v>
      </c>
      <c r="G494" s="3">
        <v>12.92</v>
      </c>
      <c r="H494" s="3">
        <v>0</v>
      </c>
      <c r="I494" s="3">
        <v>0</v>
      </c>
      <c r="J494" s="3">
        <v>3.57</v>
      </c>
      <c r="K494" s="3">
        <v>5.04</v>
      </c>
      <c r="L494" s="3">
        <v>2.87</v>
      </c>
      <c r="M494" s="3">
        <v>84</v>
      </c>
      <c r="N494" s="3">
        <v>11</v>
      </c>
      <c r="O494" s="3">
        <v>139</v>
      </c>
      <c r="P494" s="3">
        <v>1.35</v>
      </c>
      <c r="Q494" s="3">
        <v>176</v>
      </c>
      <c r="R494" s="3">
        <v>73</v>
      </c>
      <c r="S494" s="3">
        <v>2.4300000000000002</v>
      </c>
      <c r="T494" s="3">
        <v>0</v>
      </c>
      <c r="U494" s="3">
        <v>37</v>
      </c>
      <c r="V494" s="3">
        <v>6</v>
      </c>
      <c r="W494" s="3">
        <v>0.2</v>
      </c>
    </row>
    <row r="495" spans="1:23" x14ac:dyDescent="0.25">
      <c r="A495" s="3" t="s">
        <v>2029</v>
      </c>
      <c r="B495" s="3" t="s">
        <v>976</v>
      </c>
      <c r="C495" s="3"/>
      <c r="D495" s="3" t="s">
        <v>977</v>
      </c>
      <c r="E495" s="3">
        <v>181.68</v>
      </c>
      <c r="F495" s="3">
        <v>18.149999999999999</v>
      </c>
      <c r="G495" s="3">
        <v>12.12</v>
      </c>
      <c r="H495" s="3">
        <v>0</v>
      </c>
      <c r="I495" s="3">
        <v>0</v>
      </c>
      <c r="J495" s="3">
        <v>3.41</v>
      </c>
      <c r="K495" s="3">
        <v>4.8899999999999997</v>
      </c>
      <c r="L495" s="3">
        <v>2.65</v>
      </c>
      <c r="M495" s="3">
        <v>83</v>
      </c>
      <c r="N495" s="3">
        <v>10</v>
      </c>
      <c r="O495" s="3">
        <v>149</v>
      </c>
      <c r="P495" s="3">
        <v>1.01</v>
      </c>
      <c r="Q495" s="3">
        <v>198</v>
      </c>
      <c r="R495" s="3">
        <v>79</v>
      </c>
      <c r="S495" s="3">
        <v>1.77</v>
      </c>
      <c r="T495" s="3">
        <v>3</v>
      </c>
      <c r="U495" s="3">
        <v>37</v>
      </c>
      <c r="V495" s="3">
        <v>11</v>
      </c>
      <c r="W495" s="3">
        <v>0.32</v>
      </c>
    </row>
    <row r="496" spans="1:23" x14ac:dyDescent="0.25">
      <c r="A496" s="3" t="s">
        <v>2029</v>
      </c>
      <c r="B496" s="3" t="s">
        <v>978</v>
      </c>
      <c r="C496" s="3"/>
      <c r="D496" s="3" t="s">
        <v>979</v>
      </c>
      <c r="E496" s="3">
        <v>282.82</v>
      </c>
      <c r="F496" s="3">
        <v>18.28</v>
      </c>
      <c r="G496" s="3">
        <v>23.3</v>
      </c>
      <c r="H496" s="3">
        <v>0</v>
      </c>
      <c r="I496" s="3">
        <v>0</v>
      </c>
      <c r="J496" s="3">
        <v>9.56</v>
      </c>
      <c r="K496" s="3">
        <v>10.130000000000001</v>
      </c>
      <c r="L496" s="3">
        <v>0.87</v>
      </c>
      <c r="M496" s="3">
        <v>68</v>
      </c>
      <c r="N496" s="3">
        <v>7</v>
      </c>
      <c r="O496" s="3">
        <v>171</v>
      </c>
      <c r="P496" s="3">
        <v>1.79</v>
      </c>
      <c r="Q496" s="3">
        <v>297</v>
      </c>
      <c r="R496" s="3">
        <v>53</v>
      </c>
      <c r="S496" s="3">
        <v>3.38</v>
      </c>
      <c r="T496" s="3">
        <v>0</v>
      </c>
      <c r="U496" s="3">
        <v>0</v>
      </c>
      <c r="V496" s="3">
        <v>6</v>
      </c>
      <c r="W496" s="3">
        <v>2.78</v>
      </c>
    </row>
    <row r="497" spans="1:23" x14ac:dyDescent="0.25">
      <c r="A497" s="3" t="s">
        <v>2029</v>
      </c>
      <c r="B497" s="3" t="s">
        <v>980</v>
      </c>
      <c r="C497" s="3"/>
      <c r="D497" s="3" t="s">
        <v>981</v>
      </c>
      <c r="E497" s="3">
        <v>305</v>
      </c>
      <c r="F497" s="3">
        <v>50</v>
      </c>
      <c r="G497" s="3">
        <v>5</v>
      </c>
      <c r="H497" s="3">
        <v>15</v>
      </c>
      <c r="I497" s="3">
        <v>0</v>
      </c>
      <c r="J497" s="3">
        <v>2.5</v>
      </c>
      <c r="K497" s="3"/>
      <c r="L497" s="3"/>
      <c r="M497" s="3">
        <v>95</v>
      </c>
      <c r="N497" s="3"/>
      <c r="O497" s="3"/>
      <c r="P497" s="3"/>
      <c r="Q497" s="3"/>
      <c r="R497" s="3">
        <v>1850</v>
      </c>
      <c r="S497" s="3"/>
      <c r="T497" s="3"/>
      <c r="U497" s="3"/>
      <c r="V497" s="3"/>
      <c r="W497" s="3"/>
    </row>
    <row r="498" spans="1:23" x14ac:dyDescent="0.25">
      <c r="A498" s="3" t="s">
        <v>2029</v>
      </c>
      <c r="B498" s="3" t="s">
        <v>982</v>
      </c>
      <c r="C498" s="3"/>
      <c r="D498" s="3" t="s">
        <v>983</v>
      </c>
      <c r="E498" s="3">
        <v>119.62</v>
      </c>
      <c r="F498" s="3">
        <v>22.03</v>
      </c>
      <c r="G498" s="3">
        <v>3.5</v>
      </c>
      <c r="H498" s="3">
        <v>0</v>
      </c>
      <c r="I498" s="3">
        <v>0</v>
      </c>
      <c r="J498" s="3">
        <v>1.2</v>
      </c>
      <c r="K498" s="3">
        <v>1.48</v>
      </c>
      <c r="L498" s="3">
        <v>0.15</v>
      </c>
      <c r="M498" s="3">
        <v>58</v>
      </c>
      <c r="N498" s="3">
        <v>4</v>
      </c>
      <c r="O498" s="3">
        <v>215</v>
      </c>
      <c r="P498" s="3">
        <v>2.15</v>
      </c>
      <c r="Q498" s="3">
        <v>375</v>
      </c>
      <c r="R498" s="3">
        <v>57</v>
      </c>
      <c r="S498" s="3">
        <v>3.51</v>
      </c>
      <c r="T498" s="3">
        <v>0</v>
      </c>
      <c r="U498" s="3">
        <v>0</v>
      </c>
      <c r="V498" s="3">
        <v>9</v>
      </c>
      <c r="W498" s="3">
        <v>2.98</v>
      </c>
    </row>
    <row r="499" spans="1:23" x14ac:dyDescent="0.25">
      <c r="A499" s="3" t="s">
        <v>2029</v>
      </c>
      <c r="B499" s="3" t="s">
        <v>984</v>
      </c>
      <c r="C499" s="3"/>
      <c r="D499" s="3" t="s">
        <v>985</v>
      </c>
      <c r="E499" s="3">
        <v>248.8</v>
      </c>
      <c r="F499" s="3">
        <v>17.2</v>
      </c>
      <c r="G499" s="3">
        <v>20</v>
      </c>
      <c r="H499" s="3">
        <v>0</v>
      </c>
      <c r="I499" s="3">
        <v>0</v>
      </c>
      <c r="J499" s="3">
        <v>7.58</v>
      </c>
      <c r="K499" s="3">
        <v>8.85</v>
      </c>
      <c r="L499" s="3">
        <v>0.52</v>
      </c>
      <c r="M499" s="3">
        <v>71</v>
      </c>
      <c r="N499" s="3">
        <v>18</v>
      </c>
      <c r="O499" s="3">
        <v>158</v>
      </c>
      <c r="P499" s="3">
        <v>1.94</v>
      </c>
      <c r="Q499" s="3">
        <v>270</v>
      </c>
      <c r="R499" s="3">
        <v>66</v>
      </c>
      <c r="S499" s="3">
        <v>4.18</v>
      </c>
      <c r="T499" s="3">
        <v>0</v>
      </c>
      <c r="U499" s="3">
        <v>4</v>
      </c>
      <c r="V499" s="3">
        <v>7</v>
      </c>
      <c r="W499" s="3">
        <v>2.14</v>
      </c>
    </row>
    <row r="500" spans="1:23" x14ac:dyDescent="0.25">
      <c r="A500" s="3" t="s">
        <v>2029</v>
      </c>
      <c r="B500" s="3" t="s">
        <v>986</v>
      </c>
      <c r="C500" s="3"/>
      <c r="D500" s="3" t="s">
        <v>987</v>
      </c>
      <c r="E500" s="3">
        <v>114.92</v>
      </c>
      <c r="F500" s="3">
        <v>21.98</v>
      </c>
      <c r="G500" s="3">
        <v>3</v>
      </c>
      <c r="H500" s="3">
        <v>0</v>
      </c>
      <c r="I500" s="3">
        <v>0</v>
      </c>
      <c r="J500" s="3">
        <v>1.48</v>
      </c>
      <c r="K500" s="3">
        <v>1.1299999999999999</v>
      </c>
      <c r="L500" s="3">
        <v>0.22</v>
      </c>
      <c r="M500" s="3">
        <v>60</v>
      </c>
      <c r="N500" s="3">
        <v>8</v>
      </c>
      <c r="O500" s="3">
        <v>203</v>
      </c>
      <c r="P500" s="3">
        <v>2.44</v>
      </c>
      <c r="Q500" s="3">
        <v>357</v>
      </c>
      <c r="R500" s="3">
        <v>66</v>
      </c>
      <c r="S500" s="3">
        <v>5.21</v>
      </c>
      <c r="T500" s="3">
        <v>0</v>
      </c>
      <c r="U500" s="3">
        <v>4</v>
      </c>
      <c r="V500" s="3">
        <v>4</v>
      </c>
      <c r="W500" s="3">
        <v>2.2599999999999998</v>
      </c>
    </row>
    <row r="501" spans="1:23" x14ac:dyDescent="0.25">
      <c r="A501" s="3" t="s">
        <v>2029</v>
      </c>
      <c r="B501" s="3" t="s">
        <v>988</v>
      </c>
      <c r="C501" s="3"/>
      <c r="D501" s="3" t="s">
        <v>989</v>
      </c>
      <c r="E501" s="3">
        <v>130.63999999999999</v>
      </c>
      <c r="F501" s="3">
        <v>21.41</v>
      </c>
      <c r="G501" s="3">
        <v>5</v>
      </c>
      <c r="H501" s="3">
        <v>0</v>
      </c>
      <c r="I501" s="3">
        <v>0</v>
      </c>
      <c r="J501" s="3">
        <v>2.1800000000000002</v>
      </c>
      <c r="K501" s="3">
        <v>1.99</v>
      </c>
      <c r="L501" s="3">
        <v>0.26</v>
      </c>
      <c r="M501" s="3">
        <v>62</v>
      </c>
      <c r="N501" s="3">
        <v>9</v>
      </c>
      <c r="O501" s="3">
        <v>198</v>
      </c>
      <c r="P501" s="3">
        <v>2.38</v>
      </c>
      <c r="Q501" s="3">
        <v>346</v>
      </c>
      <c r="R501" s="3">
        <v>66</v>
      </c>
      <c r="S501" s="3">
        <v>5.09</v>
      </c>
      <c r="T501" s="3">
        <v>0</v>
      </c>
      <c r="U501" s="3">
        <v>4</v>
      </c>
      <c r="V501" s="3">
        <v>5</v>
      </c>
      <c r="W501" s="3">
        <v>2.2400000000000002</v>
      </c>
    </row>
    <row r="502" spans="1:23" x14ac:dyDescent="0.25">
      <c r="A502" s="3" t="s">
        <v>2029</v>
      </c>
      <c r="B502" s="3" t="s">
        <v>990</v>
      </c>
      <c r="C502" s="3"/>
      <c r="D502" s="3" t="s">
        <v>991</v>
      </c>
      <c r="E502" s="3">
        <v>256.77999999999997</v>
      </c>
      <c r="F502" s="3">
        <v>26.44</v>
      </c>
      <c r="G502" s="3">
        <v>16.78</v>
      </c>
      <c r="H502" s="3">
        <v>0</v>
      </c>
      <c r="I502" s="3">
        <v>0</v>
      </c>
      <c r="J502" s="3">
        <v>6.61</v>
      </c>
      <c r="K502" s="3">
        <v>6.99</v>
      </c>
      <c r="L502" s="3">
        <v>0.62</v>
      </c>
      <c r="M502" s="3">
        <v>88</v>
      </c>
      <c r="N502" s="3">
        <v>19</v>
      </c>
      <c r="O502" s="3">
        <v>204</v>
      </c>
      <c r="P502" s="3">
        <v>1.69</v>
      </c>
      <c r="Q502" s="3">
        <v>328</v>
      </c>
      <c r="R502" s="3">
        <v>54</v>
      </c>
      <c r="S502" s="3">
        <v>4.75</v>
      </c>
      <c r="T502" s="3">
        <v>0</v>
      </c>
      <c r="U502" s="3">
        <v>0</v>
      </c>
      <c r="V502" s="3">
        <v>8</v>
      </c>
      <c r="W502" s="3">
        <v>1.56</v>
      </c>
    </row>
    <row r="503" spans="1:23" x14ac:dyDescent="0.25">
      <c r="A503" s="3" t="s">
        <v>2029</v>
      </c>
      <c r="B503" s="3" t="s">
        <v>992</v>
      </c>
      <c r="C503" s="3"/>
      <c r="D503" s="3" t="s">
        <v>993</v>
      </c>
      <c r="E503" s="3">
        <v>229.07</v>
      </c>
      <c r="F503" s="3">
        <v>18.68</v>
      </c>
      <c r="G503" s="3">
        <v>17.149999999999999</v>
      </c>
      <c r="H503" s="3">
        <v>0</v>
      </c>
      <c r="I503" s="3">
        <v>0</v>
      </c>
      <c r="J503" s="3">
        <v>6.91</v>
      </c>
      <c r="K503" s="3">
        <v>7.42</v>
      </c>
      <c r="L503" s="3">
        <v>0.63</v>
      </c>
      <c r="M503" s="3">
        <v>66</v>
      </c>
      <c r="N503" s="3">
        <v>7</v>
      </c>
      <c r="O503" s="3">
        <v>177</v>
      </c>
      <c r="P503" s="3">
        <v>1.91</v>
      </c>
      <c r="Q503" s="3">
        <v>306</v>
      </c>
      <c r="R503" s="3">
        <v>58</v>
      </c>
      <c r="S503" s="3">
        <v>3.75</v>
      </c>
      <c r="T503" s="3">
        <v>0</v>
      </c>
      <c r="U503" s="3">
        <v>0</v>
      </c>
      <c r="V503" s="3">
        <v>6</v>
      </c>
      <c r="W503" s="3">
        <v>2.95</v>
      </c>
    </row>
    <row r="504" spans="1:23" x14ac:dyDescent="0.25">
      <c r="A504" s="3" t="s">
        <v>2029</v>
      </c>
      <c r="B504" s="3" t="s">
        <v>994</v>
      </c>
      <c r="C504" s="3"/>
      <c r="D504" s="3" t="s">
        <v>995</v>
      </c>
      <c r="E504" s="3">
        <v>282.55</v>
      </c>
      <c r="F504" s="3">
        <v>16.75</v>
      </c>
      <c r="G504" s="3">
        <v>23.95</v>
      </c>
      <c r="H504" s="3">
        <v>0</v>
      </c>
      <c r="I504" s="3">
        <v>0</v>
      </c>
      <c r="J504" s="3">
        <v>9.8800000000000008</v>
      </c>
      <c r="K504" s="3">
        <v>10.32</v>
      </c>
      <c r="L504" s="3">
        <v>0.86</v>
      </c>
      <c r="M504" s="3">
        <v>70</v>
      </c>
      <c r="N504" s="3">
        <v>9</v>
      </c>
      <c r="O504" s="3">
        <v>159</v>
      </c>
      <c r="P504" s="3">
        <v>1.77</v>
      </c>
      <c r="Q504" s="3">
        <v>278</v>
      </c>
      <c r="R504" s="3">
        <v>55</v>
      </c>
      <c r="S504" s="3">
        <v>3.79</v>
      </c>
      <c r="T504" s="3"/>
      <c r="U504" s="3">
        <v>0</v>
      </c>
      <c r="V504" s="3">
        <v>5</v>
      </c>
      <c r="W504" s="3">
        <v>2.86</v>
      </c>
    </row>
    <row r="505" spans="1:23" x14ac:dyDescent="0.25">
      <c r="A505" s="3" t="s">
        <v>2029</v>
      </c>
      <c r="B505" s="3" t="s">
        <v>996</v>
      </c>
      <c r="C505" s="3"/>
      <c r="D505" s="3" t="s">
        <v>997</v>
      </c>
      <c r="E505" s="3">
        <v>152.9</v>
      </c>
      <c r="F505" s="3">
        <v>31.1</v>
      </c>
      <c r="G505" s="3">
        <v>1.94</v>
      </c>
      <c r="H505" s="3">
        <v>2.76</v>
      </c>
      <c r="I505" s="3">
        <v>0</v>
      </c>
      <c r="J505" s="3">
        <v>0.95</v>
      </c>
      <c r="K505" s="3">
        <v>0.84</v>
      </c>
      <c r="L505" s="3">
        <v>7.0000000000000007E-2</v>
      </c>
      <c r="M505" s="3">
        <v>79</v>
      </c>
      <c r="N505" s="3">
        <v>8</v>
      </c>
      <c r="O505" s="3">
        <v>181</v>
      </c>
      <c r="P505" s="3">
        <v>2.42</v>
      </c>
      <c r="Q505" s="3">
        <v>235</v>
      </c>
      <c r="R505" s="3">
        <v>2790</v>
      </c>
      <c r="S505" s="3">
        <v>4.93</v>
      </c>
      <c r="T505" s="3">
        <v>0</v>
      </c>
      <c r="U505" s="3">
        <v>0</v>
      </c>
      <c r="V505" s="3">
        <v>10</v>
      </c>
      <c r="W505" s="3">
        <v>1.59</v>
      </c>
    </row>
    <row r="506" spans="1:23" x14ac:dyDescent="0.25">
      <c r="A506" s="3" t="s">
        <v>2029</v>
      </c>
      <c r="B506" s="3" t="s">
        <v>998</v>
      </c>
      <c r="C506" s="3"/>
      <c r="D506" s="3" t="s">
        <v>997</v>
      </c>
      <c r="E506" s="3">
        <v>299.7</v>
      </c>
      <c r="F506" s="3">
        <v>64.8</v>
      </c>
      <c r="G506" s="3">
        <v>4.5</v>
      </c>
      <c r="H506" s="3">
        <v>0</v>
      </c>
      <c r="I506" s="3"/>
      <c r="J506" s="3"/>
      <c r="K506" s="3"/>
      <c r="L506" s="3"/>
      <c r="M506" s="3"/>
      <c r="N506" s="3">
        <v>93</v>
      </c>
      <c r="O506" s="3">
        <v>161</v>
      </c>
      <c r="P506" s="3">
        <v>9.6999999999999993</v>
      </c>
      <c r="Q506" s="3">
        <v>444</v>
      </c>
      <c r="R506" s="3">
        <v>3471</v>
      </c>
      <c r="S506" s="3">
        <v>5.24</v>
      </c>
      <c r="T506" s="3">
        <v>0</v>
      </c>
      <c r="U506" s="3">
        <v>0</v>
      </c>
      <c r="V506" s="3"/>
      <c r="W506" s="3"/>
    </row>
    <row r="507" spans="1:23" x14ac:dyDescent="0.25">
      <c r="A507" s="3" t="s">
        <v>2029</v>
      </c>
      <c r="B507" s="3" t="s">
        <v>999</v>
      </c>
      <c r="C507" s="3"/>
      <c r="D507" s="3" t="s">
        <v>1000</v>
      </c>
      <c r="E507" s="3">
        <v>157.09</v>
      </c>
      <c r="F507" s="3">
        <v>28.48</v>
      </c>
      <c r="G507" s="3">
        <v>4.7300000000000004</v>
      </c>
      <c r="H507" s="3">
        <v>0.15</v>
      </c>
      <c r="I507" s="3">
        <v>0</v>
      </c>
      <c r="J507" s="3">
        <v>1.4</v>
      </c>
      <c r="K507" s="3">
        <v>1.01</v>
      </c>
      <c r="L507" s="3">
        <v>0.99</v>
      </c>
      <c r="M507" s="3">
        <v>212</v>
      </c>
      <c r="N507" s="3">
        <v>5</v>
      </c>
      <c r="O507" s="3">
        <v>254</v>
      </c>
      <c r="P507" s="3">
        <v>6.38</v>
      </c>
      <c r="Q507" s="3">
        <v>219</v>
      </c>
      <c r="R507" s="3">
        <v>59</v>
      </c>
      <c r="S507" s="3">
        <v>2.87</v>
      </c>
      <c r="T507" s="3">
        <v>0</v>
      </c>
      <c r="U507" s="3">
        <v>0</v>
      </c>
      <c r="V507" s="3">
        <v>5</v>
      </c>
      <c r="W507" s="3">
        <v>10.8</v>
      </c>
    </row>
    <row r="508" spans="1:23" x14ac:dyDescent="0.25">
      <c r="A508" s="3" t="s">
        <v>2029</v>
      </c>
      <c r="B508" s="3" t="s">
        <v>1001</v>
      </c>
      <c r="C508" s="3"/>
      <c r="D508" s="3" t="s">
        <v>1002</v>
      </c>
      <c r="E508" s="3">
        <v>110.6</v>
      </c>
      <c r="F508" s="3">
        <v>17</v>
      </c>
      <c r="G508" s="3">
        <v>3.4</v>
      </c>
      <c r="H508" s="3">
        <v>3</v>
      </c>
      <c r="I508" s="3">
        <v>0</v>
      </c>
      <c r="J508" s="3">
        <v>1.38</v>
      </c>
      <c r="K508" s="3">
        <v>1.1399999999999999</v>
      </c>
      <c r="L508" s="3">
        <v>0.55000000000000004</v>
      </c>
      <c r="M508" s="3">
        <v>124</v>
      </c>
      <c r="N508" s="3">
        <v>10</v>
      </c>
      <c r="O508" s="3">
        <v>187</v>
      </c>
      <c r="P508" s="3">
        <v>5.4</v>
      </c>
      <c r="Q508" s="3">
        <v>287</v>
      </c>
      <c r="R508" s="3">
        <v>98</v>
      </c>
      <c r="S508" s="3">
        <v>1.7</v>
      </c>
      <c r="T508" s="3"/>
      <c r="U508" s="3">
        <v>0</v>
      </c>
      <c r="V508" s="3">
        <v>3</v>
      </c>
      <c r="W508" s="3">
        <v>8.5500000000000007</v>
      </c>
    </row>
    <row r="509" spans="1:23" x14ac:dyDescent="0.25">
      <c r="A509" s="3" t="s">
        <v>2029</v>
      </c>
      <c r="B509" s="3" t="s">
        <v>1003</v>
      </c>
      <c r="C509" s="3"/>
      <c r="D509" s="3" t="s">
        <v>1004</v>
      </c>
      <c r="E509" s="3">
        <v>191.02</v>
      </c>
      <c r="F509" s="3">
        <v>32.409999999999997</v>
      </c>
      <c r="G509" s="3">
        <v>6.82</v>
      </c>
      <c r="H509" s="3">
        <v>0</v>
      </c>
      <c r="I509" s="3">
        <v>0</v>
      </c>
      <c r="J509" s="3">
        <v>2.08</v>
      </c>
      <c r="K509" s="3">
        <v>3.5</v>
      </c>
      <c r="L509" s="3">
        <v>0.45</v>
      </c>
      <c r="M509" s="3">
        <v>99</v>
      </c>
      <c r="N509" s="3">
        <v>16</v>
      </c>
      <c r="O509" s="3">
        <v>228</v>
      </c>
      <c r="P509" s="3">
        <v>2.96</v>
      </c>
      <c r="Q509" s="3">
        <v>319</v>
      </c>
      <c r="R509" s="3">
        <v>67</v>
      </c>
      <c r="S509" s="3">
        <v>8.32</v>
      </c>
      <c r="T509" s="3">
        <v>0</v>
      </c>
      <c r="U509" s="3">
        <v>2</v>
      </c>
      <c r="V509" s="3">
        <v>8</v>
      </c>
      <c r="W509" s="3">
        <v>2.73</v>
      </c>
    </row>
    <row r="510" spans="1:23" x14ac:dyDescent="0.25">
      <c r="A510" s="3" t="s">
        <v>2029</v>
      </c>
      <c r="B510" s="3" t="s">
        <v>1005</v>
      </c>
      <c r="C510" s="3"/>
      <c r="D510" s="3" t="s">
        <v>1006</v>
      </c>
      <c r="E510" s="3">
        <v>124.35</v>
      </c>
      <c r="F510" s="3">
        <v>21.9</v>
      </c>
      <c r="G510" s="3">
        <v>3.99</v>
      </c>
      <c r="H510" s="3">
        <v>0.21</v>
      </c>
      <c r="I510" s="3">
        <v>0</v>
      </c>
      <c r="J510" s="3">
        <v>1.75</v>
      </c>
      <c r="K510" s="3">
        <v>2.16</v>
      </c>
      <c r="L510" s="3">
        <v>0.28999999999999998</v>
      </c>
      <c r="M510" s="3">
        <v>66</v>
      </c>
      <c r="N510" s="3">
        <v>14</v>
      </c>
      <c r="O510" s="3">
        <v>209</v>
      </c>
      <c r="P510" s="3">
        <v>2.2000000000000002</v>
      </c>
      <c r="Q510" s="3">
        <v>359</v>
      </c>
      <c r="R510" s="3">
        <v>81</v>
      </c>
      <c r="S510" s="3">
        <v>5.51</v>
      </c>
      <c r="T510" s="3">
        <v>0</v>
      </c>
      <c r="U510" s="3">
        <v>2</v>
      </c>
      <c r="V510" s="3">
        <v>4</v>
      </c>
      <c r="W510" s="3">
        <v>2.42</v>
      </c>
    </row>
    <row r="511" spans="1:23" x14ac:dyDescent="0.25">
      <c r="A511" s="3" t="s">
        <v>2029</v>
      </c>
      <c r="B511" s="3" t="s">
        <v>1007</v>
      </c>
      <c r="C511" s="3"/>
      <c r="D511" s="3" t="s">
        <v>1008</v>
      </c>
      <c r="E511" s="3">
        <v>153.83000000000001</v>
      </c>
      <c r="F511" s="3">
        <v>22.1</v>
      </c>
      <c r="G511" s="3">
        <v>7.27</v>
      </c>
      <c r="H511" s="3">
        <v>0</v>
      </c>
      <c r="I511" s="3">
        <v>0</v>
      </c>
      <c r="J511" s="3">
        <v>2.78</v>
      </c>
      <c r="K511" s="3">
        <v>3.09</v>
      </c>
      <c r="L511" s="3">
        <v>0.37</v>
      </c>
      <c r="M511" s="3">
        <v>59</v>
      </c>
      <c r="N511" s="3">
        <v>21</v>
      </c>
      <c r="O511" s="3">
        <v>196</v>
      </c>
      <c r="P511" s="3">
        <v>1.65</v>
      </c>
      <c r="Q511" s="3">
        <v>263</v>
      </c>
      <c r="R511" s="3">
        <v>35</v>
      </c>
      <c r="S511" s="3">
        <v>3.86</v>
      </c>
      <c r="T511" s="3">
        <v>0</v>
      </c>
      <c r="U511" s="3">
        <v>0</v>
      </c>
      <c r="V511" s="3">
        <v>4</v>
      </c>
      <c r="W511" s="3">
        <v>1.79</v>
      </c>
    </row>
    <row r="512" spans="1:23" x14ac:dyDescent="0.25">
      <c r="A512" s="3" t="s">
        <v>2029</v>
      </c>
      <c r="B512" s="3" t="s">
        <v>1009</v>
      </c>
      <c r="C512" s="3"/>
      <c r="D512" s="3" t="s">
        <v>1010</v>
      </c>
      <c r="E512" s="3">
        <v>288.56</v>
      </c>
      <c r="F512" s="3">
        <v>20</v>
      </c>
      <c r="G512" s="3">
        <v>20</v>
      </c>
      <c r="H512" s="3">
        <v>7.14</v>
      </c>
      <c r="I512" s="3">
        <v>0.7</v>
      </c>
      <c r="J512" s="3">
        <v>7.86</v>
      </c>
      <c r="K512" s="3"/>
      <c r="L512" s="3"/>
      <c r="M512" s="3">
        <v>75</v>
      </c>
      <c r="N512" s="3">
        <v>7</v>
      </c>
      <c r="O512" s="3"/>
      <c r="P512" s="3">
        <v>1.67</v>
      </c>
      <c r="Q512" s="3"/>
      <c r="R512" s="3">
        <v>181</v>
      </c>
      <c r="S512" s="3"/>
      <c r="T512" s="3">
        <v>0</v>
      </c>
      <c r="U512" s="3">
        <v>0</v>
      </c>
      <c r="V512" s="3"/>
      <c r="W512" s="3"/>
    </row>
    <row r="513" spans="1:23" x14ac:dyDescent="0.25">
      <c r="A513" s="3" t="s">
        <v>2029</v>
      </c>
      <c r="B513" s="3" t="s">
        <v>1011</v>
      </c>
      <c r="C513" s="3"/>
      <c r="D513" s="3" t="s">
        <v>1012</v>
      </c>
      <c r="E513" s="3">
        <v>385.27</v>
      </c>
      <c r="F513" s="3">
        <v>14.4</v>
      </c>
      <c r="G513" s="3">
        <v>36.229999999999997</v>
      </c>
      <c r="H513" s="3">
        <v>0.4</v>
      </c>
      <c r="I513" s="3">
        <v>0</v>
      </c>
      <c r="J513" s="3">
        <v>15.76</v>
      </c>
      <c r="K513" s="3">
        <v>16.39</v>
      </c>
      <c r="L513" s="3">
        <v>1.32</v>
      </c>
      <c r="M513" s="3">
        <v>76</v>
      </c>
      <c r="N513" s="3">
        <v>9</v>
      </c>
      <c r="O513" s="3">
        <v>137</v>
      </c>
      <c r="P513" s="3">
        <v>1.55</v>
      </c>
      <c r="Q513" s="3">
        <v>232</v>
      </c>
      <c r="R513" s="3">
        <v>49</v>
      </c>
      <c r="S513" s="3">
        <v>3.16</v>
      </c>
      <c r="T513" s="3">
        <v>0</v>
      </c>
      <c r="U513" s="3">
        <v>0</v>
      </c>
      <c r="V513" s="3">
        <v>5</v>
      </c>
      <c r="W513" s="3">
        <v>2.56</v>
      </c>
    </row>
    <row r="514" spans="1:23" x14ac:dyDescent="0.25">
      <c r="A514" s="3" t="s">
        <v>2029</v>
      </c>
      <c r="B514" s="3" t="s">
        <v>1013</v>
      </c>
      <c r="C514" s="3"/>
      <c r="D514" s="3" t="s">
        <v>1014</v>
      </c>
      <c r="E514" s="3">
        <v>291.02</v>
      </c>
      <c r="F514" s="3">
        <v>29.87</v>
      </c>
      <c r="G514" s="3">
        <v>19.059999999999999</v>
      </c>
      <c r="H514" s="3">
        <v>0</v>
      </c>
      <c r="I514" s="3">
        <v>0</v>
      </c>
      <c r="J514" s="3">
        <v>7.56</v>
      </c>
      <c r="K514" s="3">
        <v>8.2100000000000009</v>
      </c>
      <c r="L514" s="3">
        <v>0.72</v>
      </c>
      <c r="M514" s="3">
        <v>119</v>
      </c>
      <c r="N514" s="3">
        <v>17</v>
      </c>
      <c r="O514" s="3">
        <v>181</v>
      </c>
      <c r="P514" s="3">
        <v>2.5099999999999998</v>
      </c>
      <c r="Q514" s="3">
        <v>240</v>
      </c>
      <c r="R514" s="3">
        <v>372</v>
      </c>
      <c r="S514" s="3">
        <v>6.92</v>
      </c>
      <c r="T514" s="3">
        <v>0</v>
      </c>
      <c r="U514" s="3">
        <v>0</v>
      </c>
      <c r="V514" s="3">
        <v>9</v>
      </c>
      <c r="W514" s="3">
        <v>2.2000000000000002</v>
      </c>
    </row>
    <row r="515" spans="1:23" x14ac:dyDescent="0.25">
      <c r="A515" s="3" t="s">
        <v>2029</v>
      </c>
      <c r="B515" s="3" t="s">
        <v>1015</v>
      </c>
      <c r="C515" s="3"/>
      <c r="D515" s="3" t="s">
        <v>1016</v>
      </c>
      <c r="E515" s="3">
        <v>85.9</v>
      </c>
      <c r="F515" s="3">
        <v>14</v>
      </c>
      <c r="G515" s="3">
        <v>2.7</v>
      </c>
      <c r="H515" s="3">
        <v>1.4</v>
      </c>
      <c r="I515" s="3">
        <v>0</v>
      </c>
      <c r="J515" s="3">
        <v>1.29</v>
      </c>
      <c r="K515" s="3">
        <v>1.53</v>
      </c>
      <c r="L515" s="3">
        <v>0.18</v>
      </c>
      <c r="M515" s="3">
        <v>122</v>
      </c>
      <c r="N515" s="3">
        <v>60</v>
      </c>
      <c r="O515" s="3">
        <v>50</v>
      </c>
      <c r="P515" s="3">
        <v>2.2000000000000002</v>
      </c>
      <c r="Q515" s="3">
        <v>67</v>
      </c>
      <c r="R515" s="3">
        <v>97</v>
      </c>
      <c r="S515" s="3">
        <v>1.42</v>
      </c>
      <c r="T515" s="3">
        <v>0</v>
      </c>
      <c r="U515" s="3">
        <v>21</v>
      </c>
      <c r="V515" s="3">
        <v>5</v>
      </c>
      <c r="W515" s="3">
        <v>1.39</v>
      </c>
    </row>
    <row r="516" spans="1:23" x14ac:dyDescent="0.25">
      <c r="A516" s="3" t="s">
        <v>2029</v>
      </c>
      <c r="B516" s="3" t="s">
        <v>1017</v>
      </c>
      <c r="C516" s="3"/>
      <c r="D516" s="3" t="s">
        <v>1018</v>
      </c>
      <c r="E516" s="3">
        <v>139.41999999999999</v>
      </c>
      <c r="F516" s="3">
        <v>21.22</v>
      </c>
      <c r="G516" s="3">
        <v>6.06</v>
      </c>
      <c r="H516" s="3">
        <v>0</v>
      </c>
      <c r="I516" s="3">
        <v>0</v>
      </c>
      <c r="J516" s="3">
        <v>5.87</v>
      </c>
      <c r="K516" s="3">
        <v>6.56</v>
      </c>
      <c r="L516" s="3">
        <v>0.43</v>
      </c>
      <c r="M516" s="3">
        <v>68</v>
      </c>
      <c r="N516" s="3">
        <v>15</v>
      </c>
      <c r="O516" s="3">
        <v>171</v>
      </c>
      <c r="P516" s="3">
        <v>2.09</v>
      </c>
      <c r="Q516" s="3">
        <v>295</v>
      </c>
      <c r="R516" s="3">
        <v>66</v>
      </c>
      <c r="S516" s="3">
        <v>4.4800000000000004</v>
      </c>
      <c r="T516" s="3">
        <v>0</v>
      </c>
      <c r="U516" s="3">
        <v>0</v>
      </c>
      <c r="V516" s="3">
        <v>6</v>
      </c>
      <c r="W516" s="3">
        <v>2.17</v>
      </c>
    </row>
    <row r="517" spans="1:23" x14ac:dyDescent="0.25">
      <c r="A517" s="3" t="s">
        <v>2029</v>
      </c>
      <c r="B517" s="3" t="s">
        <v>1019</v>
      </c>
      <c r="C517" s="3"/>
      <c r="D517" s="3" t="s">
        <v>1020</v>
      </c>
      <c r="E517" s="3">
        <v>217.23</v>
      </c>
      <c r="F517" s="3">
        <v>18.87</v>
      </c>
      <c r="G517" s="3">
        <v>15.75</v>
      </c>
      <c r="H517" s="3">
        <v>0</v>
      </c>
      <c r="I517" s="3">
        <v>0</v>
      </c>
      <c r="J517" s="3">
        <v>6.37</v>
      </c>
      <c r="K517" s="3">
        <v>6.82</v>
      </c>
      <c r="L517" s="3">
        <v>0.57999999999999996</v>
      </c>
      <c r="M517" s="3">
        <v>65</v>
      </c>
      <c r="N517" s="3">
        <v>7</v>
      </c>
      <c r="O517" s="3">
        <v>178</v>
      </c>
      <c r="P517" s="3">
        <v>1.92</v>
      </c>
      <c r="Q517" s="3">
        <v>309</v>
      </c>
      <c r="R517" s="3">
        <v>58</v>
      </c>
      <c r="S517" s="3">
        <v>3.79</v>
      </c>
      <c r="T517" s="3">
        <v>0</v>
      </c>
      <c r="U517" s="3">
        <v>0</v>
      </c>
      <c r="V517" s="3">
        <v>7</v>
      </c>
      <c r="W517" s="3">
        <v>2.97</v>
      </c>
    </row>
    <row r="518" spans="1:23" x14ac:dyDescent="0.25">
      <c r="A518" s="3" t="s">
        <v>2029</v>
      </c>
      <c r="B518" s="3" t="s">
        <v>1021</v>
      </c>
      <c r="C518" s="3"/>
      <c r="D518" s="3" t="s">
        <v>1022</v>
      </c>
      <c r="E518" s="3">
        <v>207.74</v>
      </c>
      <c r="F518" s="3">
        <v>20.12</v>
      </c>
      <c r="G518" s="3">
        <v>14.14</v>
      </c>
      <c r="H518" s="3">
        <v>0</v>
      </c>
      <c r="I518" s="3">
        <v>0</v>
      </c>
      <c r="J518" s="3">
        <v>6.29</v>
      </c>
      <c r="K518" s="3">
        <v>6.77</v>
      </c>
      <c r="L518" s="3">
        <v>0.69</v>
      </c>
      <c r="M518" s="3">
        <v>61</v>
      </c>
      <c r="N518" s="3">
        <v>7</v>
      </c>
      <c r="O518" s="3">
        <v>144</v>
      </c>
      <c r="P518" s="3">
        <v>1.72</v>
      </c>
      <c r="Q518" s="3">
        <v>268</v>
      </c>
      <c r="R518" s="3">
        <v>52</v>
      </c>
      <c r="S518" s="3">
        <v>5.13</v>
      </c>
      <c r="T518" s="3">
        <v>0</v>
      </c>
      <c r="U518" s="3">
        <v>4.5</v>
      </c>
      <c r="V518" s="3">
        <v>3</v>
      </c>
      <c r="W518" s="3">
        <v>1.66</v>
      </c>
    </row>
    <row r="519" spans="1:23" x14ac:dyDescent="0.25">
      <c r="A519" s="3" t="s">
        <v>2029</v>
      </c>
      <c r="B519" s="3" t="s">
        <v>1023</v>
      </c>
      <c r="C519" s="3"/>
      <c r="D519" s="3" t="s">
        <v>1024</v>
      </c>
      <c r="E519" s="3">
        <v>184.18</v>
      </c>
      <c r="F519" s="3">
        <v>29.08</v>
      </c>
      <c r="G519" s="3">
        <v>5.26</v>
      </c>
      <c r="H519" s="3">
        <v>5.13</v>
      </c>
      <c r="I519" s="3">
        <v>0</v>
      </c>
      <c r="J519" s="3">
        <v>1.7</v>
      </c>
      <c r="K519" s="3">
        <v>0.65</v>
      </c>
      <c r="L519" s="3">
        <v>1.04</v>
      </c>
      <c r="M519" s="3">
        <v>396</v>
      </c>
      <c r="N519" s="3">
        <v>6</v>
      </c>
      <c r="O519" s="3">
        <v>497</v>
      </c>
      <c r="P519" s="3">
        <v>6.54</v>
      </c>
      <c r="Q519" s="3">
        <v>352</v>
      </c>
      <c r="R519" s="3">
        <v>79</v>
      </c>
      <c r="S519" s="3">
        <v>5.3</v>
      </c>
      <c r="T519" s="3">
        <v>2</v>
      </c>
      <c r="U519" s="3">
        <v>9442</v>
      </c>
      <c r="V519" s="3">
        <v>253</v>
      </c>
      <c r="W519" s="3">
        <v>70.58</v>
      </c>
    </row>
    <row r="520" spans="1:23" x14ac:dyDescent="0.25">
      <c r="A520" s="3" t="s">
        <v>2029</v>
      </c>
      <c r="B520" s="3" t="s">
        <v>1025</v>
      </c>
      <c r="C520" s="3"/>
      <c r="D520" s="3" t="s">
        <v>1026</v>
      </c>
      <c r="E520" s="3">
        <v>129.66999999999999</v>
      </c>
      <c r="F520" s="3">
        <v>20.36</v>
      </c>
      <c r="G520" s="3">
        <v>3.63</v>
      </c>
      <c r="H520" s="3">
        <v>3.89</v>
      </c>
      <c r="I520" s="3">
        <v>0</v>
      </c>
      <c r="J520" s="3">
        <v>1.23</v>
      </c>
      <c r="K520" s="3">
        <v>0.48</v>
      </c>
      <c r="L520" s="3">
        <v>0.47</v>
      </c>
      <c r="M520" s="3">
        <v>275</v>
      </c>
      <c r="N520" s="3">
        <v>5</v>
      </c>
      <c r="O520" s="3">
        <v>387</v>
      </c>
      <c r="P520" s="3">
        <v>4.9000000000000004</v>
      </c>
      <c r="Q520" s="3">
        <v>313</v>
      </c>
      <c r="R520" s="3">
        <v>69</v>
      </c>
      <c r="S520" s="3">
        <v>4</v>
      </c>
      <c r="T520" s="3">
        <v>1</v>
      </c>
      <c r="U520" s="3">
        <v>8082</v>
      </c>
      <c r="V520" s="3">
        <v>290</v>
      </c>
      <c r="W520" s="3">
        <v>59.3</v>
      </c>
    </row>
    <row r="521" spans="1:23" x14ac:dyDescent="0.25">
      <c r="A521" s="3" t="s">
        <v>2029</v>
      </c>
      <c r="B521" s="3" t="s">
        <v>1027</v>
      </c>
      <c r="C521" s="3"/>
      <c r="D521" s="3" t="s">
        <v>1028</v>
      </c>
      <c r="E521" s="3">
        <v>215.9</v>
      </c>
      <c r="F521" s="3">
        <v>11</v>
      </c>
      <c r="G521" s="3">
        <v>19.100000000000001</v>
      </c>
      <c r="H521" s="3">
        <v>0</v>
      </c>
      <c r="I521" s="3">
        <v>0</v>
      </c>
      <c r="J521" s="3">
        <v>15</v>
      </c>
      <c r="K521" s="3">
        <v>1.31</v>
      </c>
      <c r="L521" s="3">
        <v>1.1000000000000001</v>
      </c>
      <c r="M521" s="3">
        <v>150</v>
      </c>
      <c r="N521" s="3">
        <v>12</v>
      </c>
      <c r="O521" s="3">
        <v>110</v>
      </c>
      <c r="P521" s="3">
        <v>1.8</v>
      </c>
      <c r="Q521" s="3">
        <v>270</v>
      </c>
      <c r="R521" s="3">
        <v>46</v>
      </c>
      <c r="S521" s="3">
        <v>2.4700000000000002</v>
      </c>
      <c r="T521" s="3">
        <v>0</v>
      </c>
      <c r="U521" s="3">
        <v>53</v>
      </c>
      <c r="V521" s="3"/>
      <c r="W521" s="3">
        <v>0.1</v>
      </c>
    </row>
    <row r="522" spans="1:23" x14ac:dyDescent="0.25">
      <c r="A522" s="3" t="s">
        <v>2029</v>
      </c>
      <c r="B522" s="3" t="s">
        <v>1029</v>
      </c>
      <c r="C522" s="3"/>
      <c r="D522" s="3" t="s">
        <v>1030</v>
      </c>
      <c r="E522" s="3">
        <v>282.36</v>
      </c>
      <c r="F522" s="3">
        <v>19.29</v>
      </c>
      <c r="G522" s="3">
        <v>22.8</v>
      </c>
      <c r="H522" s="3">
        <v>0</v>
      </c>
      <c r="I522" s="3">
        <v>0</v>
      </c>
      <c r="J522" s="3">
        <v>8.1300000000000008</v>
      </c>
      <c r="K522" s="3">
        <v>10.1</v>
      </c>
      <c r="L522" s="3">
        <v>0.75</v>
      </c>
      <c r="M522" s="3">
        <v>132</v>
      </c>
      <c r="N522" s="3">
        <v>5</v>
      </c>
      <c r="O522" s="3">
        <v>145</v>
      </c>
      <c r="P522" s="3">
        <v>2.61</v>
      </c>
      <c r="Q522" s="3">
        <v>184</v>
      </c>
      <c r="R522" s="3">
        <v>65</v>
      </c>
      <c r="S522" s="3">
        <v>4.09</v>
      </c>
      <c r="T522" s="3">
        <v>1</v>
      </c>
      <c r="U522" s="3">
        <v>0</v>
      </c>
      <c r="V522" s="3">
        <v>7</v>
      </c>
      <c r="W522" s="3">
        <v>3.13</v>
      </c>
    </row>
    <row r="523" spans="1:23" x14ac:dyDescent="0.25">
      <c r="A523" s="3" t="s">
        <v>2029</v>
      </c>
      <c r="B523" s="3" t="s">
        <v>1031</v>
      </c>
      <c r="C523" s="3"/>
      <c r="D523" s="3" t="s">
        <v>1032</v>
      </c>
      <c r="E523" s="3">
        <v>219.13</v>
      </c>
      <c r="F523" s="3">
        <v>14.9</v>
      </c>
      <c r="G523" s="3">
        <v>16.09</v>
      </c>
      <c r="H523" s="3">
        <v>3.68</v>
      </c>
      <c r="I523" s="3">
        <v>0</v>
      </c>
      <c r="J523" s="3">
        <v>7</v>
      </c>
      <c r="K523" s="3">
        <v>7.24</v>
      </c>
      <c r="L523" s="3">
        <v>0.9</v>
      </c>
      <c r="M523" s="3">
        <v>87</v>
      </c>
      <c r="N523" s="3">
        <v>6</v>
      </c>
      <c r="O523" s="3">
        <v>133</v>
      </c>
      <c r="P523" s="3">
        <v>2.95</v>
      </c>
      <c r="Q523" s="3">
        <v>315</v>
      </c>
      <c r="R523" s="3">
        <v>69</v>
      </c>
      <c r="S523" s="3">
        <v>2.87</v>
      </c>
      <c r="T523" s="3">
        <v>3</v>
      </c>
      <c r="U523" s="3">
        <v>0</v>
      </c>
      <c r="V523" s="3">
        <v>7</v>
      </c>
      <c r="W523" s="3">
        <v>3.79</v>
      </c>
    </row>
    <row r="524" spans="1:23" x14ac:dyDescent="0.25">
      <c r="A524" s="3" t="s">
        <v>2029</v>
      </c>
      <c r="B524" s="3" t="s">
        <v>1033</v>
      </c>
      <c r="C524" s="3"/>
      <c r="D524" s="3" t="s">
        <v>1034</v>
      </c>
      <c r="E524" s="3">
        <v>253.75</v>
      </c>
      <c r="F524" s="3">
        <v>26.11</v>
      </c>
      <c r="G524" s="3">
        <v>16.59</v>
      </c>
      <c r="H524" s="3">
        <v>0</v>
      </c>
      <c r="I524" s="3">
        <v>0</v>
      </c>
      <c r="J524" s="3">
        <v>6.78</v>
      </c>
      <c r="K524" s="3">
        <v>7.41</v>
      </c>
      <c r="L524" s="3">
        <v>0.73</v>
      </c>
      <c r="M524" s="3">
        <v>87</v>
      </c>
      <c r="N524" s="3">
        <v>13</v>
      </c>
      <c r="O524" s="3">
        <v>180</v>
      </c>
      <c r="P524" s="3">
        <v>2.2000000000000002</v>
      </c>
      <c r="Q524" s="3">
        <v>271</v>
      </c>
      <c r="R524" s="3">
        <v>50</v>
      </c>
      <c r="S524" s="3">
        <v>5.0999999999999996</v>
      </c>
      <c r="T524" s="3">
        <v>0</v>
      </c>
      <c r="U524" s="3">
        <v>3</v>
      </c>
      <c r="V524" s="3">
        <v>7</v>
      </c>
      <c r="W524" s="3">
        <v>1.81</v>
      </c>
    </row>
    <row r="525" spans="1:23" x14ac:dyDescent="0.25">
      <c r="A525" s="3" t="s">
        <v>2029</v>
      </c>
      <c r="B525" s="3" t="s">
        <v>1035</v>
      </c>
      <c r="C525" s="3"/>
      <c r="D525" s="3" t="s">
        <v>1036</v>
      </c>
      <c r="E525" s="3">
        <v>187.84</v>
      </c>
      <c r="F525" s="3">
        <v>19.059999999999999</v>
      </c>
      <c r="G525" s="3">
        <v>12.4</v>
      </c>
      <c r="H525" s="3">
        <v>0</v>
      </c>
      <c r="I525" s="3">
        <v>0</v>
      </c>
      <c r="J525" s="3">
        <v>5.22</v>
      </c>
      <c r="K525" s="3">
        <v>5.62</v>
      </c>
      <c r="L525" s="3">
        <v>0.54</v>
      </c>
      <c r="M525" s="3">
        <v>68</v>
      </c>
      <c r="N525" s="3">
        <v>17</v>
      </c>
      <c r="O525" s="3">
        <v>168</v>
      </c>
      <c r="P525" s="3">
        <v>1.52</v>
      </c>
      <c r="Q525" s="3">
        <v>279</v>
      </c>
      <c r="R525" s="3">
        <v>51</v>
      </c>
      <c r="S525" s="3">
        <v>3.84</v>
      </c>
      <c r="T525" s="3">
        <v>0</v>
      </c>
      <c r="U525" s="3">
        <v>2</v>
      </c>
      <c r="V525" s="3">
        <v>7</v>
      </c>
      <c r="W525" s="3">
        <v>1.29</v>
      </c>
    </row>
    <row r="526" spans="1:23" x14ac:dyDescent="0.25">
      <c r="A526" s="3" t="s">
        <v>2029</v>
      </c>
      <c r="B526" s="3" t="s">
        <v>1037</v>
      </c>
      <c r="C526" s="3"/>
      <c r="D526" s="3" t="s">
        <v>1038</v>
      </c>
      <c r="E526" s="3">
        <v>137.01</v>
      </c>
      <c r="F526" s="3">
        <v>22.35</v>
      </c>
      <c r="G526" s="3">
        <v>5.29</v>
      </c>
      <c r="H526" s="3">
        <v>0</v>
      </c>
      <c r="I526" s="3">
        <v>0</v>
      </c>
      <c r="J526" s="3">
        <v>1.76</v>
      </c>
      <c r="K526" s="3"/>
      <c r="L526" s="3"/>
      <c r="M526" s="3">
        <v>75</v>
      </c>
      <c r="N526" s="3">
        <v>29</v>
      </c>
      <c r="O526" s="3"/>
      <c r="P526" s="3">
        <v>2.12</v>
      </c>
      <c r="Q526" s="3"/>
      <c r="R526" s="3">
        <v>41</v>
      </c>
      <c r="S526" s="3"/>
      <c r="T526" s="3">
        <v>0</v>
      </c>
      <c r="U526" s="3">
        <v>0</v>
      </c>
      <c r="V526" s="3"/>
      <c r="W526" s="3"/>
    </row>
    <row r="527" spans="1:23" x14ac:dyDescent="0.25">
      <c r="A527" s="3" t="s">
        <v>2029</v>
      </c>
      <c r="B527" s="3" t="s">
        <v>1039</v>
      </c>
      <c r="C527" s="3"/>
      <c r="D527" s="3" t="s">
        <v>1040</v>
      </c>
      <c r="E527" s="3">
        <v>78.900000000000006</v>
      </c>
      <c r="F527" s="3">
        <v>12.1</v>
      </c>
      <c r="G527" s="3">
        <v>2.9</v>
      </c>
      <c r="H527" s="3">
        <v>1.1000000000000001</v>
      </c>
      <c r="I527" s="3"/>
      <c r="J527" s="3"/>
      <c r="K527" s="3"/>
      <c r="L527" s="3"/>
      <c r="M527" s="3"/>
      <c r="N527" s="3">
        <v>101</v>
      </c>
      <c r="O527" s="3"/>
      <c r="P527" s="3">
        <v>2</v>
      </c>
      <c r="Q527" s="3"/>
      <c r="R527" s="3"/>
      <c r="S527" s="3"/>
      <c r="T527" s="3">
        <v>0</v>
      </c>
      <c r="U527" s="3"/>
      <c r="V527" s="3"/>
      <c r="W527" s="3"/>
    </row>
    <row r="528" spans="1:23" x14ac:dyDescent="0.25">
      <c r="A528" s="3" t="s">
        <v>2029</v>
      </c>
      <c r="B528" s="3" t="s">
        <v>1041</v>
      </c>
      <c r="C528" s="3"/>
      <c r="D528" s="3" t="s">
        <v>1042</v>
      </c>
      <c r="E528" s="3">
        <v>150.93</v>
      </c>
      <c r="F528" s="3">
        <v>27.27</v>
      </c>
      <c r="G528" s="3">
        <v>4.6500000000000004</v>
      </c>
      <c r="H528" s="3">
        <v>0</v>
      </c>
      <c r="I528" s="3">
        <v>0</v>
      </c>
      <c r="J528" s="3">
        <v>1.07</v>
      </c>
      <c r="K528" s="3">
        <v>0.71</v>
      </c>
      <c r="L528" s="3">
        <v>0.83</v>
      </c>
      <c r="M528" s="3">
        <v>716</v>
      </c>
      <c r="N528" s="3">
        <v>19</v>
      </c>
      <c r="O528" s="3">
        <v>304</v>
      </c>
      <c r="P528" s="3">
        <v>5.8</v>
      </c>
      <c r="Q528" s="3">
        <v>135</v>
      </c>
      <c r="R528" s="3">
        <v>94</v>
      </c>
      <c r="S528" s="3">
        <v>2.84</v>
      </c>
      <c r="T528" s="3">
        <v>0</v>
      </c>
      <c r="U528" s="3">
        <v>0</v>
      </c>
      <c r="V528" s="3">
        <v>83</v>
      </c>
      <c r="W528" s="3">
        <v>24.9</v>
      </c>
    </row>
    <row r="529" spans="1:23" x14ac:dyDescent="0.25">
      <c r="A529" s="3" t="s">
        <v>2029</v>
      </c>
      <c r="B529" s="3" t="s">
        <v>1043</v>
      </c>
      <c r="C529" s="3"/>
      <c r="D529" s="3" t="s">
        <v>1044</v>
      </c>
      <c r="E529" s="3">
        <v>98.57</v>
      </c>
      <c r="F529" s="3">
        <v>17.399999999999999</v>
      </c>
      <c r="G529" s="3">
        <v>3.09</v>
      </c>
      <c r="H529" s="3">
        <v>0.28999999999999998</v>
      </c>
      <c r="I529" s="3">
        <v>0</v>
      </c>
      <c r="J529" s="3">
        <v>0.87</v>
      </c>
      <c r="K529" s="3">
        <v>0.59</v>
      </c>
      <c r="L529" s="3">
        <v>0.55000000000000004</v>
      </c>
      <c r="M529" s="3">
        <v>411</v>
      </c>
      <c r="N529" s="3">
        <v>13</v>
      </c>
      <c r="O529" s="3">
        <v>257</v>
      </c>
      <c r="P529" s="3">
        <v>4.5999999999999996</v>
      </c>
      <c r="Q529" s="3">
        <v>262</v>
      </c>
      <c r="R529" s="3">
        <v>182</v>
      </c>
      <c r="S529" s="3">
        <v>1.92</v>
      </c>
      <c r="T529" s="3">
        <v>9</v>
      </c>
      <c r="U529" s="3">
        <v>419</v>
      </c>
      <c r="V529" s="3">
        <v>98</v>
      </c>
      <c r="W529" s="3">
        <v>27.5</v>
      </c>
    </row>
    <row r="530" spans="1:23" x14ac:dyDescent="0.25">
      <c r="A530" s="3" t="s">
        <v>2029</v>
      </c>
      <c r="B530" s="3" t="s">
        <v>1045</v>
      </c>
      <c r="C530" s="3"/>
      <c r="D530" s="3" t="s">
        <v>1046</v>
      </c>
      <c r="E530" s="3">
        <v>137.22</v>
      </c>
      <c r="F530" s="3">
        <v>19.5</v>
      </c>
      <c r="G530" s="3">
        <v>6.58</v>
      </c>
      <c r="H530" s="3">
        <v>0</v>
      </c>
      <c r="I530" s="3"/>
      <c r="J530" s="3"/>
      <c r="K530" s="3"/>
      <c r="L530" s="3"/>
      <c r="M530" s="3"/>
      <c r="N530" s="3">
        <v>20</v>
      </c>
      <c r="O530" s="3">
        <v>37</v>
      </c>
      <c r="P530" s="3">
        <v>61.4</v>
      </c>
      <c r="Q530" s="3"/>
      <c r="R530" s="3"/>
      <c r="S530" s="3"/>
      <c r="T530" s="3">
        <v>0</v>
      </c>
      <c r="U530" s="3">
        <v>0</v>
      </c>
      <c r="V530" s="3"/>
      <c r="W530" s="3"/>
    </row>
    <row r="531" spans="1:23" x14ac:dyDescent="0.25">
      <c r="A531" s="3" t="s">
        <v>2029</v>
      </c>
      <c r="B531" s="3" t="s">
        <v>1047</v>
      </c>
      <c r="C531" s="3"/>
      <c r="D531" s="3" t="s">
        <v>1048</v>
      </c>
      <c r="E531" s="3">
        <v>147.37</v>
      </c>
      <c r="F531" s="3">
        <v>11.67</v>
      </c>
      <c r="G531" s="3">
        <v>10.53</v>
      </c>
      <c r="H531" s="3">
        <v>1.48</v>
      </c>
      <c r="I531" s="3">
        <v>0</v>
      </c>
      <c r="J531" s="3">
        <v>2.39</v>
      </c>
      <c r="K531" s="3">
        <v>1.88</v>
      </c>
      <c r="L531" s="3">
        <v>1.63</v>
      </c>
      <c r="M531" s="3">
        <v>3100</v>
      </c>
      <c r="N531" s="3">
        <v>9</v>
      </c>
      <c r="O531" s="3">
        <v>335</v>
      </c>
      <c r="P531" s="3">
        <v>2.2999999999999998</v>
      </c>
      <c r="Q531" s="3">
        <v>244</v>
      </c>
      <c r="R531" s="3">
        <v>108</v>
      </c>
      <c r="S531" s="3">
        <v>1.0900000000000001</v>
      </c>
      <c r="T531" s="3">
        <v>11</v>
      </c>
      <c r="U531" s="3">
        <v>6</v>
      </c>
      <c r="V531" s="3">
        <v>5</v>
      </c>
      <c r="W531" s="3">
        <v>10.1</v>
      </c>
    </row>
    <row r="532" spans="1:23" x14ac:dyDescent="0.25">
      <c r="A532" s="3" t="s">
        <v>2029</v>
      </c>
      <c r="B532" s="3" t="s">
        <v>1049</v>
      </c>
      <c r="C532" s="3"/>
      <c r="D532" s="3" t="s">
        <v>1050</v>
      </c>
      <c r="E532" s="3">
        <v>229.9</v>
      </c>
      <c r="F532" s="3">
        <v>15.4</v>
      </c>
      <c r="G532" s="3">
        <v>18.7</v>
      </c>
      <c r="H532" s="3">
        <v>0</v>
      </c>
      <c r="I532" s="3"/>
      <c r="J532" s="3"/>
      <c r="K532" s="3"/>
      <c r="L532" s="3"/>
      <c r="M532" s="3"/>
      <c r="N532" s="3">
        <v>70</v>
      </c>
      <c r="O532" s="3">
        <v>160</v>
      </c>
      <c r="P532" s="3">
        <v>2.6</v>
      </c>
      <c r="Q532" s="3"/>
      <c r="R532" s="3"/>
      <c r="S532" s="3"/>
      <c r="T532" s="3">
        <v>0</v>
      </c>
      <c r="U532" s="3"/>
      <c r="V532" s="3"/>
      <c r="W532" s="3"/>
    </row>
    <row r="533" spans="1:23" x14ac:dyDescent="0.25">
      <c r="A533" s="3" t="s">
        <v>2029</v>
      </c>
      <c r="B533" s="3" t="s">
        <v>1051</v>
      </c>
      <c r="C533" s="3"/>
      <c r="D533" s="3" t="s">
        <v>1052</v>
      </c>
      <c r="E533" s="3">
        <v>245.67</v>
      </c>
      <c r="F533" s="3">
        <v>13.92</v>
      </c>
      <c r="G533" s="3">
        <v>20.11</v>
      </c>
      <c r="H533" s="3">
        <v>2.25</v>
      </c>
      <c r="I533" s="3">
        <v>0</v>
      </c>
      <c r="J533" s="3">
        <v>8.09</v>
      </c>
      <c r="K533" s="3">
        <v>9.19</v>
      </c>
      <c r="L533" s="3">
        <v>2.02</v>
      </c>
      <c r="M533" s="3">
        <v>65</v>
      </c>
      <c r="N533" s="3">
        <v>13</v>
      </c>
      <c r="O533" s="3">
        <v>115</v>
      </c>
      <c r="P533" s="3">
        <v>2.67</v>
      </c>
      <c r="Q533" s="3">
        <v>198</v>
      </c>
      <c r="R533" s="3">
        <v>1065</v>
      </c>
      <c r="S533" s="3">
        <v>2.14</v>
      </c>
      <c r="T533" s="3">
        <v>0</v>
      </c>
      <c r="U533" s="3">
        <v>0</v>
      </c>
      <c r="V533" s="3">
        <v>2</v>
      </c>
      <c r="W533" s="3">
        <v>3.65</v>
      </c>
    </row>
    <row r="534" spans="1:23" x14ac:dyDescent="0.25">
      <c r="A534" s="3" t="s">
        <v>2029</v>
      </c>
      <c r="B534" s="3" t="s">
        <v>1053</v>
      </c>
      <c r="C534" s="3"/>
      <c r="D534" s="3" t="s">
        <v>1054</v>
      </c>
      <c r="E534" s="3">
        <v>360.94</v>
      </c>
      <c r="F534" s="3">
        <v>15.01</v>
      </c>
      <c r="G534" s="3">
        <v>30.5</v>
      </c>
      <c r="H534" s="3">
        <v>6.6</v>
      </c>
      <c r="I534" s="3">
        <v>0.2</v>
      </c>
      <c r="J534" s="3">
        <v>10.58</v>
      </c>
      <c r="K534" s="3">
        <v>13.32</v>
      </c>
      <c r="L534" s="3">
        <v>3.07</v>
      </c>
      <c r="M534" s="3">
        <v>90</v>
      </c>
      <c r="N534" s="3">
        <v>94</v>
      </c>
      <c r="O534" s="3">
        <v>272</v>
      </c>
      <c r="P534" s="3">
        <v>1.55</v>
      </c>
      <c r="Q534" s="3">
        <v>1372</v>
      </c>
      <c r="R534" s="3">
        <v>623</v>
      </c>
      <c r="S534" s="3">
        <v>3.08</v>
      </c>
      <c r="T534" s="3">
        <v>1</v>
      </c>
      <c r="U534" s="3">
        <v>4</v>
      </c>
      <c r="V534" s="3">
        <v>8</v>
      </c>
      <c r="W534" s="3">
        <v>1.76</v>
      </c>
    </row>
    <row r="535" spans="1:23" x14ac:dyDescent="0.25">
      <c r="A535" s="3" t="s">
        <v>2029</v>
      </c>
      <c r="B535" s="3" t="s">
        <v>1055</v>
      </c>
      <c r="C535" s="3"/>
      <c r="D535" s="3" t="s">
        <v>1056</v>
      </c>
      <c r="E535" s="3">
        <v>222.38</v>
      </c>
      <c r="F535" s="3">
        <v>14.28</v>
      </c>
      <c r="G535" s="3">
        <v>17.7</v>
      </c>
      <c r="H535" s="3">
        <v>1.49</v>
      </c>
      <c r="I535" s="3">
        <v>0</v>
      </c>
      <c r="J535" s="3">
        <v>5.89</v>
      </c>
      <c r="K535" s="3">
        <v>5.58</v>
      </c>
      <c r="L535" s="3">
        <v>5</v>
      </c>
      <c r="M535" s="3">
        <v>107</v>
      </c>
      <c r="N535" s="3">
        <v>106</v>
      </c>
      <c r="O535" s="3">
        <v>134</v>
      </c>
      <c r="P535" s="3">
        <v>1.84</v>
      </c>
      <c r="Q535" s="3">
        <v>179</v>
      </c>
      <c r="R535" s="3">
        <v>1426</v>
      </c>
      <c r="S535" s="3">
        <v>3.11</v>
      </c>
      <c r="T535" s="3">
        <v>0</v>
      </c>
      <c r="U535" s="3">
        <v>0</v>
      </c>
      <c r="V535" s="3">
        <v>8</v>
      </c>
      <c r="W535" s="3">
        <v>0.28000000000000003</v>
      </c>
    </row>
    <row r="536" spans="1:23" x14ac:dyDescent="0.25">
      <c r="A536" s="3" t="s">
        <v>2029</v>
      </c>
      <c r="B536" s="3" t="s">
        <v>1057</v>
      </c>
      <c r="C536" s="3"/>
      <c r="D536" s="3" t="s">
        <v>1058</v>
      </c>
      <c r="E536" s="3">
        <v>254.16</v>
      </c>
      <c r="F536" s="3">
        <v>12.93</v>
      </c>
      <c r="G536" s="3">
        <v>19.48</v>
      </c>
      <c r="H536" s="3">
        <v>6.78</v>
      </c>
      <c r="I536" s="3">
        <v>0</v>
      </c>
      <c r="J536" s="3">
        <v>5.54</v>
      </c>
      <c r="K536" s="3">
        <v>8.48</v>
      </c>
      <c r="L536" s="3">
        <v>4.04</v>
      </c>
      <c r="M536" s="3">
        <v>101</v>
      </c>
      <c r="N536" s="3">
        <v>95</v>
      </c>
      <c r="O536" s="3">
        <v>107</v>
      </c>
      <c r="P536" s="3">
        <v>2</v>
      </c>
      <c r="Q536" s="3">
        <v>84</v>
      </c>
      <c r="R536" s="3">
        <v>1370</v>
      </c>
      <c r="S536" s="3">
        <v>1.04</v>
      </c>
      <c r="T536" s="3">
        <v>0</v>
      </c>
      <c r="U536" s="3">
        <v>39</v>
      </c>
      <c r="V536" s="3">
        <v>4</v>
      </c>
      <c r="W536" s="3">
        <v>0.24</v>
      </c>
    </row>
    <row r="537" spans="1:23" x14ac:dyDescent="0.25">
      <c r="A537" s="3" t="s">
        <v>2029</v>
      </c>
      <c r="B537" s="3" t="s">
        <v>1059</v>
      </c>
      <c r="C537" s="3"/>
      <c r="D537" s="3" t="s">
        <v>1060</v>
      </c>
      <c r="E537" s="3">
        <v>327.33</v>
      </c>
      <c r="F537" s="3">
        <v>11.24</v>
      </c>
      <c r="G537" s="3">
        <v>29.57</v>
      </c>
      <c r="H537" s="3">
        <v>4.0599999999999996</v>
      </c>
      <c r="I537" s="3">
        <v>0</v>
      </c>
      <c r="J537" s="3">
        <v>11.69</v>
      </c>
      <c r="K537" s="3">
        <v>14.31</v>
      </c>
      <c r="L537" s="3">
        <v>1.18</v>
      </c>
      <c r="M537" s="3">
        <v>53</v>
      </c>
      <c r="N537" s="3">
        <v>14</v>
      </c>
      <c r="O537" s="3">
        <v>160</v>
      </c>
      <c r="P537" s="3">
        <v>1.51</v>
      </c>
      <c r="Q537" s="3">
        <v>156</v>
      </c>
      <c r="R537" s="3">
        <v>1140</v>
      </c>
      <c r="S537" s="3">
        <v>2.46</v>
      </c>
      <c r="T537" s="3">
        <v>0</v>
      </c>
      <c r="U537" s="3">
        <v>0</v>
      </c>
      <c r="V537" s="3">
        <v>5</v>
      </c>
      <c r="W537" s="3">
        <v>1.72</v>
      </c>
    </row>
    <row r="538" spans="1:23" x14ac:dyDescent="0.25">
      <c r="A538" s="3" t="s">
        <v>2029</v>
      </c>
      <c r="B538" s="3" t="s">
        <v>1061</v>
      </c>
      <c r="C538" s="3"/>
      <c r="D538" s="3" t="s">
        <v>1062</v>
      </c>
      <c r="E538" s="3">
        <v>186.82</v>
      </c>
      <c r="F538" s="3">
        <v>31.9</v>
      </c>
      <c r="G538" s="3">
        <v>6.58</v>
      </c>
      <c r="H538" s="3">
        <v>0</v>
      </c>
      <c r="I538" s="3">
        <v>0</v>
      </c>
      <c r="J538" s="3">
        <v>1.84</v>
      </c>
      <c r="K538" s="3">
        <v>2.35</v>
      </c>
      <c r="L538" s="3">
        <v>0.59</v>
      </c>
      <c r="M538" s="3">
        <v>118</v>
      </c>
      <c r="N538" s="3">
        <v>24</v>
      </c>
      <c r="O538" s="3">
        <v>250</v>
      </c>
      <c r="P538" s="3">
        <v>1.1599999999999999</v>
      </c>
      <c r="Q538" s="3">
        <v>338</v>
      </c>
      <c r="R538" s="3">
        <v>89</v>
      </c>
      <c r="S538" s="3">
        <v>5.0999999999999996</v>
      </c>
      <c r="T538" s="3">
        <v>0</v>
      </c>
      <c r="U538" s="3">
        <v>0</v>
      </c>
      <c r="V538" s="3">
        <v>16</v>
      </c>
      <c r="W538" s="3">
        <v>1.65</v>
      </c>
    </row>
    <row r="539" spans="1:23" x14ac:dyDescent="0.25">
      <c r="A539" s="3" t="s">
        <v>2029</v>
      </c>
      <c r="B539" s="3" t="s">
        <v>1063</v>
      </c>
      <c r="C539" s="3"/>
      <c r="D539" s="3" t="s">
        <v>1064</v>
      </c>
      <c r="E539" s="3">
        <v>106.63</v>
      </c>
      <c r="F539" s="3">
        <v>20.2</v>
      </c>
      <c r="G539" s="3">
        <v>2.87</v>
      </c>
      <c r="H539" s="3">
        <v>0</v>
      </c>
      <c r="I539" s="3">
        <v>0</v>
      </c>
      <c r="J539" s="3">
        <v>0.86</v>
      </c>
      <c r="K539" s="3">
        <v>0.92</v>
      </c>
      <c r="L539" s="3">
        <v>0.3</v>
      </c>
      <c r="M539" s="3">
        <v>83</v>
      </c>
      <c r="N539" s="3">
        <v>15</v>
      </c>
      <c r="O539" s="3">
        <v>211</v>
      </c>
      <c r="P539" s="3">
        <v>0.85</v>
      </c>
      <c r="Q539" s="3">
        <v>328</v>
      </c>
      <c r="R539" s="3">
        <v>86</v>
      </c>
      <c r="S539" s="3">
        <v>3.23</v>
      </c>
      <c r="T539" s="3">
        <v>0</v>
      </c>
      <c r="U539" s="3">
        <v>0</v>
      </c>
      <c r="V539" s="3">
        <v>13</v>
      </c>
      <c r="W539" s="3">
        <v>1.4</v>
      </c>
    </row>
    <row r="540" spans="1:23" x14ac:dyDescent="0.25">
      <c r="A540" s="3" t="s">
        <v>2029</v>
      </c>
      <c r="B540" s="3" t="s">
        <v>1065</v>
      </c>
      <c r="C540" s="3"/>
      <c r="D540" s="3" t="s">
        <v>1066</v>
      </c>
      <c r="E540" s="3">
        <v>104.4</v>
      </c>
      <c r="F540" s="3">
        <v>22.9</v>
      </c>
      <c r="G540" s="3">
        <v>0.8</v>
      </c>
      <c r="H540" s="3">
        <v>1.4</v>
      </c>
      <c r="I540" s="3"/>
      <c r="J540" s="3"/>
      <c r="K540" s="3"/>
      <c r="L540" s="3"/>
      <c r="M540" s="3"/>
      <c r="N540" s="3">
        <v>65</v>
      </c>
      <c r="O540" s="3">
        <v>2</v>
      </c>
      <c r="P540" s="3"/>
      <c r="Q540" s="3"/>
      <c r="R540" s="3"/>
      <c r="S540" s="3"/>
      <c r="T540" s="3"/>
      <c r="U540" s="3"/>
      <c r="V540" s="3"/>
      <c r="W540" s="3"/>
    </row>
    <row r="541" spans="1:23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</row>
    <row r="542" spans="1:23" x14ac:dyDescent="0.25">
      <c r="A542" s="3" t="s">
        <v>2030</v>
      </c>
      <c r="B542" s="3" t="s">
        <v>1067</v>
      </c>
      <c r="C542" s="3"/>
      <c r="D542" s="3" t="s">
        <v>1068</v>
      </c>
      <c r="E542" s="3">
        <v>70.09</v>
      </c>
      <c r="F542" s="3">
        <v>12.77</v>
      </c>
      <c r="G542" s="3">
        <v>0.97</v>
      </c>
      <c r="H542" s="3">
        <v>2.57</v>
      </c>
      <c r="I542" s="3">
        <v>0</v>
      </c>
      <c r="J542" s="3">
        <v>0.09</v>
      </c>
      <c r="K542" s="3">
        <v>0.08</v>
      </c>
      <c r="L542" s="3">
        <v>0.28000000000000003</v>
      </c>
      <c r="M542" s="3">
        <v>34</v>
      </c>
      <c r="N542" s="3">
        <v>46</v>
      </c>
      <c r="O542" s="3">
        <v>169</v>
      </c>
      <c r="P542" s="3">
        <v>13.98</v>
      </c>
      <c r="Q542" s="3">
        <v>314</v>
      </c>
      <c r="R542" s="3">
        <v>56</v>
      </c>
      <c r="S542" s="3">
        <v>1.37</v>
      </c>
      <c r="T542" s="3">
        <v>13</v>
      </c>
      <c r="U542" s="3">
        <v>90</v>
      </c>
      <c r="V542" s="3">
        <v>16</v>
      </c>
      <c r="W542" s="3">
        <v>49.44</v>
      </c>
    </row>
    <row r="543" spans="1:23" x14ac:dyDescent="0.25">
      <c r="A543" s="3" t="s">
        <v>2030</v>
      </c>
      <c r="B543" s="3" t="s">
        <v>1069</v>
      </c>
      <c r="C543" s="3"/>
      <c r="D543" s="3" t="s">
        <v>1070</v>
      </c>
      <c r="E543" s="3">
        <v>116.07</v>
      </c>
      <c r="F543" s="3">
        <v>23.46</v>
      </c>
      <c r="G543" s="3">
        <v>2.4700000000000002</v>
      </c>
      <c r="H543" s="3">
        <v>0</v>
      </c>
      <c r="I543" s="3">
        <v>0</v>
      </c>
      <c r="J543" s="3">
        <v>0.62</v>
      </c>
      <c r="K543" s="3"/>
      <c r="L543" s="3"/>
      <c r="M543" s="3">
        <v>31</v>
      </c>
      <c r="N543" s="3">
        <v>0</v>
      </c>
      <c r="O543" s="3"/>
      <c r="P543" s="3">
        <v>1.33</v>
      </c>
      <c r="Q543" s="3"/>
      <c r="R543" s="3">
        <v>259</v>
      </c>
      <c r="S543" s="3"/>
      <c r="T543" s="3">
        <v>0</v>
      </c>
      <c r="U543" s="3">
        <v>0</v>
      </c>
      <c r="V543" s="3"/>
      <c r="W543" s="3"/>
    </row>
    <row r="544" spans="1:23" x14ac:dyDescent="0.25">
      <c r="A544" s="3" t="s">
        <v>2030</v>
      </c>
      <c r="B544" s="3" t="s">
        <v>1071</v>
      </c>
      <c r="C544" s="3"/>
      <c r="D544" s="3" t="s">
        <v>1072</v>
      </c>
      <c r="E544" s="3">
        <v>178.84</v>
      </c>
      <c r="F544" s="3">
        <v>26.53</v>
      </c>
      <c r="G544" s="3">
        <v>8.08</v>
      </c>
      <c r="H544" s="3">
        <v>0</v>
      </c>
      <c r="I544" s="3">
        <v>0</v>
      </c>
      <c r="J544" s="3">
        <v>1.28</v>
      </c>
      <c r="K544" s="3">
        <v>3.26</v>
      </c>
      <c r="L544" s="3">
        <v>2.97</v>
      </c>
      <c r="M544" s="3">
        <v>31</v>
      </c>
      <c r="N544" s="3">
        <v>4</v>
      </c>
      <c r="O544" s="3">
        <v>267</v>
      </c>
      <c r="P544" s="3">
        <v>0.65</v>
      </c>
      <c r="Q544" s="3">
        <v>333</v>
      </c>
      <c r="R544" s="3">
        <v>396</v>
      </c>
      <c r="S544" s="3">
        <v>0.47</v>
      </c>
      <c r="T544" s="3">
        <v>0</v>
      </c>
      <c r="U544" s="3">
        <v>5</v>
      </c>
      <c r="V544" s="3">
        <v>5</v>
      </c>
      <c r="W544" s="3">
        <v>2.2000000000000002</v>
      </c>
    </row>
    <row r="545" spans="1:23" x14ac:dyDescent="0.25">
      <c r="A545" s="3" t="s">
        <v>2030</v>
      </c>
      <c r="B545" s="3" t="s">
        <v>1073</v>
      </c>
      <c r="C545" s="3"/>
      <c r="D545" s="3" t="s">
        <v>1074</v>
      </c>
      <c r="E545" s="3">
        <v>121.21</v>
      </c>
      <c r="F545" s="3">
        <v>23.62</v>
      </c>
      <c r="G545" s="3">
        <v>2.97</v>
      </c>
      <c r="H545" s="3">
        <v>0</v>
      </c>
      <c r="I545" s="3">
        <v>0</v>
      </c>
      <c r="J545" s="3">
        <v>0.79</v>
      </c>
      <c r="K545" s="3">
        <v>0.78</v>
      </c>
      <c r="L545" s="3">
        <v>1.1100000000000001</v>
      </c>
      <c r="M545" s="3">
        <v>42</v>
      </c>
      <c r="N545" s="3">
        <v>14</v>
      </c>
      <c r="O545" s="3">
        <v>217</v>
      </c>
      <c r="P545" s="3">
        <v>0.97</v>
      </c>
      <c r="Q545" s="3">
        <v>237</v>
      </c>
      <c r="R545" s="3">
        <v>377</v>
      </c>
      <c r="S545" s="3">
        <v>0.48</v>
      </c>
      <c r="T545" s="3">
        <v>0</v>
      </c>
      <c r="U545" s="3">
        <v>6</v>
      </c>
      <c r="V545" s="3">
        <v>2</v>
      </c>
      <c r="W545" s="3">
        <v>1.17</v>
      </c>
    </row>
    <row r="546" spans="1:23" x14ac:dyDescent="0.25">
      <c r="A546" s="3" t="s">
        <v>2030</v>
      </c>
      <c r="B546" s="3" t="s">
        <v>1075</v>
      </c>
      <c r="C546" s="3"/>
      <c r="D546" s="3" t="s">
        <v>1076</v>
      </c>
      <c r="E546" s="3">
        <v>109.42</v>
      </c>
      <c r="F546" s="3">
        <v>25.51</v>
      </c>
      <c r="G546" s="3">
        <v>0.82</v>
      </c>
      <c r="H546" s="3">
        <v>0</v>
      </c>
      <c r="I546" s="3">
        <v>0</v>
      </c>
      <c r="J546" s="3">
        <v>0.23</v>
      </c>
      <c r="K546" s="3">
        <v>0.16</v>
      </c>
      <c r="L546" s="3">
        <v>0.34</v>
      </c>
      <c r="M546" s="3">
        <v>30</v>
      </c>
      <c r="N546" s="3">
        <v>11</v>
      </c>
      <c r="O546" s="3">
        <v>163</v>
      </c>
      <c r="P546" s="3">
        <v>1.53</v>
      </c>
      <c r="Q546" s="3">
        <v>237</v>
      </c>
      <c r="R546" s="3">
        <v>50</v>
      </c>
      <c r="S546" s="3">
        <v>0.77</v>
      </c>
      <c r="T546" s="3">
        <v>0</v>
      </c>
      <c r="U546" s="3">
        <v>16.8</v>
      </c>
      <c r="V546" s="3">
        <v>4</v>
      </c>
      <c r="W546" s="3">
        <v>2.99</v>
      </c>
    </row>
    <row r="547" spans="1:23" x14ac:dyDescent="0.25">
      <c r="A547" s="3" t="s">
        <v>2030</v>
      </c>
      <c r="B547" s="3" t="s">
        <v>1077</v>
      </c>
      <c r="C547" s="3"/>
      <c r="D547" s="3" t="s">
        <v>1078</v>
      </c>
      <c r="E547" s="3">
        <v>207.27</v>
      </c>
      <c r="F547" s="3">
        <v>27.27</v>
      </c>
      <c r="G547" s="3">
        <v>10.91</v>
      </c>
      <c r="H547" s="3">
        <v>0</v>
      </c>
      <c r="I547" s="3">
        <v>0</v>
      </c>
      <c r="J547" s="3">
        <v>1.82</v>
      </c>
      <c r="K547" s="3">
        <v>1.82</v>
      </c>
      <c r="L547" s="3">
        <v>5.45</v>
      </c>
      <c r="M547" s="3">
        <v>18.18</v>
      </c>
      <c r="N547" s="3"/>
      <c r="O547" s="3"/>
      <c r="P547" s="3"/>
      <c r="Q547" s="3"/>
      <c r="R547" s="3">
        <v>472.73</v>
      </c>
      <c r="S547" s="3"/>
      <c r="T547" s="3"/>
      <c r="U547" s="3"/>
      <c r="V547" s="3"/>
      <c r="W547" s="3"/>
    </row>
    <row r="548" spans="1:23" x14ac:dyDescent="0.25">
      <c r="A548" s="3" t="s">
        <v>2030</v>
      </c>
      <c r="B548" s="3" t="s">
        <v>1079</v>
      </c>
      <c r="C548" s="3"/>
      <c r="D548" s="3" t="s">
        <v>1080</v>
      </c>
      <c r="E548" s="3">
        <v>82.9</v>
      </c>
      <c r="F548" s="3">
        <v>19.600000000000001</v>
      </c>
      <c r="G548" s="3">
        <v>0.5</v>
      </c>
      <c r="H548" s="3">
        <v>0</v>
      </c>
      <c r="I548" s="3"/>
      <c r="J548" s="3"/>
      <c r="K548" s="3"/>
      <c r="L548" s="3"/>
      <c r="M548" s="3"/>
      <c r="N548" s="3">
        <v>126</v>
      </c>
      <c r="O548" s="3">
        <v>240</v>
      </c>
      <c r="P548" s="3">
        <v>0.3</v>
      </c>
      <c r="Q548" s="3"/>
      <c r="R548" s="3"/>
      <c r="S548" s="3"/>
      <c r="T548" s="3">
        <v>4.7</v>
      </c>
      <c r="U548" s="3"/>
      <c r="V548" s="3"/>
      <c r="W548" s="3"/>
    </row>
    <row r="549" spans="1:23" x14ac:dyDescent="0.25">
      <c r="A549" s="3" t="s">
        <v>2030</v>
      </c>
      <c r="B549" s="3" t="s">
        <v>1081</v>
      </c>
      <c r="C549" s="3"/>
      <c r="D549" s="3" t="s">
        <v>1082</v>
      </c>
      <c r="E549" s="3">
        <v>272.61</v>
      </c>
      <c r="F549" s="3">
        <v>62.82</v>
      </c>
      <c r="G549" s="3">
        <v>2.37</v>
      </c>
      <c r="H549" s="3">
        <v>0</v>
      </c>
      <c r="I549" s="3">
        <v>0</v>
      </c>
      <c r="J549" s="3">
        <v>0.46</v>
      </c>
      <c r="K549" s="3">
        <v>0.34</v>
      </c>
      <c r="L549" s="3">
        <v>0.8</v>
      </c>
      <c r="M549" s="3">
        <v>152</v>
      </c>
      <c r="N549" s="3">
        <v>160</v>
      </c>
      <c r="O549" s="3">
        <v>950</v>
      </c>
      <c r="P549" s="3">
        <v>2.5</v>
      </c>
      <c r="Q549" s="3">
        <v>1458</v>
      </c>
      <c r="R549" s="3">
        <v>7027</v>
      </c>
      <c r="S549" s="3">
        <v>1.59</v>
      </c>
      <c r="T549" s="3">
        <v>4</v>
      </c>
      <c r="U549" s="3">
        <v>42</v>
      </c>
      <c r="V549" s="3">
        <v>25</v>
      </c>
      <c r="W549" s="3">
        <v>10</v>
      </c>
    </row>
    <row r="550" spans="1:23" x14ac:dyDescent="0.25">
      <c r="A550" s="3" t="s">
        <v>2030</v>
      </c>
      <c r="B550" s="3" t="s">
        <v>1083</v>
      </c>
      <c r="C550" s="3"/>
      <c r="D550" s="3" t="s">
        <v>1084</v>
      </c>
      <c r="E550" s="3">
        <v>90.9</v>
      </c>
      <c r="F550" s="3">
        <v>16.38</v>
      </c>
      <c r="G550" s="3">
        <v>2.82</v>
      </c>
      <c r="H550" s="3">
        <v>0</v>
      </c>
      <c r="I550" s="3">
        <v>0</v>
      </c>
      <c r="J550" s="3">
        <v>0.72</v>
      </c>
      <c r="K550" s="3">
        <v>0.84</v>
      </c>
      <c r="L550" s="3">
        <v>0.87</v>
      </c>
      <c r="M550" s="3">
        <v>58</v>
      </c>
      <c r="N550" s="3">
        <v>14</v>
      </c>
      <c r="O550" s="3">
        <v>209</v>
      </c>
      <c r="P550" s="3">
        <v>0.3</v>
      </c>
      <c r="Q550" s="3">
        <v>358</v>
      </c>
      <c r="R550" s="3">
        <v>43</v>
      </c>
      <c r="S550" s="3">
        <v>0.51</v>
      </c>
      <c r="T550" s="3">
        <v>1</v>
      </c>
      <c r="U550" s="3">
        <v>15</v>
      </c>
      <c r="V550" s="3">
        <v>10</v>
      </c>
      <c r="W550" s="3">
        <v>2.23</v>
      </c>
    </row>
    <row r="551" spans="1:23" x14ac:dyDescent="0.25">
      <c r="A551" s="3" t="s">
        <v>2030</v>
      </c>
      <c r="B551" s="3" t="s">
        <v>1085</v>
      </c>
      <c r="C551" s="3"/>
      <c r="D551" s="3" t="s">
        <v>1086</v>
      </c>
      <c r="E551" s="3">
        <v>138.49</v>
      </c>
      <c r="F551" s="3">
        <v>19.66</v>
      </c>
      <c r="G551" s="3">
        <v>6.65</v>
      </c>
      <c r="H551" s="3">
        <v>0</v>
      </c>
      <c r="I551" s="3">
        <v>0</v>
      </c>
      <c r="J551" s="3">
        <v>1.61</v>
      </c>
      <c r="K551" s="3">
        <v>3</v>
      </c>
      <c r="L551" s="3">
        <v>1.1499999999999999</v>
      </c>
      <c r="M551" s="3">
        <v>66</v>
      </c>
      <c r="N551" s="3">
        <v>5</v>
      </c>
      <c r="O551" s="3">
        <v>255</v>
      </c>
      <c r="P551" s="3">
        <v>0.38</v>
      </c>
      <c r="Q551" s="3">
        <v>418</v>
      </c>
      <c r="R551" s="3">
        <v>81</v>
      </c>
      <c r="S551" s="3">
        <v>0.66</v>
      </c>
      <c r="T551" s="3">
        <v>0</v>
      </c>
      <c r="U551" s="3">
        <v>36</v>
      </c>
      <c r="V551" s="3">
        <v>2</v>
      </c>
      <c r="W551" s="3">
        <v>1.7</v>
      </c>
    </row>
    <row r="552" spans="1:23" x14ac:dyDescent="0.25">
      <c r="A552" s="3" t="s">
        <v>2030</v>
      </c>
      <c r="B552" s="3" t="s">
        <v>1087</v>
      </c>
      <c r="C552" s="3"/>
      <c r="D552" s="3" t="s">
        <v>1088</v>
      </c>
      <c r="E552" s="3">
        <v>161.69999999999999</v>
      </c>
      <c r="F552" s="3">
        <v>24</v>
      </c>
      <c r="G552" s="3">
        <v>7.3</v>
      </c>
      <c r="H552" s="3">
        <v>0</v>
      </c>
      <c r="I552" s="3"/>
      <c r="J552" s="3"/>
      <c r="K552" s="3"/>
      <c r="L552" s="3"/>
      <c r="M552" s="3"/>
      <c r="N552" s="3">
        <v>26</v>
      </c>
      <c r="O552" s="3"/>
      <c r="P552" s="3">
        <v>0.7</v>
      </c>
      <c r="Q552" s="3">
        <v>293</v>
      </c>
      <c r="R552" s="3">
        <v>40</v>
      </c>
      <c r="S552" s="3">
        <v>0.3</v>
      </c>
      <c r="T552" s="3">
        <v>0</v>
      </c>
      <c r="U552" s="3"/>
      <c r="V552" s="3"/>
      <c r="W552" s="3"/>
    </row>
    <row r="553" spans="1:23" x14ac:dyDescent="0.25">
      <c r="A553" s="3" t="s">
        <v>2030</v>
      </c>
      <c r="B553" s="3" t="s">
        <v>1089</v>
      </c>
      <c r="C553" s="3"/>
      <c r="D553" s="3" t="s">
        <v>1090</v>
      </c>
      <c r="E553" s="3">
        <v>122.1</v>
      </c>
      <c r="F553" s="3">
        <v>19.5</v>
      </c>
      <c r="G553" s="3">
        <v>4.9000000000000004</v>
      </c>
      <c r="H553" s="3">
        <v>0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x14ac:dyDescent="0.25">
      <c r="A554" s="3" t="s">
        <v>2030</v>
      </c>
      <c r="B554" s="3" t="s">
        <v>1091</v>
      </c>
      <c r="C554" s="3"/>
      <c r="D554" s="3" t="s">
        <v>1092</v>
      </c>
      <c r="E554" s="3">
        <v>87.06</v>
      </c>
      <c r="F554" s="3">
        <v>15.58</v>
      </c>
      <c r="G554" s="3">
        <v>1.38</v>
      </c>
      <c r="H554" s="3">
        <v>3.08</v>
      </c>
      <c r="I554" s="3">
        <v>0</v>
      </c>
      <c r="J554" s="3">
        <v>0.36</v>
      </c>
      <c r="K554" s="3">
        <v>0.11</v>
      </c>
      <c r="L554" s="3">
        <v>0.52</v>
      </c>
      <c r="M554" s="3">
        <v>233</v>
      </c>
      <c r="N554" s="3">
        <v>32</v>
      </c>
      <c r="O554" s="3">
        <v>221</v>
      </c>
      <c r="P554" s="3">
        <v>0.68</v>
      </c>
      <c r="Q554" s="3">
        <v>246</v>
      </c>
      <c r="R554" s="3">
        <v>44</v>
      </c>
      <c r="S554" s="3">
        <v>1.53</v>
      </c>
      <c r="T554" s="3">
        <v>5</v>
      </c>
      <c r="U554" s="3">
        <v>10</v>
      </c>
      <c r="V554" s="3">
        <v>5</v>
      </c>
      <c r="W554" s="3">
        <v>1.3</v>
      </c>
    </row>
    <row r="555" spans="1:23" x14ac:dyDescent="0.25">
      <c r="A555" s="3" t="s">
        <v>2030</v>
      </c>
      <c r="B555" s="3" t="s">
        <v>1093</v>
      </c>
      <c r="C555" s="3"/>
      <c r="D555" s="3" t="s">
        <v>1094</v>
      </c>
      <c r="E555" s="3">
        <v>93.36</v>
      </c>
      <c r="F555" s="3">
        <v>20.91</v>
      </c>
      <c r="G555" s="3">
        <v>1.08</v>
      </c>
      <c r="H555" s="3">
        <v>0</v>
      </c>
      <c r="I555" s="3">
        <v>0</v>
      </c>
      <c r="J555" s="3">
        <v>0.28999999999999998</v>
      </c>
      <c r="K555" s="3">
        <v>0.2</v>
      </c>
      <c r="L555" s="3">
        <v>0.44</v>
      </c>
      <c r="M555" s="3">
        <v>195</v>
      </c>
      <c r="N555" s="3">
        <v>39</v>
      </c>
      <c r="O555" s="3">
        <v>137</v>
      </c>
      <c r="P555" s="3">
        <v>3.09</v>
      </c>
      <c r="Q555" s="3">
        <v>182</v>
      </c>
      <c r="R555" s="3">
        <v>224</v>
      </c>
      <c r="S555" s="3">
        <v>1.56</v>
      </c>
      <c r="T555" s="3">
        <v>2</v>
      </c>
      <c r="U555" s="3">
        <v>68</v>
      </c>
      <c r="V555" s="3">
        <v>4</v>
      </c>
      <c r="W555" s="3">
        <v>1.49</v>
      </c>
    </row>
    <row r="556" spans="1:23" x14ac:dyDescent="0.25">
      <c r="A556" s="3" t="s">
        <v>2030</v>
      </c>
      <c r="B556" s="3" t="s">
        <v>1095</v>
      </c>
      <c r="C556" s="3"/>
      <c r="D556" s="3" t="s">
        <v>1096</v>
      </c>
      <c r="E556" s="3">
        <v>100.45</v>
      </c>
      <c r="F556" s="3">
        <v>20.309999999999999</v>
      </c>
      <c r="G556" s="3">
        <v>1.73</v>
      </c>
      <c r="H556" s="3">
        <v>0.91</v>
      </c>
      <c r="I556" s="3">
        <v>0</v>
      </c>
      <c r="J556" s="3">
        <v>0.33</v>
      </c>
      <c r="K556" s="3">
        <v>0.25</v>
      </c>
      <c r="L556" s="3">
        <v>0.67</v>
      </c>
      <c r="M556" s="3">
        <v>152</v>
      </c>
      <c r="N556" s="3">
        <v>52</v>
      </c>
      <c r="O556" s="3">
        <v>205</v>
      </c>
      <c r="P556" s="3">
        <v>2.41</v>
      </c>
      <c r="Q556" s="3">
        <v>185</v>
      </c>
      <c r="R556" s="3">
        <v>148</v>
      </c>
      <c r="S556" s="3">
        <v>1.1100000000000001</v>
      </c>
      <c r="T556" s="3">
        <v>2</v>
      </c>
      <c r="U556" s="3">
        <v>54</v>
      </c>
      <c r="V556" s="3">
        <v>3</v>
      </c>
      <c r="W556" s="3">
        <v>1.1599999999999999</v>
      </c>
    </row>
    <row r="557" spans="1:23" x14ac:dyDescent="0.25">
      <c r="A557" s="3" t="s">
        <v>2030</v>
      </c>
      <c r="B557" s="3" t="s">
        <v>1097</v>
      </c>
      <c r="C557" s="3"/>
      <c r="D557" s="3" t="s">
        <v>1098</v>
      </c>
      <c r="E557" s="3">
        <v>78.180000000000007</v>
      </c>
      <c r="F557" s="3">
        <v>17.88</v>
      </c>
      <c r="G557" s="3">
        <v>0.74</v>
      </c>
      <c r="H557" s="3">
        <v>0</v>
      </c>
      <c r="I557" s="3">
        <v>0</v>
      </c>
      <c r="J557" s="3">
        <v>0.2</v>
      </c>
      <c r="K557" s="3">
        <v>0.13</v>
      </c>
      <c r="L557" s="3">
        <v>0.26</v>
      </c>
      <c r="M557" s="3">
        <v>97</v>
      </c>
      <c r="N557" s="3">
        <v>91</v>
      </c>
      <c r="O557" s="3">
        <v>234</v>
      </c>
      <c r="P557" s="3">
        <v>0.5</v>
      </c>
      <c r="Q557" s="3">
        <v>259</v>
      </c>
      <c r="R557" s="3">
        <v>563</v>
      </c>
      <c r="S557" s="3">
        <v>3.81</v>
      </c>
      <c r="T557" s="3">
        <v>3.3</v>
      </c>
      <c r="U557" s="3">
        <v>1</v>
      </c>
      <c r="V557" s="3">
        <v>51</v>
      </c>
      <c r="W557" s="3">
        <v>3.33</v>
      </c>
    </row>
    <row r="558" spans="1:23" x14ac:dyDescent="0.25">
      <c r="A558" s="3" t="s">
        <v>2030</v>
      </c>
      <c r="B558" s="3" t="s">
        <v>1099</v>
      </c>
      <c r="C558" s="3"/>
      <c r="D558" s="3" t="s">
        <v>1100</v>
      </c>
      <c r="E558" s="3">
        <v>92.9</v>
      </c>
      <c r="F558" s="3">
        <v>14.8</v>
      </c>
      <c r="G558" s="3">
        <v>2.9</v>
      </c>
      <c r="H558" s="3">
        <v>1.9</v>
      </c>
      <c r="I558" s="3"/>
      <c r="J558" s="3">
        <v>0.2</v>
      </c>
      <c r="K558" s="3">
        <v>0.2</v>
      </c>
      <c r="L558" s="3">
        <v>0.5</v>
      </c>
      <c r="M558" s="3">
        <v>78</v>
      </c>
      <c r="N558" s="3">
        <v>423</v>
      </c>
      <c r="O558" s="3">
        <v>203</v>
      </c>
      <c r="P558" s="3">
        <v>4.0999999999999996</v>
      </c>
      <c r="Q558" s="3">
        <v>265</v>
      </c>
      <c r="R558" s="3">
        <v>41</v>
      </c>
      <c r="S558" s="3">
        <v>4.3</v>
      </c>
      <c r="T558" s="3"/>
      <c r="U558" s="3">
        <v>651</v>
      </c>
      <c r="V558" s="3"/>
      <c r="W558" s="3"/>
    </row>
    <row r="559" spans="1:23" x14ac:dyDescent="0.25">
      <c r="A559" s="3" t="s">
        <v>2030</v>
      </c>
      <c r="B559" s="3" t="s">
        <v>1101</v>
      </c>
      <c r="C559" s="3"/>
      <c r="D559" s="3" t="s">
        <v>1102</v>
      </c>
      <c r="E559" s="3">
        <v>88.3</v>
      </c>
      <c r="F559" s="3">
        <v>17.3</v>
      </c>
      <c r="G559" s="3">
        <v>1.9</v>
      </c>
      <c r="H559" s="3">
        <v>0.5</v>
      </c>
      <c r="I559" s="3"/>
      <c r="J559" s="3">
        <v>0.3</v>
      </c>
      <c r="K559" s="3">
        <v>0.3</v>
      </c>
      <c r="L559" s="3">
        <v>0.9</v>
      </c>
      <c r="M559" s="3">
        <v>150</v>
      </c>
      <c r="N559" s="3">
        <v>43</v>
      </c>
      <c r="O559" s="3">
        <v>175</v>
      </c>
      <c r="P559" s="3">
        <v>0.8</v>
      </c>
      <c r="Q559" s="3">
        <v>110</v>
      </c>
      <c r="R559" s="3">
        <v>1000</v>
      </c>
      <c r="S559" s="3">
        <v>4.3</v>
      </c>
      <c r="T559" s="3">
        <v>2</v>
      </c>
      <c r="U559" s="3"/>
      <c r="V559" s="3"/>
      <c r="W559" s="3"/>
    </row>
    <row r="560" spans="1:23" x14ac:dyDescent="0.25">
      <c r="A560" s="3" t="s">
        <v>2030</v>
      </c>
      <c r="B560" s="3" t="s">
        <v>1103</v>
      </c>
      <c r="C560" s="3"/>
      <c r="D560" s="3" t="s">
        <v>1104</v>
      </c>
      <c r="E560" s="3">
        <v>85</v>
      </c>
      <c r="F560" s="3">
        <v>16.100000000000001</v>
      </c>
      <c r="G560" s="3">
        <v>1.4</v>
      </c>
      <c r="H560" s="3">
        <v>2</v>
      </c>
      <c r="I560" s="3">
        <v>0</v>
      </c>
      <c r="J560" s="3">
        <v>0.36</v>
      </c>
      <c r="K560" s="3">
        <v>0.26</v>
      </c>
      <c r="L560" s="3">
        <v>0.25</v>
      </c>
      <c r="M560" s="3">
        <v>50</v>
      </c>
      <c r="N560" s="3">
        <v>10</v>
      </c>
      <c r="O560" s="3">
        <v>272</v>
      </c>
      <c r="P560" s="3">
        <v>3.5</v>
      </c>
      <c r="Q560" s="3">
        <v>382</v>
      </c>
      <c r="R560" s="3">
        <v>70</v>
      </c>
      <c r="S560" s="3">
        <v>1</v>
      </c>
      <c r="T560" s="3">
        <v>0</v>
      </c>
      <c r="U560" s="3">
        <v>30</v>
      </c>
      <c r="V560" s="3">
        <v>6</v>
      </c>
      <c r="W560" s="3">
        <v>0.5</v>
      </c>
    </row>
    <row r="561" spans="1:23" x14ac:dyDescent="0.25">
      <c r="A561" s="3" t="s">
        <v>2030</v>
      </c>
      <c r="B561" s="3" t="s">
        <v>1105</v>
      </c>
      <c r="C561" s="3"/>
      <c r="D561" s="3" t="s">
        <v>1106</v>
      </c>
      <c r="E561" s="3">
        <v>83.4</v>
      </c>
      <c r="F561" s="3">
        <v>16.78</v>
      </c>
      <c r="G561" s="3">
        <v>0.76</v>
      </c>
      <c r="H561" s="3">
        <v>2.36</v>
      </c>
      <c r="I561" s="3">
        <v>0</v>
      </c>
      <c r="J561" s="3">
        <v>0.08</v>
      </c>
      <c r="K561" s="3">
        <v>0.04</v>
      </c>
      <c r="L561" s="3">
        <v>0.26</v>
      </c>
      <c r="M561" s="3">
        <v>33</v>
      </c>
      <c r="N561" s="3">
        <v>24</v>
      </c>
      <c r="O561" s="3">
        <v>219</v>
      </c>
      <c r="P561" s="3">
        <v>0.28999999999999998</v>
      </c>
      <c r="Q561" s="3">
        <v>322</v>
      </c>
      <c r="R561" s="3">
        <v>161</v>
      </c>
      <c r="S561" s="3">
        <v>0.95</v>
      </c>
      <c r="T561" s="3">
        <v>3</v>
      </c>
      <c r="U561" s="3">
        <v>15</v>
      </c>
      <c r="V561" s="3">
        <v>16</v>
      </c>
      <c r="W561" s="3">
        <v>1.53</v>
      </c>
    </row>
    <row r="562" spans="1:23" x14ac:dyDescent="0.25">
      <c r="A562" s="3" t="s">
        <v>2030</v>
      </c>
      <c r="B562" s="3" t="s">
        <v>1107</v>
      </c>
      <c r="C562" s="3"/>
      <c r="D562" s="3" t="s">
        <v>1108</v>
      </c>
      <c r="E562" s="3">
        <v>99.65</v>
      </c>
      <c r="F562" s="3">
        <v>17.78</v>
      </c>
      <c r="G562" s="3">
        <v>3.17</v>
      </c>
      <c r="H562" s="3">
        <v>0</v>
      </c>
      <c r="I562" s="3">
        <v>0</v>
      </c>
      <c r="J562" s="3">
        <v>1.0900000000000001</v>
      </c>
      <c r="K562" s="3">
        <v>1.1499999999999999</v>
      </c>
      <c r="L562" s="3">
        <v>0.46</v>
      </c>
      <c r="M562" s="3">
        <v>61</v>
      </c>
      <c r="N562" s="3">
        <v>15</v>
      </c>
      <c r="O562" s="3">
        <v>210</v>
      </c>
      <c r="P562" s="3">
        <v>0.37</v>
      </c>
      <c r="Q562" s="3">
        <v>345</v>
      </c>
      <c r="R562" s="3">
        <v>56</v>
      </c>
      <c r="S562" s="3">
        <v>0.42</v>
      </c>
      <c r="T562" s="3">
        <v>0</v>
      </c>
      <c r="U562" s="3">
        <v>18</v>
      </c>
      <c r="V562" s="3">
        <v>15</v>
      </c>
      <c r="W562" s="3">
        <v>2.5</v>
      </c>
    </row>
    <row r="563" spans="1:23" x14ac:dyDescent="0.25">
      <c r="A563" s="3" t="s">
        <v>2030</v>
      </c>
      <c r="B563" s="3" t="s">
        <v>1109</v>
      </c>
      <c r="C563" s="3"/>
      <c r="D563" s="3" t="s">
        <v>1110</v>
      </c>
      <c r="E563" s="3">
        <v>80.3</v>
      </c>
      <c r="F563" s="3">
        <v>18.5</v>
      </c>
      <c r="G563" s="3">
        <v>0.7</v>
      </c>
      <c r="H563" s="3">
        <v>0</v>
      </c>
      <c r="I563" s="3">
        <v>0</v>
      </c>
      <c r="J563" s="3">
        <v>0.19</v>
      </c>
      <c r="K563" s="3">
        <v>0.12</v>
      </c>
      <c r="L563" s="3">
        <v>0.17</v>
      </c>
      <c r="M563" s="3">
        <v>73</v>
      </c>
      <c r="N563" s="3">
        <v>15</v>
      </c>
      <c r="O563" s="3">
        <v>143</v>
      </c>
      <c r="P563" s="3">
        <v>1.1299999999999999</v>
      </c>
      <c r="Q563" s="3">
        <v>416</v>
      </c>
      <c r="R563" s="3">
        <v>88</v>
      </c>
      <c r="S563" s="3">
        <v>0.46</v>
      </c>
      <c r="T563" s="3">
        <v>0</v>
      </c>
      <c r="U563" s="3">
        <v>54</v>
      </c>
      <c r="V563" s="3">
        <v>5</v>
      </c>
      <c r="W563" s="3">
        <v>0.6</v>
      </c>
    </row>
    <row r="564" spans="1:23" x14ac:dyDescent="0.25">
      <c r="A564" s="3" t="s">
        <v>2030</v>
      </c>
      <c r="B564" s="3" t="s">
        <v>1111</v>
      </c>
      <c r="C564" s="3"/>
      <c r="D564" s="3" t="s">
        <v>1112</v>
      </c>
      <c r="E564" s="3">
        <v>95.8</v>
      </c>
      <c r="F564" s="3">
        <v>17.2</v>
      </c>
      <c r="G564" s="3">
        <v>3</v>
      </c>
      <c r="H564" s="3">
        <v>0</v>
      </c>
      <c r="I564" s="3"/>
      <c r="J564" s="3"/>
      <c r="K564" s="3"/>
      <c r="L564" s="3"/>
      <c r="M564" s="3"/>
      <c r="N564" s="3">
        <v>24</v>
      </c>
      <c r="O564" s="3">
        <v>274</v>
      </c>
      <c r="P564" s="3">
        <v>1.8</v>
      </c>
      <c r="Q564" s="3"/>
      <c r="R564" s="3"/>
      <c r="S564" s="3"/>
      <c r="T564" s="3">
        <v>10</v>
      </c>
      <c r="U564" s="3"/>
      <c r="V564" s="3"/>
      <c r="W564" s="3"/>
    </row>
    <row r="565" spans="1:23" x14ac:dyDescent="0.25">
      <c r="A565" s="3" t="s">
        <v>2030</v>
      </c>
      <c r="B565" s="3" t="s">
        <v>1113</v>
      </c>
      <c r="C565" s="3"/>
      <c r="D565" s="3" t="s">
        <v>1114</v>
      </c>
      <c r="E565" s="3">
        <v>114.8</v>
      </c>
      <c r="F565" s="3">
        <v>19.7</v>
      </c>
      <c r="G565" s="3">
        <v>4</v>
      </c>
      <c r="H565" s="3"/>
      <c r="I565" s="3"/>
      <c r="J565" s="3"/>
      <c r="K565" s="3"/>
      <c r="L565" s="3"/>
      <c r="M565" s="3"/>
      <c r="N565" s="3">
        <v>30</v>
      </c>
      <c r="O565" s="3">
        <v>325</v>
      </c>
      <c r="P565" s="3">
        <v>1.8</v>
      </c>
      <c r="Q565" s="3"/>
      <c r="R565" s="3"/>
      <c r="S565" s="3"/>
      <c r="T565" s="3"/>
      <c r="U565" s="3"/>
      <c r="V565" s="3"/>
      <c r="W565" s="3"/>
    </row>
    <row r="566" spans="1:23" x14ac:dyDescent="0.25">
      <c r="A566" s="3" t="s">
        <v>2030</v>
      </c>
      <c r="B566" s="3" t="s">
        <v>1115</v>
      </c>
      <c r="C566" s="3"/>
      <c r="D566" s="3" t="s">
        <v>1116</v>
      </c>
      <c r="E566" s="3">
        <v>72.83</v>
      </c>
      <c r="F566" s="3">
        <v>16.52</v>
      </c>
      <c r="G566" s="3">
        <v>0.75</v>
      </c>
      <c r="H566" s="3">
        <v>0</v>
      </c>
      <c r="I566" s="3">
        <v>0</v>
      </c>
      <c r="J566" s="3">
        <v>0.18</v>
      </c>
      <c r="K566" s="3">
        <v>0.22</v>
      </c>
      <c r="L566" s="3">
        <v>0.3</v>
      </c>
      <c r="M566" s="3">
        <v>127</v>
      </c>
      <c r="N566" s="3">
        <v>84</v>
      </c>
      <c r="O566" s="3">
        <v>161</v>
      </c>
      <c r="P566" s="3">
        <v>0.26</v>
      </c>
      <c r="Q566" s="3">
        <v>200</v>
      </c>
      <c r="R566" s="3">
        <v>423</v>
      </c>
      <c r="S566" s="3">
        <v>3.53</v>
      </c>
      <c r="T566" s="3">
        <v>0</v>
      </c>
      <c r="U566" s="3">
        <v>1</v>
      </c>
      <c r="V566" s="3">
        <v>10</v>
      </c>
      <c r="W566" s="3">
        <v>1.25</v>
      </c>
    </row>
    <row r="567" spans="1:23" x14ac:dyDescent="0.25">
      <c r="A567" s="3" t="s">
        <v>2030</v>
      </c>
      <c r="B567" s="3" t="s">
        <v>1117</v>
      </c>
      <c r="C567" s="3"/>
      <c r="D567" s="3" t="s">
        <v>1118</v>
      </c>
      <c r="E567" s="3">
        <v>72.430000000000007</v>
      </c>
      <c r="F567" s="3">
        <v>15.97</v>
      </c>
      <c r="G567" s="3">
        <v>0.95</v>
      </c>
      <c r="H567" s="3">
        <v>0</v>
      </c>
      <c r="I567" s="3">
        <v>0</v>
      </c>
      <c r="J567" s="3">
        <v>0.16</v>
      </c>
      <c r="K567" s="3">
        <v>0.17</v>
      </c>
      <c r="L567" s="3">
        <v>0.28999999999999998</v>
      </c>
      <c r="M567" s="3">
        <v>114</v>
      </c>
      <c r="N567" s="3">
        <v>27</v>
      </c>
      <c r="O567" s="3">
        <v>256</v>
      </c>
      <c r="P567" s="3">
        <v>0.84</v>
      </c>
      <c r="Q567" s="3">
        <v>302</v>
      </c>
      <c r="R567" s="3">
        <v>58</v>
      </c>
      <c r="S567" s="3">
        <v>1.3</v>
      </c>
      <c r="T567" s="3">
        <v>1</v>
      </c>
      <c r="U567" s="3">
        <v>16</v>
      </c>
      <c r="V567" s="3">
        <v>37</v>
      </c>
      <c r="W567" s="3">
        <v>2</v>
      </c>
    </row>
    <row r="568" spans="1:23" x14ac:dyDescent="0.25">
      <c r="A568" s="3" t="s">
        <v>2030</v>
      </c>
      <c r="B568" s="3" t="s">
        <v>1119</v>
      </c>
      <c r="C568" s="3"/>
      <c r="D568" s="3" t="s">
        <v>1120</v>
      </c>
      <c r="E568" s="3">
        <v>86.07</v>
      </c>
      <c r="F568" s="3">
        <v>18.84</v>
      </c>
      <c r="G568" s="3">
        <v>1.19</v>
      </c>
      <c r="H568" s="3">
        <v>0</v>
      </c>
      <c r="I568" s="3">
        <v>0</v>
      </c>
      <c r="J568" s="3">
        <v>0.28000000000000003</v>
      </c>
      <c r="K568" s="3">
        <v>0.23</v>
      </c>
      <c r="L568" s="3">
        <v>0.33</v>
      </c>
      <c r="M568" s="3">
        <v>48</v>
      </c>
      <c r="N568" s="3">
        <v>18</v>
      </c>
      <c r="O568" s="3">
        <v>184</v>
      </c>
      <c r="P568" s="3">
        <v>0.36</v>
      </c>
      <c r="Q568" s="3">
        <v>361</v>
      </c>
      <c r="R568" s="3">
        <v>81</v>
      </c>
      <c r="S568" s="3">
        <v>0.45</v>
      </c>
      <c r="T568" s="3">
        <v>2</v>
      </c>
      <c r="U568" s="3">
        <v>10</v>
      </c>
      <c r="V568" s="3">
        <v>8</v>
      </c>
      <c r="W568" s="3">
        <v>1.52</v>
      </c>
    </row>
    <row r="569" spans="1:23" x14ac:dyDescent="0.25">
      <c r="A569" s="3" t="s">
        <v>2030</v>
      </c>
      <c r="B569" s="3" t="s">
        <v>1121</v>
      </c>
      <c r="C569" s="3"/>
      <c r="D569" s="3" t="s">
        <v>1122</v>
      </c>
      <c r="E569" s="3">
        <v>130.6</v>
      </c>
      <c r="F569" s="3">
        <v>20.5</v>
      </c>
      <c r="G569" s="3">
        <v>5.4</v>
      </c>
      <c r="H569" s="3"/>
      <c r="I569" s="3"/>
      <c r="J569" s="3"/>
      <c r="K569" s="3"/>
      <c r="L569" s="3"/>
      <c r="M569" s="3"/>
      <c r="N569" s="3">
        <v>49</v>
      </c>
      <c r="O569" s="3">
        <v>217</v>
      </c>
      <c r="P569" s="3">
        <v>1.9</v>
      </c>
      <c r="Q569" s="3"/>
      <c r="R569" s="3"/>
      <c r="S569" s="3"/>
      <c r="T569" s="3">
        <v>5.9</v>
      </c>
      <c r="U569" s="3"/>
      <c r="V569" s="3"/>
      <c r="W569" s="3"/>
    </row>
    <row r="570" spans="1:23" x14ac:dyDescent="0.25">
      <c r="A570" s="3" t="s">
        <v>2030</v>
      </c>
      <c r="B570" s="3" t="s">
        <v>1123</v>
      </c>
      <c r="C570" s="3"/>
      <c r="D570" s="3" t="s">
        <v>1124</v>
      </c>
      <c r="E570" s="3">
        <v>103.85</v>
      </c>
      <c r="F570" s="3">
        <v>20.81</v>
      </c>
      <c r="G570" s="3">
        <v>2.29</v>
      </c>
      <c r="H570" s="3">
        <v>0</v>
      </c>
      <c r="I570" s="3">
        <v>0</v>
      </c>
      <c r="J570" s="3">
        <v>0.32</v>
      </c>
      <c r="K570" s="3">
        <v>0.75</v>
      </c>
      <c r="L570" s="3">
        <v>0.73</v>
      </c>
      <c r="M570" s="3">
        <v>32</v>
      </c>
      <c r="N570" s="3">
        <v>47</v>
      </c>
      <c r="O570" s="3">
        <v>222</v>
      </c>
      <c r="P570" s="3">
        <v>0.84</v>
      </c>
      <c r="Q570" s="3">
        <v>450</v>
      </c>
      <c r="R570" s="3">
        <v>54</v>
      </c>
      <c r="S570" s="3">
        <v>0.42</v>
      </c>
      <c r="T570" s="3">
        <v>0</v>
      </c>
      <c r="U570" s="3">
        <v>47</v>
      </c>
      <c r="V570" s="3">
        <v>12</v>
      </c>
      <c r="W570" s="3">
        <v>1.18</v>
      </c>
    </row>
    <row r="571" spans="1:23" x14ac:dyDescent="0.25">
      <c r="A571" s="3" t="s">
        <v>2030</v>
      </c>
      <c r="B571" s="3" t="s">
        <v>1125</v>
      </c>
      <c r="C571" s="3"/>
      <c r="D571" s="3" t="s">
        <v>1126</v>
      </c>
      <c r="E571" s="3">
        <v>78.3</v>
      </c>
      <c r="F571" s="3">
        <v>9.4499999999999993</v>
      </c>
      <c r="G571" s="3">
        <v>2.2999999999999998</v>
      </c>
      <c r="H571" s="3">
        <v>4.95</v>
      </c>
      <c r="I571" s="3">
        <v>0</v>
      </c>
      <c r="J571" s="3">
        <v>0.51</v>
      </c>
      <c r="K571" s="3">
        <v>0.36</v>
      </c>
      <c r="L571" s="3">
        <v>0.89</v>
      </c>
      <c r="M571" s="3">
        <v>50</v>
      </c>
      <c r="N571" s="3">
        <v>8</v>
      </c>
      <c r="O571" s="3">
        <v>162</v>
      </c>
      <c r="P571" s="3">
        <v>5.1100000000000003</v>
      </c>
      <c r="Q571" s="3">
        <v>162</v>
      </c>
      <c r="R571" s="3">
        <v>106</v>
      </c>
      <c r="S571" s="3">
        <v>16.62</v>
      </c>
      <c r="T571" s="3">
        <v>8</v>
      </c>
      <c r="U571" s="3">
        <v>81</v>
      </c>
      <c r="V571" s="3">
        <v>10</v>
      </c>
      <c r="W571" s="3">
        <v>16</v>
      </c>
    </row>
    <row r="572" spans="1:23" x14ac:dyDescent="0.25">
      <c r="A572" s="3" t="s">
        <v>2030</v>
      </c>
      <c r="B572" s="3" t="s">
        <v>1127</v>
      </c>
      <c r="C572" s="3"/>
      <c r="D572" s="3" t="s">
        <v>1128</v>
      </c>
      <c r="E572" s="3">
        <v>159.15</v>
      </c>
      <c r="F572" s="3">
        <v>18.48</v>
      </c>
      <c r="G572" s="3">
        <v>9.4700000000000006</v>
      </c>
      <c r="H572" s="3">
        <v>0</v>
      </c>
      <c r="I572" s="3">
        <v>0</v>
      </c>
      <c r="J572" s="3">
        <v>3.51</v>
      </c>
      <c r="K572" s="3">
        <v>2.59</v>
      </c>
      <c r="L572" s="3">
        <v>1.1399999999999999</v>
      </c>
      <c r="M572" s="3">
        <v>50</v>
      </c>
      <c r="N572" s="3">
        <v>22</v>
      </c>
      <c r="O572" s="3">
        <v>195</v>
      </c>
      <c r="P572" s="3">
        <v>0.6</v>
      </c>
      <c r="Q572" s="3">
        <v>381</v>
      </c>
      <c r="R572" s="3">
        <v>75</v>
      </c>
      <c r="S572" s="3">
        <v>0.72</v>
      </c>
      <c r="T572" s="3">
        <v>0</v>
      </c>
      <c r="U572" s="3">
        <v>40</v>
      </c>
      <c r="V572" s="3">
        <v>15</v>
      </c>
      <c r="W572" s="3">
        <v>1.3</v>
      </c>
    </row>
    <row r="573" spans="1:23" x14ac:dyDescent="0.25">
      <c r="A573" s="3" t="s">
        <v>2030</v>
      </c>
      <c r="B573" s="3" t="s">
        <v>1129</v>
      </c>
      <c r="C573" s="3"/>
      <c r="D573" s="3" t="s">
        <v>1130</v>
      </c>
      <c r="E573" s="3">
        <v>100.09</v>
      </c>
      <c r="F573" s="3">
        <v>18.88</v>
      </c>
      <c r="G573" s="3">
        <v>2.73</v>
      </c>
      <c r="H573" s="3">
        <v>0</v>
      </c>
      <c r="I573" s="3">
        <v>0</v>
      </c>
      <c r="J573" s="3">
        <v>0.64</v>
      </c>
      <c r="K573" s="3">
        <v>0.56000000000000005</v>
      </c>
      <c r="L573" s="3">
        <v>1.03</v>
      </c>
      <c r="M573" s="3">
        <v>52</v>
      </c>
      <c r="N573" s="3">
        <v>40</v>
      </c>
      <c r="O573" s="3">
        <v>185</v>
      </c>
      <c r="P573" s="3">
        <v>0.53</v>
      </c>
      <c r="Q573" s="3">
        <v>287</v>
      </c>
      <c r="R573" s="3">
        <v>42</v>
      </c>
      <c r="S573" s="3">
        <v>0.48</v>
      </c>
      <c r="T573" s="3">
        <v>0</v>
      </c>
      <c r="U573" s="3">
        <v>27</v>
      </c>
      <c r="V573" s="3">
        <v>15</v>
      </c>
      <c r="W573" s="3">
        <v>1.4</v>
      </c>
    </row>
    <row r="574" spans="1:23" x14ac:dyDescent="0.25">
      <c r="A574" s="3" t="s">
        <v>2030</v>
      </c>
      <c r="B574" s="3" t="s">
        <v>1131</v>
      </c>
      <c r="C574" s="3"/>
      <c r="D574" s="3" t="s">
        <v>1132</v>
      </c>
      <c r="E574" s="3">
        <v>161.69999999999999</v>
      </c>
      <c r="F574" s="3">
        <v>24</v>
      </c>
      <c r="G574" s="3">
        <v>7.3</v>
      </c>
      <c r="H574" s="3">
        <v>0</v>
      </c>
      <c r="I574" s="3"/>
      <c r="J574" s="3"/>
      <c r="K574" s="3"/>
      <c r="L574" s="3"/>
      <c r="M574" s="3"/>
      <c r="N574" s="3">
        <v>26</v>
      </c>
      <c r="O574" s="3"/>
      <c r="P574" s="3">
        <v>0.7</v>
      </c>
      <c r="Q574" s="3">
        <v>293</v>
      </c>
      <c r="R574" s="3">
        <v>40</v>
      </c>
      <c r="S574" s="3">
        <v>0.3</v>
      </c>
      <c r="T574" s="3">
        <v>0</v>
      </c>
      <c r="U574" s="3"/>
      <c r="V574" s="3"/>
      <c r="W574" s="3"/>
    </row>
    <row r="575" spans="1:23" x14ac:dyDescent="0.25">
      <c r="A575" s="3" t="s">
        <v>2030</v>
      </c>
      <c r="B575" s="3" t="s">
        <v>1133</v>
      </c>
      <c r="C575" s="3"/>
      <c r="D575" s="3" t="s">
        <v>1134</v>
      </c>
      <c r="E575" s="3">
        <v>77.8</v>
      </c>
      <c r="F575" s="3">
        <v>14.91</v>
      </c>
      <c r="G575" s="3">
        <v>1.04</v>
      </c>
      <c r="H575" s="3">
        <v>2.2000000000000002</v>
      </c>
      <c r="I575" s="3">
        <v>0</v>
      </c>
      <c r="J575" s="3">
        <v>0.23</v>
      </c>
      <c r="K575" s="3">
        <v>0.16</v>
      </c>
      <c r="L575" s="3">
        <v>0.24</v>
      </c>
      <c r="M575" s="3">
        <v>48</v>
      </c>
      <c r="N575" s="3">
        <v>53</v>
      </c>
      <c r="O575" s="3">
        <v>186</v>
      </c>
      <c r="P575" s="3">
        <v>5.3</v>
      </c>
      <c r="Q575" s="3">
        <v>350</v>
      </c>
      <c r="R575" s="3">
        <v>230</v>
      </c>
      <c r="S575" s="3">
        <v>1.68</v>
      </c>
      <c r="T575" s="3">
        <v>5</v>
      </c>
      <c r="U575" s="3">
        <v>45</v>
      </c>
      <c r="V575" s="3">
        <v>16</v>
      </c>
      <c r="W575" s="3">
        <v>20</v>
      </c>
    </row>
    <row r="576" spans="1:23" x14ac:dyDescent="0.25">
      <c r="A576" s="3" t="s">
        <v>2030</v>
      </c>
      <c r="B576" s="3" t="s">
        <v>1135</v>
      </c>
      <c r="C576" s="3"/>
      <c r="D576" s="3" t="s">
        <v>1136</v>
      </c>
      <c r="E576" s="3">
        <v>91.72</v>
      </c>
      <c r="F576" s="3">
        <v>18.43</v>
      </c>
      <c r="G576" s="3">
        <v>2</v>
      </c>
      <c r="H576" s="3">
        <v>0</v>
      </c>
      <c r="I576" s="3">
        <v>0</v>
      </c>
      <c r="J576" s="3">
        <v>0.51</v>
      </c>
      <c r="K576" s="3">
        <v>0.42</v>
      </c>
      <c r="L576" s="3">
        <v>0.74</v>
      </c>
      <c r="M576" s="3">
        <v>41</v>
      </c>
      <c r="N576" s="3">
        <v>10</v>
      </c>
      <c r="O576" s="3">
        <v>194</v>
      </c>
      <c r="P576" s="3">
        <v>0.28999999999999998</v>
      </c>
      <c r="Q576" s="3">
        <v>256</v>
      </c>
      <c r="R576" s="3">
        <v>68</v>
      </c>
      <c r="S576" s="3">
        <v>0.4</v>
      </c>
      <c r="T576" s="3">
        <v>0</v>
      </c>
      <c r="U576" s="3">
        <v>55</v>
      </c>
      <c r="V576" s="3">
        <v>5</v>
      </c>
      <c r="W576" s="3">
        <v>0.3</v>
      </c>
    </row>
    <row r="577" spans="1:23" x14ac:dyDescent="0.25">
      <c r="A577" s="3" t="s">
        <v>2030</v>
      </c>
      <c r="B577" s="3" t="s">
        <v>1137</v>
      </c>
      <c r="C577" s="3"/>
      <c r="D577" s="3" t="s">
        <v>1138</v>
      </c>
      <c r="E577" s="3">
        <v>112</v>
      </c>
      <c r="F577" s="3">
        <v>18.28</v>
      </c>
      <c r="G577" s="3">
        <v>4.32</v>
      </c>
      <c r="H577" s="3">
        <v>0</v>
      </c>
      <c r="I577" s="3">
        <v>0</v>
      </c>
      <c r="J577" s="3">
        <v>0.93</v>
      </c>
      <c r="K577" s="3">
        <v>2.02</v>
      </c>
      <c r="L577" s="3">
        <v>1</v>
      </c>
      <c r="M577" s="3">
        <v>23</v>
      </c>
      <c r="N577" s="3">
        <v>11</v>
      </c>
      <c r="O577" s="3">
        <v>164</v>
      </c>
      <c r="P577" s="3">
        <v>0.85</v>
      </c>
      <c r="Q577" s="3">
        <v>175</v>
      </c>
      <c r="R577" s="3">
        <v>784</v>
      </c>
      <c r="S577" s="3">
        <v>0.31</v>
      </c>
      <c r="T577" s="3">
        <v>0</v>
      </c>
      <c r="U577" s="3">
        <v>26</v>
      </c>
      <c r="V577" s="3">
        <v>2</v>
      </c>
      <c r="W577" s="3">
        <v>3.26</v>
      </c>
    </row>
    <row r="578" spans="1:23" x14ac:dyDescent="0.25">
      <c r="A578" s="3" t="s">
        <v>2030</v>
      </c>
      <c r="B578" s="3" t="s">
        <v>1139</v>
      </c>
      <c r="C578" s="3"/>
      <c r="D578" s="3" t="s">
        <v>1140</v>
      </c>
      <c r="E578" s="3">
        <v>173.59</v>
      </c>
      <c r="F578" s="3">
        <v>19.93</v>
      </c>
      <c r="G578" s="3">
        <v>10.43</v>
      </c>
      <c r="H578" s="3">
        <v>0</v>
      </c>
      <c r="I578" s="3">
        <v>0</v>
      </c>
      <c r="J578" s="3">
        <v>3.1</v>
      </c>
      <c r="K578" s="3">
        <v>4.4000000000000004</v>
      </c>
      <c r="L578" s="3">
        <v>2.8</v>
      </c>
      <c r="M578" s="3">
        <v>50</v>
      </c>
      <c r="N578" s="3">
        <v>26</v>
      </c>
      <c r="O578" s="3">
        <v>289</v>
      </c>
      <c r="P578" s="3">
        <v>0.25</v>
      </c>
      <c r="Q578" s="3">
        <v>394</v>
      </c>
      <c r="R578" s="3">
        <v>47</v>
      </c>
      <c r="S578" s="3">
        <v>0.44</v>
      </c>
      <c r="T578" s="3">
        <v>4</v>
      </c>
      <c r="U578" s="3">
        <v>136</v>
      </c>
      <c r="V578" s="3">
        <v>30</v>
      </c>
      <c r="W578" s="3">
        <v>1.3</v>
      </c>
    </row>
    <row r="579" spans="1:23" x14ac:dyDescent="0.25">
      <c r="A579" s="3" t="s">
        <v>2030</v>
      </c>
      <c r="B579" s="3" t="s">
        <v>1141</v>
      </c>
      <c r="C579" s="3"/>
      <c r="D579" s="3" t="s">
        <v>1142</v>
      </c>
      <c r="E579" s="3">
        <v>201.53</v>
      </c>
      <c r="F579" s="3">
        <v>24.62</v>
      </c>
      <c r="G579" s="3">
        <v>11.45</v>
      </c>
      <c r="H579" s="3">
        <v>0</v>
      </c>
      <c r="I579" s="3">
        <v>0</v>
      </c>
      <c r="J579" s="3">
        <v>1.53</v>
      </c>
      <c r="K579" s="3">
        <v>3.87</v>
      </c>
      <c r="L579" s="3">
        <v>5.15</v>
      </c>
      <c r="M579" s="3">
        <v>142</v>
      </c>
      <c r="N579" s="3">
        <v>382</v>
      </c>
      <c r="O579" s="3">
        <v>490</v>
      </c>
      <c r="P579" s="3">
        <v>2.92</v>
      </c>
      <c r="Q579" s="3">
        <v>397</v>
      </c>
      <c r="R579" s="3">
        <v>505</v>
      </c>
      <c r="S579" s="3">
        <v>1.31</v>
      </c>
      <c r="T579" s="3">
        <v>0</v>
      </c>
      <c r="U579" s="3">
        <v>32</v>
      </c>
      <c r="V579" s="3">
        <v>12</v>
      </c>
      <c r="W579" s="3">
        <v>8.94</v>
      </c>
    </row>
    <row r="580" spans="1:23" x14ac:dyDescent="0.25">
      <c r="A580" s="3" t="s">
        <v>2030</v>
      </c>
      <c r="B580" s="3" t="s">
        <v>1143</v>
      </c>
      <c r="C580" s="3"/>
      <c r="D580" s="3" t="s">
        <v>1144</v>
      </c>
      <c r="E580" s="3">
        <v>180.54</v>
      </c>
      <c r="F580" s="3">
        <v>20.86</v>
      </c>
      <c r="G580" s="3">
        <v>10.46</v>
      </c>
      <c r="H580" s="3">
        <v>0.74</v>
      </c>
      <c r="I580" s="3">
        <v>0.1</v>
      </c>
      <c r="J580" s="3">
        <v>2.69</v>
      </c>
      <c r="K580" s="3">
        <v>4.82</v>
      </c>
      <c r="L580" s="3">
        <v>2.11</v>
      </c>
      <c r="M580" s="3">
        <v>61</v>
      </c>
      <c r="N580" s="3">
        <v>240</v>
      </c>
      <c r="O580" s="3">
        <v>366</v>
      </c>
      <c r="P580" s="3">
        <v>2.2999999999999998</v>
      </c>
      <c r="Q580" s="3">
        <v>341</v>
      </c>
      <c r="R580" s="3">
        <v>414</v>
      </c>
      <c r="S580" s="3">
        <v>1.4</v>
      </c>
      <c r="T580" s="3">
        <v>1</v>
      </c>
      <c r="U580" s="3">
        <v>34</v>
      </c>
      <c r="V580" s="3">
        <v>24</v>
      </c>
      <c r="W580" s="3">
        <v>9</v>
      </c>
    </row>
    <row r="581" spans="1:23" x14ac:dyDescent="0.25">
      <c r="A581" s="3" t="s">
        <v>2030</v>
      </c>
      <c r="B581" s="3" t="s">
        <v>1145</v>
      </c>
      <c r="C581" s="3"/>
      <c r="D581" s="3" t="s">
        <v>1146</v>
      </c>
      <c r="E581" s="3">
        <v>128.6</v>
      </c>
      <c r="F581" s="3">
        <v>21.8</v>
      </c>
      <c r="G581" s="3">
        <v>4.5999999999999996</v>
      </c>
      <c r="H581" s="3">
        <v>0</v>
      </c>
      <c r="I581" s="3">
        <v>0</v>
      </c>
      <c r="J581" s="3">
        <v>0.13</v>
      </c>
      <c r="K581" s="3">
        <v>0.09</v>
      </c>
      <c r="L581" s="3">
        <v>0.23</v>
      </c>
      <c r="M581" s="3">
        <v>43</v>
      </c>
      <c r="N581" s="3">
        <v>54</v>
      </c>
      <c r="O581" s="3">
        <v>238</v>
      </c>
      <c r="P581" s="3">
        <v>1.2</v>
      </c>
      <c r="Q581" s="3">
        <v>413</v>
      </c>
      <c r="R581" s="3">
        <v>54</v>
      </c>
      <c r="S581" s="3">
        <v>0.45</v>
      </c>
      <c r="T581" s="3"/>
      <c r="U581" s="3">
        <v>12</v>
      </c>
      <c r="V581" s="3">
        <v>7</v>
      </c>
      <c r="W581" s="3">
        <v>0.91</v>
      </c>
    </row>
    <row r="582" spans="1:23" x14ac:dyDescent="0.25">
      <c r="A582" s="3" t="s">
        <v>2030</v>
      </c>
      <c r="B582" s="3" t="s">
        <v>1147</v>
      </c>
      <c r="C582" s="3"/>
      <c r="D582" s="3" t="s">
        <v>1148</v>
      </c>
      <c r="E582" s="3">
        <v>128.44999999999999</v>
      </c>
      <c r="F582" s="3">
        <v>26.15</v>
      </c>
      <c r="G582" s="3">
        <v>2.65</v>
      </c>
      <c r="H582" s="3">
        <v>0</v>
      </c>
      <c r="I582" s="3">
        <v>0</v>
      </c>
      <c r="J582" s="3">
        <v>0.94</v>
      </c>
      <c r="K582" s="3">
        <v>0.95</v>
      </c>
      <c r="L582" s="3">
        <v>0.6</v>
      </c>
      <c r="M582" s="3">
        <v>57</v>
      </c>
      <c r="N582" s="3">
        <v>14</v>
      </c>
      <c r="O582" s="3">
        <v>204</v>
      </c>
      <c r="P582" s="3">
        <v>0.69</v>
      </c>
      <c r="Q582" s="3">
        <v>380</v>
      </c>
      <c r="R582" s="3">
        <v>56</v>
      </c>
      <c r="S582" s="3">
        <v>0.41</v>
      </c>
      <c r="T582" s="3">
        <v>0</v>
      </c>
      <c r="U582" s="3">
        <v>0</v>
      </c>
      <c r="V582" s="3">
        <v>6</v>
      </c>
      <c r="W582" s="3">
        <v>1.86</v>
      </c>
    </row>
    <row r="583" spans="1:23" x14ac:dyDescent="0.25">
      <c r="A583" s="3" t="s">
        <v>2030</v>
      </c>
      <c r="B583" s="3" t="s">
        <v>1149</v>
      </c>
      <c r="C583" s="3"/>
      <c r="D583" s="3" t="s">
        <v>1150</v>
      </c>
      <c r="E583" s="3">
        <v>95.62</v>
      </c>
      <c r="F583" s="3">
        <v>20.079999999999998</v>
      </c>
      <c r="G583" s="3">
        <v>1.7</v>
      </c>
      <c r="H583" s="3">
        <v>0</v>
      </c>
      <c r="I583" s="3">
        <v>0</v>
      </c>
      <c r="J583" s="3">
        <v>0.56999999999999995</v>
      </c>
      <c r="K583" s="3">
        <v>0.49</v>
      </c>
      <c r="L583" s="3">
        <v>0.39</v>
      </c>
      <c r="M583" s="3">
        <v>50</v>
      </c>
      <c r="N583" s="3">
        <v>10</v>
      </c>
      <c r="O583" s="3">
        <v>170</v>
      </c>
      <c r="P583" s="3">
        <v>0.56000000000000005</v>
      </c>
      <c r="Q583" s="3">
        <v>302</v>
      </c>
      <c r="R583" s="3">
        <v>52</v>
      </c>
      <c r="S583" s="3">
        <v>0.33</v>
      </c>
      <c r="T583" s="3">
        <v>0</v>
      </c>
      <c r="U583" s="3">
        <v>0</v>
      </c>
      <c r="V583" s="3">
        <v>24</v>
      </c>
      <c r="W583" s="3">
        <v>1.58</v>
      </c>
    </row>
    <row r="584" spans="1:23" x14ac:dyDescent="0.25">
      <c r="A584" s="3" t="s">
        <v>2030</v>
      </c>
      <c r="B584" s="3" t="s">
        <v>1151</v>
      </c>
      <c r="C584" s="3"/>
      <c r="D584" s="3" t="s">
        <v>1152</v>
      </c>
      <c r="E584" s="3">
        <v>83.4</v>
      </c>
      <c r="F584" s="3">
        <v>19.5</v>
      </c>
      <c r="G584" s="3">
        <v>0.6</v>
      </c>
      <c r="H584" s="3"/>
      <c r="I584" s="3"/>
      <c r="J584" s="3"/>
      <c r="K584" s="3"/>
      <c r="L584" s="3"/>
      <c r="M584" s="3"/>
      <c r="N584" s="3">
        <v>20</v>
      </c>
      <c r="O584" s="3">
        <v>229</v>
      </c>
      <c r="P584" s="3">
        <v>3.43</v>
      </c>
      <c r="Q584" s="3"/>
      <c r="R584" s="3"/>
      <c r="S584" s="3"/>
      <c r="T584" s="3">
        <v>29.3</v>
      </c>
      <c r="U584" s="3"/>
      <c r="V584" s="3"/>
      <c r="W584" s="3"/>
    </row>
    <row r="585" spans="1:23" x14ac:dyDescent="0.25">
      <c r="A585" s="3" t="s">
        <v>2030</v>
      </c>
      <c r="B585" s="3" t="s">
        <v>1153</v>
      </c>
      <c r="C585" s="3"/>
      <c r="D585" s="3" t="s">
        <v>1154</v>
      </c>
      <c r="E585" s="3">
        <v>142.57</v>
      </c>
      <c r="F585" s="3">
        <v>20.77</v>
      </c>
      <c r="G585" s="3">
        <v>6.61</v>
      </c>
      <c r="H585" s="3">
        <v>0</v>
      </c>
      <c r="I585" s="3">
        <v>0</v>
      </c>
      <c r="J585" s="3">
        <v>1.1499999999999999</v>
      </c>
      <c r="K585" s="3">
        <v>3.25</v>
      </c>
      <c r="L585" s="3">
        <v>1.5</v>
      </c>
      <c r="M585" s="3">
        <v>58</v>
      </c>
      <c r="N585" s="3">
        <v>43</v>
      </c>
      <c r="O585" s="3">
        <v>245</v>
      </c>
      <c r="P585" s="3">
        <v>1.5</v>
      </c>
      <c r="Q585" s="3">
        <v>361</v>
      </c>
      <c r="R585" s="3">
        <v>52</v>
      </c>
      <c r="S585" s="3">
        <v>0.66</v>
      </c>
      <c r="T585" s="3">
        <v>1</v>
      </c>
      <c r="U585" s="3">
        <v>17</v>
      </c>
      <c r="V585" s="3">
        <v>13</v>
      </c>
      <c r="W585" s="3">
        <v>7.79</v>
      </c>
    </row>
    <row r="586" spans="1:23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 spans="1:23" x14ac:dyDescent="0.25">
      <c r="A587" s="3" t="s">
        <v>2031</v>
      </c>
      <c r="B587" s="3" t="s">
        <v>1155</v>
      </c>
      <c r="C587" s="3"/>
      <c r="D587" s="3" t="s">
        <v>1156</v>
      </c>
      <c r="E587" s="3">
        <v>175</v>
      </c>
      <c r="F587" s="3">
        <v>3.33</v>
      </c>
      <c r="G587" s="3">
        <v>15</v>
      </c>
      <c r="H587" s="3">
        <v>6.67</v>
      </c>
      <c r="I587" s="3">
        <v>0</v>
      </c>
      <c r="J587" s="3">
        <v>3.33</v>
      </c>
      <c r="K587" s="3"/>
      <c r="L587" s="3"/>
      <c r="M587" s="3">
        <v>0</v>
      </c>
      <c r="N587" s="3">
        <v>67</v>
      </c>
      <c r="O587" s="3"/>
      <c r="P587" s="3">
        <v>0</v>
      </c>
      <c r="Q587" s="3">
        <v>0</v>
      </c>
      <c r="R587" s="3">
        <v>133</v>
      </c>
      <c r="S587" s="3"/>
      <c r="T587" s="3">
        <v>0</v>
      </c>
      <c r="U587" s="3">
        <v>0</v>
      </c>
      <c r="V587" s="3"/>
      <c r="W587" s="3"/>
    </row>
    <row r="588" spans="1:23" x14ac:dyDescent="0.25">
      <c r="A588" s="3" t="s">
        <v>2031</v>
      </c>
      <c r="B588" s="3" t="s">
        <v>1157</v>
      </c>
      <c r="C588" s="3"/>
      <c r="D588" s="3" t="s">
        <v>1158</v>
      </c>
      <c r="E588" s="3">
        <v>352.6</v>
      </c>
      <c r="F588" s="3">
        <v>2.1</v>
      </c>
      <c r="G588" s="3">
        <v>37</v>
      </c>
      <c r="H588" s="3">
        <v>2.8</v>
      </c>
      <c r="I588" s="3">
        <v>0</v>
      </c>
      <c r="J588" s="3"/>
      <c r="K588" s="3"/>
      <c r="L588" s="3"/>
      <c r="M588" s="3"/>
      <c r="N588" s="3">
        <v>65</v>
      </c>
      <c r="O588" s="3">
        <v>62</v>
      </c>
      <c r="P588" s="3">
        <v>0.1</v>
      </c>
      <c r="Q588" s="3"/>
      <c r="R588" s="3"/>
      <c r="S588" s="3">
        <v>0.23</v>
      </c>
      <c r="T588" s="3">
        <v>0.6</v>
      </c>
      <c r="U588" s="3">
        <v>411</v>
      </c>
      <c r="V588" s="3"/>
      <c r="W588" s="3"/>
    </row>
    <row r="589" spans="1:23" x14ac:dyDescent="0.25">
      <c r="A589" s="3" t="s">
        <v>2031</v>
      </c>
      <c r="B589" s="3" t="s">
        <v>1159</v>
      </c>
      <c r="C589" s="3"/>
      <c r="D589" s="3" t="s">
        <v>1160</v>
      </c>
      <c r="E589" s="3">
        <v>199.3</v>
      </c>
      <c r="F589" s="3">
        <v>2.7</v>
      </c>
      <c r="G589" s="3">
        <v>19.3</v>
      </c>
      <c r="H589" s="3">
        <v>3.7</v>
      </c>
      <c r="I589" s="3"/>
      <c r="J589" s="3"/>
      <c r="K589" s="3"/>
      <c r="L589" s="3"/>
      <c r="M589" s="3"/>
      <c r="N589" s="3">
        <v>96</v>
      </c>
      <c r="O589" s="3">
        <v>80</v>
      </c>
      <c r="P589" s="3">
        <v>0.1</v>
      </c>
      <c r="Q589" s="3"/>
      <c r="R589" s="3"/>
      <c r="S589" s="3">
        <v>0.27</v>
      </c>
      <c r="T589" s="3">
        <v>0.8</v>
      </c>
      <c r="U589" s="3">
        <v>181</v>
      </c>
      <c r="V589" s="3"/>
      <c r="W589" s="3"/>
    </row>
    <row r="590" spans="1:23" x14ac:dyDescent="0.25">
      <c r="A590" s="3" t="s">
        <v>2031</v>
      </c>
      <c r="B590" s="3" t="s">
        <v>1161</v>
      </c>
      <c r="C590" s="3"/>
      <c r="D590" s="3" t="s">
        <v>1162</v>
      </c>
      <c r="E590" s="3">
        <v>352.36</v>
      </c>
      <c r="F590" s="3">
        <v>2.0499999999999998</v>
      </c>
      <c r="G590" s="3">
        <v>37</v>
      </c>
      <c r="H590" s="3">
        <v>2.79</v>
      </c>
      <c r="I590" s="3">
        <v>0</v>
      </c>
      <c r="J590" s="3">
        <v>23.03</v>
      </c>
      <c r="K590" s="3">
        <v>10.69</v>
      </c>
      <c r="L590" s="3">
        <v>1.37</v>
      </c>
      <c r="M590" s="3">
        <v>137</v>
      </c>
      <c r="N590" s="3">
        <v>65</v>
      </c>
      <c r="O590" s="3">
        <v>62</v>
      </c>
      <c r="P590" s="3">
        <v>0.03</v>
      </c>
      <c r="Q590" s="3">
        <v>75</v>
      </c>
      <c r="R590" s="3">
        <v>38</v>
      </c>
      <c r="S590" s="3">
        <v>0.23</v>
      </c>
      <c r="T590" s="3">
        <v>1</v>
      </c>
      <c r="U590" s="3">
        <v>411</v>
      </c>
      <c r="V590" s="3">
        <v>4</v>
      </c>
      <c r="W590" s="3">
        <v>0.18</v>
      </c>
    </row>
    <row r="591" spans="1:23" x14ac:dyDescent="0.25">
      <c r="A591" s="3" t="s">
        <v>2031</v>
      </c>
      <c r="B591" s="3" t="s">
        <v>1163</v>
      </c>
      <c r="C591" s="3"/>
      <c r="D591" s="3" t="s">
        <v>1164</v>
      </c>
      <c r="E591" s="3">
        <v>42.17</v>
      </c>
      <c r="F591" s="3">
        <v>3.37</v>
      </c>
      <c r="G591" s="3">
        <v>0.97</v>
      </c>
      <c r="H591" s="3">
        <v>4.99</v>
      </c>
      <c r="I591" s="3">
        <v>0</v>
      </c>
      <c r="J591" s="3">
        <v>0.63</v>
      </c>
      <c r="K591" s="3">
        <v>0.28000000000000003</v>
      </c>
      <c r="L591" s="3">
        <v>0.04</v>
      </c>
      <c r="M591" s="3">
        <v>5</v>
      </c>
      <c r="N591" s="3">
        <v>119</v>
      </c>
      <c r="O591" s="3">
        <v>95</v>
      </c>
      <c r="P591" s="3">
        <v>0.03</v>
      </c>
      <c r="Q591" s="3">
        <v>150</v>
      </c>
      <c r="R591" s="3">
        <v>44</v>
      </c>
      <c r="S591" s="3">
        <v>0.42</v>
      </c>
      <c r="T591" s="3">
        <v>0</v>
      </c>
      <c r="U591" s="3">
        <v>58</v>
      </c>
      <c r="V591" s="3">
        <v>5</v>
      </c>
      <c r="W591" s="3">
        <v>0.44</v>
      </c>
    </row>
    <row r="592" spans="1:23" x14ac:dyDescent="0.25">
      <c r="A592" s="3" t="s">
        <v>2031</v>
      </c>
      <c r="B592" s="3" t="s">
        <v>1165</v>
      </c>
      <c r="C592" s="3"/>
      <c r="D592" s="3" t="s">
        <v>1166</v>
      </c>
      <c r="E592" s="3">
        <v>69.3</v>
      </c>
      <c r="F592" s="3">
        <v>3.56</v>
      </c>
      <c r="G592" s="3">
        <v>4.1399999999999997</v>
      </c>
      <c r="H592" s="3">
        <v>4.45</v>
      </c>
      <c r="I592" s="3">
        <v>0</v>
      </c>
      <c r="J592" s="3">
        <v>2.67</v>
      </c>
      <c r="K592" s="3">
        <v>1.1100000000000001</v>
      </c>
      <c r="L592" s="3">
        <v>0.15</v>
      </c>
      <c r="M592" s="3">
        <v>11</v>
      </c>
      <c r="N592" s="3">
        <v>134</v>
      </c>
      <c r="O592" s="3">
        <v>111</v>
      </c>
      <c r="P592" s="3">
        <v>0.05</v>
      </c>
      <c r="Q592" s="3">
        <v>204</v>
      </c>
      <c r="R592" s="3">
        <v>50</v>
      </c>
      <c r="S592" s="3">
        <v>0.3</v>
      </c>
      <c r="T592" s="3">
        <v>1.3</v>
      </c>
      <c r="U592" s="3">
        <v>57</v>
      </c>
      <c r="V592" s="3">
        <v>1</v>
      </c>
      <c r="W592" s="3">
        <v>7.0000000000000007E-2</v>
      </c>
    </row>
    <row r="593" spans="1:23" x14ac:dyDescent="0.25">
      <c r="A593" s="3" t="s">
        <v>2031</v>
      </c>
      <c r="B593" s="3" t="s">
        <v>1167</v>
      </c>
      <c r="C593" s="3"/>
      <c r="D593" s="3" t="s">
        <v>1168</v>
      </c>
      <c r="E593" s="3">
        <v>77.58</v>
      </c>
      <c r="F593" s="3">
        <v>2.99</v>
      </c>
      <c r="G593" s="3">
        <v>1.9</v>
      </c>
      <c r="H593" s="3">
        <v>12.13</v>
      </c>
      <c r="I593" s="3">
        <v>0.7</v>
      </c>
      <c r="J593" s="3">
        <v>1.18</v>
      </c>
      <c r="K593" s="3">
        <v>0.46</v>
      </c>
      <c r="L593" s="3">
        <v>0.09</v>
      </c>
      <c r="M593" s="3">
        <v>8</v>
      </c>
      <c r="N593" s="3">
        <v>109</v>
      </c>
      <c r="O593" s="3">
        <v>76</v>
      </c>
      <c r="P593" s="3">
        <v>0.24</v>
      </c>
      <c r="Q593" s="3">
        <v>123</v>
      </c>
      <c r="R593" s="3">
        <v>66</v>
      </c>
      <c r="S593" s="3">
        <v>0.39</v>
      </c>
      <c r="T593" s="3">
        <v>0</v>
      </c>
      <c r="U593" s="3">
        <v>64</v>
      </c>
      <c r="V593" s="3">
        <v>2</v>
      </c>
      <c r="W593" s="3">
        <v>0.33</v>
      </c>
    </row>
    <row r="594" spans="1:23" x14ac:dyDescent="0.25">
      <c r="A594" s="3" t="s">
        <v>2031</v>
      </c>
      <c r="B594" s="3" t="s">
        <v>1169</v>
      </c>
      <c r="C594" s="3"/>
      <c r="D594" s="3" t="s">
        <v>1170</v>
      </c>
      <c r="E594" s="3">
        <v>499.35</v>
      </c>
      <c r="F594" s="3">
        <v>26.32</v>
      </c>
      <c r="G594" s="3">
        <v>26.71</v>
      </c>
      <c r="H594" s="3">
        <v>38.42</v>
      </c>
      <c r="I594" s="3">
        <v>0</v>
      </c>
      <c r="J594" s="3">
        <v>16.739999999999998</v>
      </c>
      <c r="K594" s="3">
        <v>7.92</v>
      </c>
      <c r="L594" s="3">
        <v>0.67</v>
      </c>
      <c r="M594" s="3">
        <v>97</v>
      </c>
      <c r="N594" s="3">
        <v>912</v>
      </c>
      <c r="O594" s="3">
        <v>776</v>
      </c>
      <c r="P594" s="3">
        <v>0.47</v>
      </c>
      <c r="Q594" s="3">
        <v>1330</v>
      </c>
      <c r="R594" s="3">
        <v>371</v>
      </c>
      <c r="S594" s="3">
        <v>3.34</v>
      </c>
      <c r="T594" s="3">
        <v>9</v>
      </c>
      <c r="U594" s="3">
        <v>257</v>
      </c>
      <c r="V594" s="3">
        <v>37</v>
      </c>
      <c r="W594" s="3">
        <v>3.25</v>
      </c>
    </row>
    <row r="595" spans="1:23" x14ac:dyDescent="0.25">
      <c r="A595" s="3" t="s">
        <v>2031</v>
      </c>
      <c r="B595" s="3" t="s">
        <v>1171</v>
      </c>
      <c r="C595" s="3"/>
      <c r="D595" s="3" t="s">
        <v>1172</v>
      </c>
      <c r="E595" s="3">
        <v>135.44</v>
      </c>
      <c r="F595" s="3">
        <v>6.81</v>
      </c>
      <c r="G595" s="3">
        <v>7.56</v>
      </c>
      <c r="H595" s="3">
        <v>10.039999999999999</v>
      </c>
      <c r="I595" s="3">
        <v>0</v>
      </c>
      <c r="J595" s="3">
        <v>4.59</v>
      </c>
      <c r="K595" s="3">
        <v>2.34</v>
      </c>
      <c r="L595" s="3">
        <v>0.25</v>
      </c>
      <c r="M595" s="3">
        <v>29</v>
      </c>
      <c r="N595" s="3">
        <v>261</v>
      </c>
      <c r="O595" s="3">
        <v>203</v>
      </c>
      <c r="P595" s="3">
        <v>0.19</v>
      </c>
      <c r="Q595" s="3">
        <v>303</v>
      </c>
      <c r="R595" s="3">
        <v>106</v>
      </c>
      <c r="S595" s="3">
        <v>0.77</v>
      </c>
      <c r="T595" s="3">
        <v>1.9</v>
      </c>
      <c r="U595" s="3">
        <v>65</v>
      </c>
      <c r="V595" s="3">
        <v>8</v>
      </c>
      <c r="W595" s="3">
        <v>0.16</v>
      </c>
    </row>
    <row r="596" spans="1:23" x14ac:dyDescent="0.25">
      <c r="A596" s="3" t="s">
        <v>2031</v>
      </c>
      <c r="B596" s="3" t="s">
        <v>1173</v>
      </c>
      <c r="C596" s="3"/>
      <c r="D596" s="3" t="s">
        <v>1174</v>
      </c>
      <c r="E596" s="3">
        <v>46.67</v>
      </c>
      <c r="F596" s="3">
        <v>2.92</v>
      </c>
      <c r="G596" s="3">
        <v>1.67</v>
      </c>
      <c r="H596" s="3">
        <v>5</v>
      </c>
      <c r="I596" s="3"/>
      <c r="J596" s="3">
        <v>1.04</v>
      </c>
      <c r="K596" s="3">
        <v>0.42</v>
      </c>
      <c r="L596" s="3">
        <v>0</v>
      </c>
      <c r="M596" s="3">
        <v>7.08</v>
      </c>
      <c r="N596" s="3"/>
      <c r="O596" s="3"/>
      <c r="P596" s="3"/>
      <c r="Q596" s="3"/>
      <c r="R596" s="3">
        <v>66.67</v>
      </c>
      <c r="S596" s="3"/>
      <c r="T596" s="3"/>
      <c r="U596" s="3"/>
      <c r="V596" s="3"/>
      <c r="W596" s="3"/>
    </row>
    <row r="597" spans="1:23" x14ac:dyDescent="0.25">
      <c r="A597" s="3" t="s">
        <v>2031</v>
      </c>
      <c r="B597" s="3" t="s">
        <v>1175</v>
      </c>
      <c r="C597" s="3"/>
      <c r="D597" s="3" t="s">
        <v>1176</v>
      </c>
      <c r="E597" s="3">
        <v>60.21</v>
      </c>
      <c r="F597" s="3">
        <v>3.22</v>
      </c>
      <c r="G597" s="3">
        <v>3.25</v>
      </c>
      <c r="H597" s="3">
        <v>4.5199999999999996</v>
      </c>
      <c r="I597" s="3">
        <v>0</v>
      </c>
      <c r="J597" s="3">
        <v>1.87</v>
      </c>
      <c r="K597" s="3">
        <v>0.81</v>
      </c>
      <c r="L597" s="3">
        <v>0.19</v>
      </c>
      <c r="M597" s="3">
        <v>10</v>
      </c>
      <c r="N597" s="3">
        <v>113</v>
      </c>
      <c r="O597" s="3">
        <v>91</v>
      </c>
      <c r="P597" s="3">
        <v>0.03</v>
      </c>
      <c r="Q597" s="3">
        <v>143</v>
      </c>
      <c r="R597" s="3">
        <v>40</v>
      </c>
      <c r="S597" s="3">
        <v>0.4</v>
      </c>
      <c r="T597" s="3">
        <v>0</v>
      </c>
      <c r="U597" s="3">
        <v>28</v>
      </c>
      <c r="V597" s="3">
        <v>5</v>
      </c>
      <c r="W597" s="3">
        <v>0.44</v>
      </c>
    </row>
    <row r="598" spans="1:23" x14ac:dyDescent="0.25">
      <c r="A598" s="3" t="s">
        <v>2031</v>
      </c>
      <c r="B598" s="3" t="s">
        <v>1177</v>
      </c>
      <c r="C598" s="3"/>
      <c r="D598" s="3" t="s">
        <v>1178</v>
      </c>
      <c r="E598" s="3">
        <v>55</v>
      </c>
      <c r="F598" s="3">
        <v>3</v>
      </c>
      <c r="G598" s="3">
        <v>3</v>
      </c>
      <c r="H598" s="3">
        <v>4</v>
      </c>
      <c r="I598" s="3">
        <v>0</v>
      </c>
      <c r="J598" s="3">
        <v>2</v>
      </c>
      <c r="K598" s="3">
        <v>1</v>
      </c>
      <c r="L598" s="3">
        <v>0</v>
      </c>
      <c r="M598" s="3">
        <v>5</v>
      </c>
      <c r="N598" s="3"/>
      <c r="O598" s="3"/>
      <c r="P598" s="3"/>
      <c r="Q598" s="3"/>
      <c r="R598" s="3">
        <v>95</v>
      </c>
      <c r="S598" s="3"/>
      <c r="T598" s="3"/>
      <c r="U598" s="3"/>
      <c r="V598" s="3"/>
      <c r="W598" s="3"/>
    </row>
    <row r="599" spans="1:23" x14ac:dyDescent="0.25">
      <c r="A599" s="3" t="s">
        <v>2031</v>
      </c>
      <c r="B599" s="3" t="s">
        <v>1179</v>
      </c>
      <c r="C599" s="3"/>
      <c r="D599" s="3" t="s">
        <v>1180</v>
      </c>
      <c r="E599" s="3">
        <v>67.599999999999994</v>
      </c>
      <c r="F599" s="3">
        <v>2.8</v>
      </c>
      <c r="G599" s="3">
        <v>2</v>
      </c>
      <c r="H599" s="3">
        <v>9.6</v>
      </c>
      <c r="I599" s="3">
        <v>0</v>
      </c>
      <c r="J599" s="3">
        <v>0.8</v>
      </c>
      <c r="K599" s="3"/>
      <c r="L599" s="3"/>
      <c r="M599" s="3">
        <v>8</v>
      </c>
      <c r="N599" s="3"/>
      <c r="O599" s="3"/>
      <c r="P599" s="3"/>
      <c r="Q599" s="3"/>
      <c r="R599" s="3">
        <v>50</v>
      </c>
      <c r="S599" s="3"/>
      <c r="T599" s="3"/>
      <c r="U599" s="3"/>
      <c r="V599" s="3"/>
      <c r="W599" s="3"/>
    </row>
    <row r="600" spans="1:23" x14ac:dyDescent="0.25">
      <c r="A600" s="3" t="s">
        <v>2031</v>
      </c>
      <c r="B600" s="3" t="s">
        <v>1181</v>
      </c>
      <c r="C600" s="3"/>
      <c r="D600" s="3" t="s">
        <v>1182</v>
      </c>
      <c r="E600" s="3">
        <v>82.5</v>
      </c>
      <c r="F600" s="3">
        <v>2.5</v>
      </c>
      <c r="G600" s="3">
        <v>2.5</v>
      </c>
      <c r="H600" s="3">
        <v>12.5</v>
      </c>
      <c r="I600" s="3"/>
      <c r="J600" s="3">
        <v>1.5</v>
      </c>
      <c r="K600" s="3">
        <v>1</v>
      </c>
      <c r="L600" s="3">
        <v>0</v>
      </c>
      <c r="M600" s="3">
        <v>10.5</v>
      </c>
      <c r="N600" s="3"/>
      <c r="O600" s="3"/>
      <c r="P600" s="3"/>
      <c r="Q600" s="3"/>
      <c r="R600" s="3">
        <v>80</v>
      </c>
      <c r="S600" s="3"/>
      <c r="T600" s="3"/>
      <c r="U600" s="3"/>
      <c r="V600" s="3"/>
      <c r="W600" s="3"/>
    </row>
    <row r="601" spans="1:23" x14ac:dyDescent="0.25">
      <c r="A601" s="3" t="s">
        <v>2031</v>
      </c>
      <c r="B601" s="3" t="s">
        <v>1183</v>
      </c>
      <c r="C601" s="3"/>
      <c r="D601" s="3" t="s">
        <v>1184</v>
      </c>
      <c r="E601" s="3">
        <v>49.65</v>
      </c>
      <c r="F601" s="3">
        <v>3.3</v>
      </c>
      <c r="G601" s="3">
        <v>1.97</v>
      </c>
      <c r="H601" s="3">
        <v>4.68</v>
      </c>
      <c r="I601" s="3">
        <v>0</v>
      </c>
      <c r="J601" s="3">
        <v>1.26</v>
      </c>
      <c r="K601" s="3">
        <v>0.56000000000000005</v>
      </c>
      <c r="L601" s="3">
        <v>7.0000000000000007E-2</v>
      </c>
      <c r="M601" s="3">
        <v>8</v>
      </c>
      <c r="N601" s="3">
        <v>117</v>
      </c>
      <c r="O601" s="3">
        <v>94</v>
      </c>
      <c r="P601" s="3">
        <v>0.03</v>
      </c>
      <c r="Q601" s="3">
        <v>150</v>
      </c>
      <c r="R601" s="3">
        <v>41</v>
      </c>
      <c r="S601" s="3">
        <v>0.43</v>
      </c>
      <c r="T601" s="3">
        <v>0</v>
      </c>
      <c r="U601" s="3">
        <v>55</v>
      </c>
      <c r="V601" s="3">
        <v>5</v>
      </c>
      <c r="W601" s="3">
        <v>0.46</v>
      </c>
    </row>
    <row r="602" spans="1:23" x14ac:dyDescent="0.25">
      <c r="A602" s="3" t="s">
        <v>2031</v>
      </c>
      <c r="B602" s="3" t="s">
        <v>1185</v>
      </c>
      <c r="C602" s="3"/>
      <c r="D602" s="3" t="s">
        <v>1184</v>
      </c>
      <c r="E602" s="3">
        <v>50.22</v>
      </c>
      <c r="F602" s="3">
        <v>3.3</v>
      </c>
      <c r="G602" s="3">
        <v>1.98</v>
      </c>
      <c r="H602" s="3">
        <v>4.8</v>
      </c>
      <c r="I602" s="3">
        <v>0</v>
      </c>
      <c r="J602" s="3">
        <v>1.26</v>
      </c>
      <c r="K602" s="3">
        <v>0.56000000000000005</v>
      </c>
      <c r="L602" s="3">
        <v>7.0000000000000007E-2</v>
      </c>
      <c r="M602" s="3">
        <v>8</v>
      </c>
      <c r="N602" s="3">
        <v>120</v>
      </c>
      <c r="O602" s="3">
        <v>92</v>
      </c>
      <c r="P602" s="3">
        <v>0.02</v>
      </c>
      <c r="Q602" s="3">
        <v>140</v>
      </c>
      <c r="R602" s="3">
        <v>47</v>
      </c>
      <c r="S602" s="3">
        <v>0.48</v>
      </c>
      <c r="T602" s="3">
        <v>0.2</v>
      </c>
      <c r="U602" s="3">
        <v>55</v>
      </c>
      <c r="V602" s="3">
        <v>5</v>
      </c>
      <c r="W602" s="3">
        <v>0.53</v>
      </c>
    </row>
    <row r="603" spans="1:23" x14ac:dyDescent="0.25">
      <c r="A603" s="3" t="s">
        <v>2031</v>
      </c>
      <c r="B603" s="3" t="s">
        <v>1186</v>
      </c>
      <c r="C603" s="3"/>
      <c r="D603" s="3" t="s">
        <v>1187</v>
      </c>
      <c r="E603" s="3">
        <v>46.67</v>
      </c>
      <c r="F603" s="3">
        <v>2.92</v>
      </c>
      <c r="G603" s="3">
        <v>1.67</v>
      </c>
      <c r="H603" s="3">
        <v>5</v>
      </c>
      <c r="I603" s="3"/>
      <c r="J603" s="3">
        <v>1.04</v>
      </c>
      <c r="K603" s="3">
        <v>0.42</v>
      </c>
      <c r="L603" s="3">
        <v>0</v>
      </c>
      <c r="M603" s="3">
        <v>7.08</v>
      </c>
      <c r="N603" s="3"/>
      <c r="O603" s="3"/>
      <c r="P603" s="3"/>
      <c r="Q603" s="3"/>
      <c r="R603" s="3">
        <v>66.67</v>
      </c>
      <c r="S603" s="3"/>
      <c r="T603" s="3"/>
      <c r="U603" s="3"/>
      <c r="V603" s="3"/>
      <c r="W603" s="3"/>
    </row>
    <row r="604" spans="1:23" x14ac:dyDescent="0.25">
      <c r="A604" s="3" t="s">
        <v>2031</v>
      </c>
      <c r="B604" s="3" t="s">
        <v>1188</v>
      </c>
      <c r="C604" s="3"/>
      <c r="D604" s="3" t="s">
        <v>1189</v>
      </c>
      <c r="E604" s="3">
        <v>450</v>
      </c>
      <c r="F604" s="3">
        <v>19.23</v>
      </c>
      <c r="G604" s="3">
        <v>19.23</v>
      </c>
      <c r="H604" s="3">
        <v>50</v>
      </c>
      <c r="I604" s="3">
        <v>0</v>
      </c>
      <c r="J604" s="3">
        <v>76.92</v>
      </c>
      <c r="K604" s="3"/>
      <c r="L604" s="3"/>
      <c r="M604" s="3">
        <v>76.92</v>
      </c>
      <c r="N604" s="3"/>
      <c r="O604" s="3"/>
      <c r="P604" s="3"/>
      <c r="Q604" s="3"/>
      <c r="R604" s="3">
        <v>269.23</v>
      </c>
      <c r="S604" s="3"/>
      <c r="T604" s="3"/>
      <c r="U604" s="3"/>
      <c r="V604" s="3"/>
      <c r="W604" s="3"/>
    </row>
    <row r="605" spans="1:23" x14ac:dyDescent="0.25">
      <c r="A605" s="3" t="s">
        <v>2031</v>
      </c>
      <c r="B605" s="3" t="s">
        <v>1190</v>
      </c>
      <c r="C605" s="3"/>
      <c r="D605" s="3" t="s">
        <v>1191</v>
      </c>
      <c r="E605" s="3">
        <v>519.35</v>
      </c>
      <c r="F605" s="3">
        <v>16.13</v>
      </c>
      <c r="G605" s="3">
        <v>29.03</v>
      </c>
      <c r="H605" s="3">
        <v>48.39</v>
      </c>
      <c r="I605" s="3"/>
      <c r="J605" s="3">
        <v>16.13</v>
      </c>
      <c r="K605" s="3">
        <v>6.45</v>
      </c>
      <c r="L605" s="3">
        <v>0</v>
      </c>
      <c r="M605" s="3">
        <v>83.87</v>
      </c>
      <c r="N605" s="3"/>
      <c r="O605" s="3"/>
      <c r="P605" s="3"/>
      <c r="Q605" s="3"/>
      <c r="R605" s="3">
        <v>225.81</v>
      </c>
      <c r="S605" s="3"/>
      <c r="T605" s="3"/>
      <c r="U605" s="3"/>
      <c r="V605" s="3"/>
      <c r="W605" s="3"/>
    </row>
    <row r="606" spans="1:23" x14ac:dyDescent="0.25">
      <c r="A606" s="3" t="s">
        <v>2031</v>
      </c>
      <c r="B606" s="3" t="s">
        <v>1192</v>
      </c>
      <c r="C606" s="3"/>
      <c r="D606" s="3" t="s">
        <v>1193</v>
      </c>
      <c r="E606" s="3">
        <v>464.24</v>
      </c>
      <c r="F606" s="3">
        <v>15.21</v>
      </c>
      <c r="G606" s="3">
        <v>20.6</v>
      </c>
      <c r="H606" s="3">
        <v>54.5</v>
      </c>
      <c r="I606" s="3">
        <v>2.8</v>
      </c>
      <c r="J606" s="3">
        <v>7.3</v>
      </c>
      <c r="K606" s="3">
        <v>6.79</v>
      </c>
      <c r="L606" s="3">
        <v>4.5999999999999996</v>
      </c>
      <c r="M606" s="3">
        <v>30.1</v>
      </c>
      <c r="N606" s="3"/>
      <c r="O606" s="3"/>
      <c r="P606" s="3"/>
      <c r="Q606" s="3">
        <v>570</v>
      </c>
      <c r="R606" s="3">
        <v>220</v>
      </c>
      <c r="S606" s="3"/>
      <c r="T606" s="3"/>
      <c r="U606" s="3"/>
      <c r="V606" s="3"/>
      <c r="W606" s="3"/>
    </row>
    <row r="607" spans="1:23" x14ac:dyDescent="0.25">
      <c r="A607" s="3" t="s">
        <v>2031</v>
      </c>
      <c r="B607" s="3" t="s">
        <v>1194</v>
      </c>
      <c r="C607" s="3"/>
      <c r="D607" s="3" t="s">
        <v>1195</v>
      </c>
      <c r="E607" s="3">
        <v>71.099999999999994</v>
      </c>
      <c r="F607" s="3">
        <v>1.03</v>
      </c>
      <c r="G607" s="3">
        <v>4.38</v>
      </c>
      <c r="H607" s="3">
        <v>6.89</v>
      </c>
      <c r="I607" s="3">
        <v>0</v>
      </c>
      <c r="J607" s="3">
        <v>2.0099999999999998</v>
      </c>
      <c r="K607" s="3">
        <v>1.66</v>
      </c>
      <c r="L607" s="3">
        <v>0.5</v>
      </c>
      <c r="M607" s="3">
        <v>14</v>
      </c>
      <c r="N607" s="3">
        <v>32</v>
      </c>
      <c r="O607" s="3">
        <v>14</v>
      </c>
      <c r="P607" s="3">
        <v>0.03</v>
      </c>
      <c r="Q607" s="3">
        <v>51</v>
      </c>
      <c r="R607" s="3">
        <v>17</v>
      </c>
      <c r="S607" s="3">
        <v>0.17</v>
      </c>
      <c r="T607" s="3">
        <v>5</v>
      </c>
      <c r="U607" s="3">
        <v>61</v>
      </c>
      <c r="V607" s="3">
        <v>5</v>
      </c>
      <c r="W607" s="3">
        <v>0.05</v>
      </c>
    </row>
    <row r="608" spans="1:23" x14ac:dyDescent="0.25">
      <c r="A608" s="3" t="s">
        <v>2031</v>
      </c>
      <c r="B608" s="3" t="s">
        <v>1196</v>
      </c>
      <c r="C608" s="3"/>
      <c r="D608" s="3" t="s">
        <v>1197</v>
      </c>
      <c r="E608" s="3">
        <v>354.67</v>
      </c>
      <c r="F608" s="3">
        <v>7.55</v>
      </c>
      <c r="G608" s="3">
        <v>34.869999999999997</v>
      </c>
      <c r="H608" s="3">
        <v>2.66</v>
      </c>
      <c r="I608" s="3">
        <v>0</v>
      </c>
      <c r="J608" s="3">
        <v>21.97</v>
      </c>
      <c r="K608" s="3">
        <v>9.84</v>
      </c>
      <c r="L608" s="3">
        <v>1.26</v>
      </c>
      <c r="M608" s="3">
        <v>110</v>
      </c>
      <c r="N608" s="3">
        <v>80</v>
      </c>
      <c r="O608" s="3">
        <v>104</v>
      </c>
      <c r="P608" s="3">
        <v>1.2</v>
      </c>
      <c r="Q608" s="3">
        <v>119</v>
      </c>
      <c r="R608" s="3">
        <v>296</v>
      </c>
      <c r="S608" s="3">
        <v>0.54</v>
      </c>
      <c r="T608" s="3">
        <v>0</v>
      </c>
      <c r="U608" s="3">
        <v>366</v>
      </c>
      <c r="V608" s="3">
        <v>13</v>
      </c>
      <c r="W608" s="3">
        <v>0.42</v>
      </c>
    </row>
    <row r="609" spans="1:23" x14ac:dyDescent="0.25">
      <c r="A609" s="3" t="s">
        <v>2031</v>
      </c>
      <c r="B609" s="3" t="s">
        <v>1198</v>
      </c>
      <c r="C609" s="3"/>
      <c r="D609" s="3" t="s">
        <v>1199</v>
      </c>
      <c r="E609" s="3">
        <v>260</v>
      </c>
      <c r="F609" s="3">
        <v>13.33</v>
      </c>
      <c r="G609" s="3">
        <v>20</v>
      </c>
      <c r="H609" s="3">
        <v>6.67</v>
      </c>
      <c r="I609" s="3">
        <v>0</v>
      </c>
      <c r="J609" s="3">
        <v>13.33</v>
      </c>
      <c r="K609" s="3">
        <v>6.67</v>
      </c>
      <c r="L609" s="3">
        <v>0</v>
      </c>
      <c r="M609" s="3">
        <v>120</v>
      </c>
      <c r="N609" s="3"/>
      <c r="O609" s="3"/>
      <c r="P609" s="3"/>
      <c r="Q609" s="3"/>
      <c r="R609" s="3">
        <v>533.33000000000004</v>
      </c>
      <c r="S609" s="3"/>
      <c r="T609" s="3"/>
      <c r="U609" s="3"/>
      <c r="V609" s="3"/>
      <c r="W609" s="3"/>
    </row>
    <row r="610" spans="1:23" x14ac:dyDescent="0.25">
      <c r="A610" s="3" t="s">
        <v>2031</v>
      </c>
      <c r="B610" s="3" t="s">
        <v>1200</v>
      </c>
      <c r="C610" s="3"/>
      <c r="D610" s="3" t="s">
        <v>1201</v>
      </c>
      <c r="E610" s="3">
        <v>151.9</v>
      </c>
      <c r="F610" s="3">
        <v>8.3000000000000007</v>
      </c>
      <c r="G610" s="3">
        <v>11.5</v>
      </c>
      <c r="H610" s="3">
        <v>3.8</v>
      </c>
      <c r="I610" s="3">
        <v>0.4</v>
      </c>
      <c r="J610" s="3">
        <v>7.4</v>
      </c>
      <c r="K610" s="3"/>
      <c r="L610" s="3"/>
      <c r="M610" s="3"/>
      <c r="N610" s="3"/>
      <c r="O610" s="3"/>
      <c r="P610" s="3"/>
      <c r="Q610" s="3"/>
      <c r="R610" s="3">
        <v>0.4</v>
      </c>
      <c r="S610" s="3"/>
      <c r="T610" s="3"/>
      <c r="U610" s="3"/>
      <c r="V610" s="3"/>
      <c r="W610" s="3"/>
    </row>
    <row r="611" spans="1:23" x14ac:dyDescent="0.25">
      <c r="A611" s="3" t="s">
        <v>2031</v>
      </c>
      <c r="B611" s="3" t="s">
        <v>1202</v>
      </c>
      <c r="C611" s="3"/>
      <c r="D611" s="3" t="s">
        <v>1203</v>
      </c>
      <c r="E611" s="3">
        <v>353.62</v>
      </c>
      <c r="F611" s="3">
        <v>21.4</v>
      </c>
      <c r="G611" s="3">
        <v>28.74</v>
      </c>
      <c r="H611" s="3">
        <v>2.34</v>
      </c>
      <c r="I611" s="3">
        <v>0</v>
      </c>
      <c r="J611" s="3">
        <v>18.670000000000002</v>
      </c>
      <c r="K611" s="3">
        <v>7.78</v>
      </c>
      <c r="L611" s="3">
        <v>0.8</v>
      </c>
      <c r="M611" s="3">
        <v>75</v>
      </c>
      <c r="N611" s="3">
        <v>528</v>
      </c>
      <c r="O611" s="3">
        <v>387</v>
      </c>
      <c r="P611" s="3">
        <v>0.31</v>
      </c>
      <c r="Q611" s="3">
        <v>256</v>
      </c>
      <c r="R611" s="3">
        <v>1146</v>
      </c>
      <c r="S611" s="3">
        <v>2.66</v>
      </c>
      <c r="T611" s="3">
        <v>0</v>
      </c>
      <c r="U611" s="3">
        <v>198</v>
      </c>
      <c r="V611" s="3">
        <v>36</v>
      </c>
      <c r="W611" s="3">
        <v>1.22</v>
      </c>
    </row>
    <row r="612" spans="1:23" x14ac:dyDescent="0.25">
      <c r="A612" s="3" t="s">
        <v>2031</v>
      </c>
      <c r="B612" s="3" t="s">
        <v>1204</v>
      </c>
      <c r="C612" s="3"/>
      <c r="D612" s="3" t="s">
        <v>1205</v>
      </c>
      <c r="E612" s="3">
        <v>333.92</v>
      </c>
      <c r="F612" s="3">
        <v>20.75</v>
      </c>
      <c r="G612" s="3">
        <v>27.68</v>
      </c>
      <c r="H612" s="3">
        <v>0.45</v>
      </c>
      <c r="I612" s="3">
        <v>0</v>
      </c>
      <c r="J612" s="3">
        <v>17.41</v>
      </c>
      <c r="K612" s="3">
        <v>8.01</v>
      </c>
      <c r="L612" s="3">
        <v>0.83</v>
      </c>
      <c r="M612" s="3">
        <v>100</v>
      </c>
      <c r="N612" s="3">
        <v>184</v>
      </c>
      <c r="O612" s="3">
        <v>188</v>
      </c>
      <c r="P612" s="3">
        <v>0.5</v>
      </c>
      <c r="Q612" s="3">
        <v>152</v>
      </c>
      <c r="R612" s="3">
        <v>629</v>
      </c>
      <c r="S612" s="3">
        <v>2.38</v>
      </c>
      <c r="T612" s="3">
        <v>0</v>
      </c>
      <c r="U612" s="3">
        <v>174</v>
      </c>
      <c r="V612" s="3">
        <v>65</v>
      </c>
      <c r="W612" s="3">
        <v>1.65</v>
      </c>
    </row>
    <row r="613" spans="1:23" x14ac:dyDescent="0.25">
      <c r="A613" s="3" t="s">
        <v>2031</v>
      </c>
      <c r="B613" s="3" t="s">
        <v>1206</v>
      </c>
      <c r="C613" s="3"/>
      <c r="D613" s="3" t="s">
        <v>1207</v>
      </c>
      <c r="E613" s="3">
        <v>299.38</v>
      </c>
      <c r="F613" s="3">
        <v>19.8</v>
      </c>
      <c r="G613" s="3">
        <v>24.26</v>
      </c>
      <c r="H613" s="3">
        <v>0.46</v>
      </c>
      <c r="I613" s="3">
        <v>0</v>
      </c>
      <c r="J613" s="3">
        <v>15.26</v>
      </c>
      <c r="K613" s="3">
        <v>7.02</v>
      </c>
      <c r="L613" s="3">
        <v>0.72</v>
      </c>
      <c r="M613" s="3">
        <v>72</v>
      </c>
      <c r="N613" s="3">
        <v>388</v>
      </c>
      <c r="O613" s="3">
        <v>347</v>
      </c>
      <c r="P613" s="3">
        <v>0.33</v>
      </c>
      <c r="Q613" s="3">
        <v>187</v>
      </c>
      <c r="R613" s="3">
        <v>842</v>
      </c>
      <c r="S613" s="3">
        <v>2.38</v>
      </c>
      <c r="T613" s="3">
        <v>0</v>
      </c>
      <c r="U613" s="3">
        <v>241</v>
      </c>
      <c r="V613" s="3">
        <v>62</v>
      </c>
      <c r="W613" s="3">
        <v>1.3</v>
      </c>
    </row>
    <row r="614" spans="1:23" x14ac:dyDescent="0.25">
      <c r="A614" s="3" t="s">
        <v>2031</v>
      </c>
      <c r="B614" s="3" t="s">
        <v>1208</v>
      </c>
      <c r="C614" s="3"/>
      <c r="D614" s="3" t="s">
        <v>1209</v>
      </c>
      <c r="E614" s="3">
        <v>402.98</v>
      </c>
      <c r="F614" s="3">
        <v>24.9</v>
      </c>
      <c r="G614" s="3">
        <v>33.14</v>
      </c>
      <c r="H614" s="3">
        <v>1.28</v>
      </c>
      <c r="I614" s="3">
        <v>0</v>
      </c>
      <c r="J614" s="3">
        <v>21.09</v>
      </c>
      <c r="K614" s="3">
        <v>9.39</v>
      </c>
      <c r="L614" s="3">
        <v>0.94</v>
      </c>
      <c r="M614" s="3">
        <v>105</v>
      </c>
      <c r="N614" s="3">
        <v>721</v>
      </c>
      <c r="O614" s="3">
        <v>512</v>
      </c>
      <c r="P614" s="3">
        <v>0.68</v>
      </c>
      <c r="Q614" s="3">
        <v>98</v>
      </c>
      <c r="R614" s="3">
        <v>621</v>
      </c>
      <c r="S614" s="3">
        <v>3.11</v>
      </c>
      <c r="T614" s="3">
        <v>0</v>
      </c>
      <c r="U614" s="3">
        <v>265</v>
      </c>
      <c r="V614" s="3">
        <v>18</v>
      </c>
      <c r="W614" s="3">
        <v>0.83</v>
      </c>
    </row>
    <row r="615" spans="1:23" x14ac:dyDescent="0.25">
      <c r="A615" s="3" t="s">
        <v>2031</v>
      </c>
      <c r="B615" s="3" t="s">
        <v>1210</v>
      </c>
      <c r="C615" s="3"/>
      <c r="D615" s="3" t="s">
        <v>1211</v>
      </c>
      <c r="E615" s="3">
        <v>101.27</v>
      </c>
      <c r="F615" s="3">
        <v>12.49</v>
      </c>
      <c r="G615" s="3">
        <v>4.51</v>
      </c>
      <c r="H615" s="3">
        <v>2.68</v>
      </c>
      <c r="I615" s="3">
        <v>0</v>
      </c>
      <c r="J615" s="3">
        <v>2.85</v>
      </c>
      <c r="K615" s="3">
        <v>1.28</v>
      </c>
      <c r="L615" s="3">
        <v>0.14000000000000001</v>
      </c>
      <c r="M615" s="3">
        <v>15</v>
      </c>
      <c r="N615" s="3">
        <v>60</v>
      </c>
      <c r="O615" s="3">
        <v>132</v>
      </c>
      <c r="P615" s="3">
        <v>0.14000000000000001</v>
      </c>
      <c r="Q615" s="3">
        <v>84</v>
      </c>
      <c r="R615" s="3">
        <v>405</v>
      </c>
      <c r="S615" s="3">
        <v>0.37</v>
      </c>
      <c r="T615" s="3">
        <v>0</v>
      </c>
      <c r="U615" s="3">
        <v>44</v>
      </c>
      <c r="V615" s="3">
        <v>12</v>
      </c>
      <c r="W615" s="3">
        <v>0.62</v>
      </c>
    </row>
    <row r="616" spans="1:23" x14ac:dyDescent="0.25">
      <c r="A616" s="3" t="s">
        <v>2031</v>
      </c>
      <c r="B616" s="3" t="s">
        <v>1212</v>
      </c>
      <c r="C616" s="3"/>
      <c r="D616" s="3" t="s">
        <v>1213</v>
      </c>
      <c r="E616" s="3">
        <v>86.85</v>
      </c>
      <c r="F616" s="3">
        <v>13.74</v>
      </c>
      <c r="G616" s="3">
        <v>1.93</v>
      </c>
      <c r="H616" s="3">
        <v>3.63</v>
      </c>
      <c r="I616" s="3">
        <v>0</v>
      </c>
      <c r="J616" s="3">
        <v>1.22</v>
      </c>
      <c r="K616" s="3">
        <v>0.55000000000000004</v>
      </c>
      <c r="L616" s="3">
        <v>0.06</v>
      </c>
      <c r="M616" s="3">
        <v>8</v>
      </c>
      <c r="N616" s="3">
        <v>69</v>
      </c>
      <c r="O616" s="3">
        <v>151</v>
      </c>
      <c r="P616" s="3">
        <v>0.16</v>
      </c>
      <c r="Q616" s="3">
        <v>96</v>
      </c>
      <c r="R616" s="3">
        <v>406</v>
      </c>
      <c r="S616" s="3">
        <v>0.42</v>
      </c>
      <c r="T616" s="3">
        <v>0</v>
      </c>
      <c r="U616" s="3">
        <v>21</v>
      </c>
      <c r="V616" s="3">
        <v>13</v>
      </c>
      <c r="W616" s="3">
        <v>0.71</v>
      </c>
    </row>
    <row r="617" spans="1:23" x14ac:dyDescent="0.25">
      <c r="A617" s="3" t="s">
        <v>2031</v>
      </c>
      <c r="B617" s="3" t="s">
        <v>1214</v>
      </c>
      <c r="C617" s="3"/>
      <c r="D617" s="3" t="s">
        <v>1215</v>
      </c>
      <c r="E617" s="3">
        <v>391.6</v>
      </c>
      <c r="F617" s="3">
        <v>21.4</v>
      </c>
      <c r="G617" s="3">
        <v>34</v>
      </c>
      <c r="H617" s="3">
        <v>0</v>
      </c>
      <c r="I617" s="3"/>
      <c r="J617" s="3">
        <v>23</v>
      </c>
      <c r="K617" s="3"/>
      <c r="L617" s="3"/>
      <c r="M617" s="3"/>
      <c r="N617" s="3"/>
      <c r="O617" s="3"/>
      <c r="P617" s="3"/>
      <c r="Q617" s="3"/>
      <c r="R617" s="3">
        <v>1.6</v>
      </c>
      <c r="S617" s="3"/>
      <c r="T617" s="3"/>
      <c r="U617" s="3"/>
      <c r="V617" s="3"/>
      <c r="W617" s="3"/>
    </row>
    <row r="618" spans="1:23" x14ac:dyDescent="0.25">
      <c r="A618" s="3" t="s">
        <v>2031</v>
      </c>
      <c r="B618" s="3" t="s">
        <v>1216</v>
      </c>
      <c r="C618" s="3"/>
      <c r="D618" s="3" t="s">
        <v>1217</v>
      </c>
      <c r="E618" s="3">
        <v>264.10000000000002</v>
      </c>
      <c r="F618" s="3">
        <v>17.5</v>
      </c>
      <c r="G618" s="3">
        <v>20.100000000000001</v>
      </c>
      <c r="H618" s="3">
        <v>3.3</v>
      </c>
      <c r="I618" s="3"/>
      <c r="J618" s="3"/>
      <c r="K618" s="3"/>
      <c r="L618" s="3"/>
      <c r="M618" s="3"/>
      <c r="N618" s="3">
        <v>783</v>
      </c>
      <c r="O618" s="3">
        <v>375</v>
      </c>
      <c r="P618" s="3">
        <v>1.3</v>
      </c>
      <c r="Q618" s="3"/>
      <c r="R618" s="3"/>
      <c r="S618" s="3"/>
      <c r="T618" s="3">
        <v>0</v>
      </c>
      <c r="U618" s="3">
        <v>420</v>
      </c>
      <c r="V618" s="3"/>
      <c r="W618" s="3"/>
    </row>
    <row r="619" spans="1:23" x14ac:dyDescent="0.25">
      <c r="A619" s="3" t="s">
        <v>2031</v>
      </c>
      <c r="B619" s="3" t="s">
        <v>1218</v>
      </c>
      <c r="C619" s="3"/>
      <c r="D619" s="3" t="s">
        <v>1219</v>
      </c>
      <c r="E619" s="3">
        <v>168.04</v>
      </c>
      <c r="F619" s="3">
        <v>24.35</v>
      </c>
      <c r="G619" s="3">
        <v>7</v>
      </c>
      <c r="H619" s="3">
        <v>1.91</v>
      </c>
      <c r="I619" s="3">
        <v>0</v>
      </c>
      <c r="J619" s="3">
        <v>4.34</v>
      </c>
      <c r="K619" s="3">
        <v>2.08</v>
      </c>
      <c r="L619" s="3">
        <v>0.22</v>
      </c>
      <c r="M619" s="3">
        <v>21</v>
      </c>
      <c r="N619" s="3">
        <v>414</v>
      </c>
      <c r="O619" s="3">
        <v>484</v>
      </c>
      <c r="P619" s="3">
        <v>0.42</v>
      </c>
      <c r="Q619" s="3">
        <v>66</v>
      </c>
      <c r="R619" s="3">
        <v>612</v>
      </c>
      <c r="S619" s="3">
        <v>1.82</v>
      </c>
      <c r="T619" s="3">
        <v>0</v>
      </c>
      <c r="U619" s="3">
        <v>60</v>
      </c>
      <c r="V619" s="3">
        <v>11</v>
      </c>
      <c r="W619" s="3">
        <v>0.49</v>
      </c>
    </row>
    <row r="620" spans="1:23" x14ac:dyDescent="0.25">
      <c r="A620" s="3" t="s">
        <v>2031</v>
      </c>
      <c r="B620" s="3" t="s">
        <v>1220</v>
      </c>
      <c r="C620" s="3"/>
      <c r="D620" s="3" t="s">
        <v>1221</v>
      </c>
      <c r="E620" s="3">
        <v>175.4</v>
      </c>
      <c r="F620" s="3">
        <v>24.6</v>
      </c>
      <c r="G620" s="3">
        <v>7</v>
      </c>
      <c r="H620" s="3">
        <v>3.5</v>
      </c>
      <c r="I620" s="3">
        <v>0</v>
      </c>
      <c r="J620" s="3">
        <v>4.41</v>
      </c>
      <c r="K620" s="3">
        <v>2.0099999999999998</v>
      </c>
      <c r="L620" s="3">
        <v>0.22</v>
      </c>
      <c r="M620" s="3">
        <v>35</v>
      </c>
      <c r="N620" s="3">
        <v>684</v>
      </c>
      <c r="O620" s="3">
        <v>827</v>
      </c>
      <c r="P620" s="3">
        <v>0.43</v>
      </c>
      <c r="Q620" s="3">
        <v>180</v>
      </c>
      <c r="R620" s="3">
        <v>1789</v>
      </c>
      <c r="S620" s="3">
        <v>3.32</v>
      </c>
      <c r="T620" s="3">
        <v>0</v>
      </c>
      <c r="U620" s="3">
        <v>57</v>
      </c>
      <c r="V620" s="3">
        <v>9</v>
      </c>
      <c r="W620" s="3">
        <v>0.77</v>
      </c>
    </row>
    <row r="621" spans="1:23" x14ac:dyDescent="0.25">
      <c r="A621" s="3" t="s">
        <v>2031</v>
      </c>
      <c r="B621" s="3" t="s">
        <v>1222</v>
      </c>
      <c r="C621" s="3"/>
      <c r="D621" s="3" t="s">
        <v>1223</v>
      </c>
      <c r="E621" s="3">
        <v>336.67</v>
      </c>
      <c r="F621" s="3">
        <v>16.670000000000002</v>
      </c>
      <c r="G621" s="3">
        <v>30</v>
      </c>
      <c r="H621" s="3">
        <v>0</v>
      </c>
      <c r="I621" s="3"/>
      <c r="J621" s="3">
        <v>20</v>
      </c>
      <c r="K621" s="3">
        <v>10</v>
      </c>
      <c r="L621" s="3">
        <v>0</v>
      </c>
      <c r="M621" s="3">
        <v>96.67</v>
      </c>
      <c r="N621" s="3"/>
      <c r="O621" s="3"/>
      <c r="P621" s="3"/>
      <c r="Q621" s="3"/>
      <c r="R621" s="3">
        <v>1166.67</v>
      </c>
      <c r="S621" s="3"/>
      <c r="T621" s="3"/>
      <c r="U621" s="3"/>
      <c r="V621" s="3"/>
      <c r="W621" s="3"/>
    </row>
    <row r="622" spans="1:23" x14ac:dyDescent="0.25">
      <c r="A622" s="3" t="s">
        <v>2031</v>
      </c>
      <c r="B622" s="3" t="s">
        <v>1224</v>
      </c>
      <c r="C622" s="3"/>
      <c r="D622" s="3" t="s">
        <v>1225</v>
      </c>
      <c r="E622" s="3">
        <v>355.6</v>
      </c>
      <c r="F622" s="3">
        <v>24.94</v>
      </c>
      <c r="G622" s="3">
        <v>27.44</v>
      </c>
      <c r="H622" s="3">
        <v>2.2200000000000002</v>
      </c>
      <c r="I622" s="3">
        <v>0</v>
      </c>
      <c r="J622" s="3">
        <v>17.61</v>
      </c>
      <c r="K622" s="3">
        <v>7.75</v>
      </c>
      <c r="L622" s="3">
        <v>0.66</v>
      </c>
      <c r="M622" s="3">
        <v>114</v>
      </c>
      <c r="N622" s="3">
        <v>700</v>
      </c>
      <c r="O622" s="3">
        <v>546</v>
      </c>
      <c r="P622" s="3">
        <v>0.24</v>
      </c>
      <c r="Q622" s="3">
        <v>121</v>
      </c>
      <c r="R622" s="3">
        <v>819</v>
      </c>
      <c r="S622" s="3">
        <v>3.9</v>
      </c>
      <c r="T622" s="3">
        <v>0</v>
      </c>
      <c r="U622" s="3">
        <v>165</v>
      </c>
      <c r="V622" s="3">
        <v>21</v>
      </c>
      <c r="W622" s="3">
        <v>1.54</v>
      </c>
    </row>
    <row r="623" spans="1:23" x14ac:dyDescent="0.25">
      <c r="A623" s="3" t="s">
        <v>2031</v>
      </c>
      <c r="B623" s="3" t="s">
        <v>1226</v>
      </c>
      <c r="C623" s="3"/>
      <c r="D623" s="3" t="s">
        <v>1227</v>
      </c>
      <c r="E623" s="3">
        <v>346</v>
      </c>
      <c r="F623" s="3">
        <v>23.5</v>
      </c>
      <c r="G623" s="3">
        <v>28</v>
      </c>
      <c r="H623" s="3">
        <v>0</v>
      </c>
      <c r="I623" s="3"/>
      <c r="J623" s="3">
        <v>19</v>
      </c>
      <c r="K623" s="3"/>
      <c r="L623" s="3"/>
      <c r="M623" s="3"/>
      <c r="N623" s="3"/>
      <c r="O623" s="3"/>
      <c r="P623" s="3"/>
      <c r="Q623" s="3"/>
      <c r="R623" s="3">
        <v>1.9</v>
      </c>
      <c r="S623" s="3"/>
      <c r="T623" s="3"/>
      <c r="U623" s="3"/>
      <c r="V623" s="3"/>
      <c r="W623" s="3"/>
    </row>
    <row r="624" spans="1:23" x14ac:dyDescent="0.25">
      <c r="A624" s="3" t="s">
        <v>2031</v>
      </c>
      <c r="B624" s="3" t="s">
        <v>1228</v>
      </c>
      <c r="C624" s="3"/>
      <c r="D624" s="3" t="s">
        <v>1229</v>
      </c>
      <c r="E624" s="3">
        <v>362.81</v>
      </c>
      <c r="F624" s="3">
        <v>24.99</v>
      </c>
      <c r="G624" s="3">
        <v>28.57</v>
      </c>
      <c r="H624" s="3">
        <v>1.43</v>
      </c>
      <c r="I624" s="3">
        <v>0</v>
      </c>
      <c r="J624" s="3">
        <v>18.670000000000002</v>
      </c>
      <c r="K624" s="3">
        <v>8.1300000000000008</v>
      </c>
      <c r="L624" s="3">
        <v>0.67</v>
      </c>
      <c r="M624" s="3">
        <v>89</v>
      </c>
      <c r="N624" s="3">
        <v>731</v>
      </c>
      <c r="O624" s="3">
        <v>536</v>
      </c>
      <c r="P624" s="3">
        <v>0.44</v>
      </c>
      <c r="Q624" s="3">
        <v>188</v>
      </c>
      <c r="R624" s="3">
        <v>973</v>
      </c>
      <c r="S624" s="3">
        <v>3.75</v>
      </c>
      <c r="T624" s="3">
        <v>0</v>
      </c>
      <c r="U624" s="3">
        <v>243</v>
      </c>
      <c r="V624" s="3">
        <v>16</v>
      </c>
      <c r="W624" s="3">
        <v>1.54</v>
      </c>
    </row>
    <row r="625" spans="1:23" x14ac:dyDescent="0.25">
      <c r="A625" s="3" t="s">
        <v>2031</v>
      </c>
      <c r="B625" s="3" t="s">
        <v>1230</v>
      </c>
      <c r="C625" s="3"/>
      <c r="D625" s="3" t="s">
        <v>1231</v>
      </c>
      <c r="E625" s="3">
        <v>376.67</v>
      </c>
      <c r="F625" s="3">
        <v>26.67</v>
      </c>
      <c r="G625" s="3">
        <v>30</v>
      </c>
      <c r="H625" s="3">
        <v>0</v>
      </c>
      <c r="I625" s="3">
        <v>0</v>
      </c>
      <c r="J625" s="3">
        <v>16.670000000000002</v>
      </c>
      <c r="K625" s="3"/>
      <c r="L625" s="3"/>
      <c r="M625" s="3">
        <v>83.33</v>
      </c>
      <c r="N625" s="3"/>
      <c r="O625" s="3"/>
      <c r="P625" s="3"/>
      <c r="Q625" s="3"/>
      <c r="R625" s="3">
        <v>416.67</v>
      </c>
      <c r="S625" s="3"/>
      <c r="T625" s="3"/>
      <c r="U625" s="3"/>
      <c r="V625" s="3"/>
      <c r="W625" s="3"/>
    </row>
    <row r="626" spans="1:23" x14ac:dyDescent="0.25">
      <c r="A626" s="3" t="s">
        <v>2031</v>
      </c>
      <c r="B626" s="3" t="s">
        <v>1232</v>
      </c>
      <c r="C626" s="3"/>
      <c r="D626" s="3" t="s">
        <v>1233</v>
      </c>
      <c r="E626" s="3">
        <v>360</v>
      </c>
      <c r="F626" s="3">
        <v>26</v>
      </c>
      <c r="G626" s="3">
        <v>28</v>
      </c>
      <c r="H626" s="3">
        <v>1</v>
      </c>
      <c r="I626" s="3"/>
      <c r="J626" s="3">
        <v>18.2</v>
      </c>
      <c r="K626" s="3">
        <v>8</v>
      </c>
      <c r="L626" s="3">
        <v>1.8</v>
      </c>
      <c r="M626" s="3">
        <v>114</v>
      </c>
      <c r="N626" s="3"/>
      <c r="O626" s="3"/>
      <c r="P626" s="3"/>
      <c r="Q626" s="3"/>
      <c r="R626" s="3">
        <v>800</v>
      </c>
      <c r="S626" s="3"/>
      <c r="T626" s="3"/>
      <c r="U626" s="3"/>
      <c r="V626" s="3"/>
      <c r="W626" s="3"/>
    </row>
    <row r="627" spans="1:23" x14ac:dyDescent="0.25">
      <c r="A627" s="3" t="s">
        <v>2031</v>
      </c>
      <c r="B627" s="3" t="s">
        <v>1234</v>
      </c>
      <c r="C627" s="3"/>
      <c r="D627" s="3" t="s">
        <v>1235</v>
      </c>
      <c r="E627" s="3">
        <v>362</v>
      </c>
      <c r="F627" s="3">
        <v>23</v>
      </c>
      <c r="G627" s="3">
        <v>30</v>
      </c>
      <c r="H627" s="3">
        <v>0</v>
      </c>
      <c r="I627" s="3"/>
      <c r="J627" s="3">
        <v>21</v>
      </c>
      <c r="K627" s="3"/>
      <c r="L627" s="3"/>
      <c r="M627" s="3"/>
      <c r="N627" s="3"/>
      <c r="O627" s="3"/>
      <c r="P627" s="3"/>
      <c r="Q627" s="3"/>
      <c r="R627" s="3">
        <v>1.8</v>
      </c>
      <c r="S627" s="3"/>
      <c r="T627" s="3"/>
      <c r="U627" s="3"/>
      <c r="V627" s="3"/>
      <c r="W627" s="3"/>
    </row>
    <row r="628" spans="1:23" x14ac:dyDescent="0.25">
      <c r="A628" s="3" t="s">
        <v>2031</v>
      </c>
      <c r="B628" s="3" t="s">
        <v>1236</v>
      </c>
      <c r="C628" s="3"/>
      <c r="D628" s="3" t="s">
        <v>1237</v>
      </c>
      <c r="E628" s="3">
        <v>435.67</v>
      </c>
      <c r="F628" s="3">
        <v>25</v>
      </c>
      <c r="G628" s="3">
        <v>35.71</v>
      </c>
      <c r="H628" s="3">
        <v>3.57</v>
      </c>
      <c r="I628" s="3">
        <v>0</v>
      </c>
      <c r="J628" s="3">
        <v>28.57</v>
      </c>
      <c r="K628" s="3"/>
      <c r="L628" s="3"/>
      <c r="M628" s="3">
        <v>71</v>
      </c>
      <c r="N628" s="3">
        <v>857</v>
      </c>
      <c r="O628" s="3"/>
      <c r="P628" s="3">
        <v>0</v>
      </c>
      <c r="Q628" s="3"/>
      <c r="R628" s="3">
        <v>643</v>
      </c>
      <c r="S628" s="3"/>
      <c r="T628" s="3">
        <v>0</v>
      </c>
      <c r="U628" s="3">
        <v>536</v>
      </c>
      <c r="V628" s="3"/>
      <c r="W628" s="3"/>
    </row>
    <row r="629" spans="1:23" x14ac:dyDescent="0.25">
      <c r="A629" s="3" t="s">
        <v>2031</v>
      </c>
      <c r="B629" s="3" t="s">
        <v>1238</v>
      </c>
      <c r="C629" s="3"/>
      <c r="D629" s="3" t="s">
        <v>1239</v>
      </c>
      <c r="E629" s="3">
        <v>251.4</v>
      </c>
      <c r="F629" s="3">
        <v>24.26</v>
      </c>
      <c r="G629" s="3">
        <v>15.92</v>
      </c>
      <c r="H629" s="3">
        <v>2.77</v>
      </c>
      <c r="I629" s="3">
        <v>0</v>
      </c>
      <c r="J629" s="3">
        <v>10.11</v>
      </c>
      <c r="K629" s="3">
        <v>4.51</v>
      </c>
      <c r="L629" s="3">
        <v>0.47</v>
      </c>
      <c r="M629" s="3">
        <v>64</v>
      </c>
      <c r="N629" s="3">
        <v>782</v>
      </c>
      <c r="O629" s="3">
        <v>463</v>
      </c>
      <c r="P629" s="3">
        <v>0.22</v>
      </c>
      <c r="Q629" s="3">
        <v>84</v>
      </c>
      <c r="R629" s="3">
        <v>619</v>
      </c>
      <c r="S629" s="3">
        <v>2.76</v>
      </c>
      <c r="T629" s="3">
        <v>0</v>
      </c>
      <c r="U629" s="3">
        <v>127</v>
      </c>
      <c r="V629" s="3">
        <v>9</v>
      </c>
      <c r="W629" s="3">
        <v>0.82</v>
      </c>
    </row>
    <row r="630" spans="1:23" x14ac:dyDescent="0.25">
      <c r="A630" s="3" t="s">
        <v>2031</v>
      </c>
      <c r="B630" s="3" t="s">
        <v>1240</v>
      </c>
      <c r="C630" s="3"/>
      <c r="D630" s="3" t="s">
        <v>1241</v>
      </c>
      <c r="E630" s="3">
        <v>251.4</v>
      </c>
      <c r="F630" s="3">
        <v>24.26</v>
      </c>
      <c r="G630" s="3">
        <v>15.92</v>
      </c>
      <c r="H630" s="3">
        <v>2.77</v>
      </c>
      <c r="I630" s="3">
        <v>0</v>
      </c>
      <c r="J630" s="3">
        <v>10.11</v>
      </c>
      <c r="K630" s="3">
        <v>4.51</v>
      </c>
      <c r="L630" s="3">
        <v>0.47</v>
      </c>
      <c r="M630" s="3">
        <v>64</v>
      </c>
      <c r="N630" s="3">
        <v>782</v>
      </c>
      <c r="O630" s="3">
        <v>463</v>
      </c>
      <c r="P630" s="3">
        <v>0.22</v>
      </c>
      <c r="Q630" s="3">
        <v>84</v>
      </c>
      <c r="R630" s="3">
        <v>619</v>
      </c>
      <c r="S630" s="3">
        <v>2.76</v>
      </c>
      <c r="T630" s="3">
        <v>0</v>
      </c>
      <c r="U630" s="3">
        <v>127</v>
      </c>
      <c r="V630" s="3">
        <v>9</v>
      </c>
      <c r="W630" s="3">
        <v>0.82</v>
      </c>
    </row>
    <row r="631" spans="1:23" x14ac:dyDescent="0.25">
      <c r="A631" s="3" t="s">
        <v>2031</v>
      </c>
      <c r="B631" s="3" t="s">
        <v>1242</v>
      </c>
      <c r="C631" s="3"/>
      <c r="D631" s="3" t="s">
        <v>1243</v>
      </c>
      <c r="E631" s="3">
        <v>298.58999999999997</v>
      </c>
      <c r="F631" s="3">
        <v>22.17</v>
      </c>
      <c r="G631" s="3">
        <v>22.35</v>
      </c>
      <c r="H631" s="3">
        <v>2.19</v>
      </c>
      <c r="I631" s="3">
        <v>0</v>
      </c>
      <c r="J631" s="3">
        <v>13.15</v>
      </c>
      <c r="K631" s="3">
        <v>6.57</v>
      </c>
      <c r="L631" s="3">
        <v>0.76</v>
      </c>
      <c r="M631" s="3">
        <v>79</v>
      </c>
      <c r="N631" s="3">
        <v>505</v>
      </c>
      <c r="O631" s="3">
        <v>354</v>
      </c>
      <c r="P631" s="3">
        <v>0.44</v>
      </c>
      <c r="Q631" s="3">
        <v>76</v>
      </c>
      <c r="R631" s="3">
        <v>627</v>
      </c>
      <c r="S631" s="3">
        <v>2.92</v>
      </c>
      <c r="T631" s="3">
        <v>0</v>
      </c>
      <c r="U631" s="3">
        <v>179</v>
      </c>
      <c r="V631" s="3">
        <v>7</v>
      </c>
      <c r="W631" s="3">
        <v>2.2799999999999998</v>
      </c>
    </row>
    <row r="632" spans="1:23" x14ac:dyDescent="0.25">
      <c r="A632" s="3" t="s">
        <v>2031</v>
      </c>
      <c r="B632" s="3" t="s">
        <v>1244</v>
      </c>
      <c r="C632" s="3"/>
      <c r="D632" s="3" t="s">
        <v>1245</v>
      </c>
      <c r="E632" s="3">
        <v>388.35</v>
      </c>
      <c r="F632" s="3">
        <v>35.75</v>
      </c>
      <c r="G632" s="3">
        <v>25.83</v>
      </c>
      <c r="H632" s="3">
        <v>3.22</v>
      </c>
      <c r="I632" s="3">
        <v>0</v>
      </c>
      <c r="J632" s="3">
        <v>16.41</v>
      </c>
      <c r="K632" s="3">
        <v>7.51</v>
      </c>
      <c r="L632" s="3">
        <v>0.56999999999999995</v>
      </c>
      <c r="M632" s="3">
        <v>68</v>
      </c>
      <c r="N632" s="3">
        <v>1184</v>
      </c>
      <c r="O632" s="3">
        <v>694</v>
      </c>
      <c r="P632" s="3">
        <v>0.82</v>
      </c>
      <c r="Q632" s="3">
        <v>92</v>
      </c>
      <c r="R632" s="3">
        <v>1602</v>
      </c>
      <c r="S632" s="3">
        <v>2.75</v>
      </c>
      <c r="T632" s="3">
        <v>0</v>
      </c>
      <c r="U632" s="3">
        <v>108</v>
      </c>
      <c r="V632" s="3">
        <v>7</v>
      </c>
      <c r="W632" s="3">
        <v>1.2</v>
      </c>
    </row>
    <row r="633" spans="1:23" x14ac:dyDescent="0.25">
      <c r="A633" s="3" t="s">
        <v>2031</v>
      </c>
      <c r="B633" s="3" t="s">
        <v>1246</v>
      </c>
      <c r="C633" s="3"/>
      <c r="D633" s="3" t="s">
        <v>1247</v>
      </c>
      <c r="E633" s="3">
        <v>137.31</v>
      </c>
      <c r="F633" s="3">
        <v>11.39</v>
      </c>
      <c r="G633" s="3">
        <v>7.91</v>
      </c>
      <c r="H633" s="3">
        <v>5.14</v>
      </c>
      <c r="I633" s="3">
        <v>0</v>
      </c>
      <c r="J633" s="3">
        <v>4.93</v>
      </c>
      <c r="K633" s="3">
        <v>2.31</v>
      </c>
      <c r="L633" s="3">
        <v>0.26</v>
      </c>
      <c r="M633" s="3">
        <v>31</v>
      </c>
      <c r="N633" s="3">
        <v>272</v>
      </c>
      <c r="O633" s="3">
        <v>183</v>
      </c>
      <c r="P633" s="3">
        <v>0.44</v>
      </c>
      <c r="Q633" s="3">
        <v>125</v>
      </c>
      <c r="R633" s="3">
        <v>125</v>
      </c>
      <c r="S633" s="3">
        <v>1.34</v>
      </c>
      <c r="T633" s="3">
        <v>0</v>
      </c>
      <c r="U633" s="3">
        <v>107</v>
      </c>
      <c r="V633" s="3">
        <v>13</v>
      </c>
      <c r="W633" s="3">
        <v>0.28999999999999998</v>
      </c>
    </row>
    <row r="634" spans="1:23" x14ac:dyDescent="0.25">
      <c r="A634" s="3" t="s">
        <v>2031</v>
      </c>
      <c r="B634" s="3" t="s">
        <v>1248</v>
      </c>
      <c r="C634" s="3"/>
      <c r="D634" s="3" t="s">
        <v>1249</v>
      </c>
      <c r="E634" s="3">
        <v>174.02</v>
      </c>
      <c r="F634" s="3">
        <v>11.26</v>
      </c>
      <c r="G634" s="3">
        <v>12.98</v>
      </c>
      <c r="H634" s="3">
        <v>3.04</v>
      </c>
      <c r="I634" s="3">
        <v>0</v>
      </c>
      <c r="J634" s="3">
        <v>8.3000000000000007</v>
      </c>
      <c r="K634" s="3">
        <v>3.63</v>
      </c>
      <c r="L634" s="3">
        <v>0.38</v>
      </c>
      <c r="M634" s="3">
        <v>51</v>
      </c>
      <c r="N634" s="3">
        <v>207</v>
      </c>
      <c r="O634" s="3">
        <v>158</v>
      </c>
      <c r="P634" s="3">
        <v>0.38</v>
      </c>
      <c r="Q634" s="3">
        <v>105</v>
      </c>
      <c r="R634" s="3">
        <v>84</v>
      </c>
      <c r="S634" s="3">
        <v>1.1599999999999999</v>
      </c>
      <c r="T634" s="3">
        <v>0</v>
      </c>
      <c r="U634" s="3">
        <v>120</v>
      </c>
      <c r="V634" s="3">
        <v>12</v>
      </c>
      <c r="W634" s="3">
        <v>0.34</v>
      </c>
    </row>
    <row r="635" spans="1:23" x14ac:dyDescent="0.25">
      <c r="A635" s="3" t="s">
        <v>2031</v>
      </c>
      <c r="B635" s="3" t="s">
        <v>1250</v>
      </c>
      <c r="C635" s="3"/>
      <c r="D635" s="3" t="s">
        <v>1251</v>
      </c>
      <c r="E635" s="3">
        <v>369.92</v>
      </c>
      <c r="F635" s="3">
        <v>21.54</v>
      </c>
      <c r="G635" s="3">
        <v>30.64</v>
      </c>
      <c r="H635" s="3">
        <v>2</v>
      </c>
      <c r="I635" s="3">
        <v>0</v>
      </c>
      <c r="J635" s="3">
        <v>19.260000000000002</v>
      </c>
      <c r="K635" s="3">
        <v>8.4700000000000006</v>
      </c>
      <c r="L635" s="3">
        <v>1.32</v>
      </c>
      <c r="M635" s="3">
        <v>90</v>
      </c>
      <c r="N635" s="3">
        <v>662</v>
      </c>
      <c r="O635" s="3">
        <v>392</v>
      </c>
      <c r="P635" s="3">
        <v>0.56000000000000005</v>
      </c>
      <c r="Q635" s="3">
        <v>91</v>
      </c>
      <c r="R635" s="3">
        <v>1809</v>
      </c>
      <c r="S635" s="3">
        <v>2.08</v>
      </c>
      <c r="T635" s="3">
        <v>0</v>
      </c>
      <c r="U635" s="3">
        <v>294</v>
      </c>
      <c r="V635" s="3">
        <v>49</v>
      </c>
      <c r="W635" s="3">
        <v>0.64</v>
      </c>
    </row>
    <row r="636" spans="1:23" x14ac:dyDescent="0.25">
      <c r="A636" s="3" t="s">
        <v>2031</v>
      </c>
      <c r="B636" s="3" t="s">
        <v>1252</v>
      </c>
      <c r="C636" s="3"/>
      <c r="D636" s="3" t="s">
        <v>1253</v>
      </c>
      <c r="E636" s="3">
        <v>332.41</v>
      </c>
      <c r="F636" s="3">
        <v>24.73</v>
      </c>
      <c r="G636" s="3">
        <v>25.01</v>
      </c>
      <c r="H636" s="3">
        <v>2.1</v>
      </c>
      <c r="I636" s="3">
        <v>0</v>
      </c>
      <c r="J636" s="3">
        <v>16.05</v>
      </c>
      <c r="K636" s="3">
        <v>7.05</v>
      </c>
      <c r="L636" s="3">
        <v>0.62</v>
      </c>
      <c r="M636" s="3">
        <v>85</v>
      </c>
      <c r="N636" s="3">
        <v>772</v>
      </c>
      <c r="O636" s="3">
        <v>762</v>
      </c>
      <c r="P636" s="3">
        <v>0.61</v>
      </c>
      <c r="Q636" s="3">
        <v>216</v>
      </c>
      <c r="R636" s="3">
        <v>1370</v>
      </c>
      <c r="S636" s="3">
        <v>3.61</v>
      </c>
      <c r="T636" s="3">
        <v>0</v>
      </c>
      <c r="U636" s="3">
        <v>198</v>
      </c>
      <c r="V636" s="3">
        <v>6</v>
      </c>
      <c r="W636" s="3">
        <v>1.23</v>
      </c>
    </row>
    <row r="637" spans="1:23" x14ac:dyDescent="0.25">
      <c r="A637" s="3" t="s">
        <v>2031</v>
      </c>
      <c r="B637" s="3" t="s">
        <v>1254</v>
      </c>
      <c r="C637" s="3"/>
      <c r="D637" s="3" t="s">
        <v>1255</v>
      </c>
      <c r="E637" s="3">
        <v>235</v>
      </c>
      <c r="F637" s="3">
        <v>18.7</v>
      </c>
      <c r="G637" s="3">
        <v>15.4</v>
      </c>
      <c r="H637" s="3">
        <v>5.4</v>
      </c>
      <c r="I637" s="3"/>
      <c r="J637" s="3"/>
      <c r="K637" s="3"/>
      <c r="L637" s="3"/>
      <c r="M637" s="3"/>
      <c r="N637" s="3">
        <v>718</v>
      </c>
      <c r="O637" s="3">
        <v>385</v>
      </c>
      <c r="P637" s="3">
        <v>1.5</v>
      </c>
      <c r="Q637" s="3"/>
      <c r="R637" s="3"/>
      <c r="S637" s="3"/>
      <c r="T637" s="3">
        <v>0</v>
      </c>
      <c r="U637" s="3">
        <v>153</v>
      </c>
      <c r="V637" s="3"/>
      <c r="W637" s="3"/>
    </row>
    <row r="638" spans="1:23" x14ac:dyDescent="0.25">
      <c r="A638" s="3" t="s">
        <v>2031</v>
      </c>
      <c r="B638" s="3" t="s">
        <v>1256</v>
      </c>
      <c r="C638" s="3"/>
      <c r="D638" s="3" t="s">
        <v>1257</v>
      </c>
      <c r="E638" s="3">
        <v>116.2</v>
      </c>
      <c r="F638" s="3">
        <v>12.3</v>
      </c>
      <c r="G638" s="3">
        <v>3</v>
      </c>
      <c r="H638" s="3">
        <v>10</v>
      </c>
      <c r="I638" s="3"/>
      <c r="J638" s="3">
        <v>4.3</v>
      </c>
      <c r="K638" s="3">
        <v>1.8</v>
      </c>
      <c r="L638" s="3">
        <v>0.2</v>
      </c>
      <c r="M638" s="3">
        <v>25</v>
      </c>
      <c r="N638" s="3">
        <v>92</v>
      </c>
      <c r="O638" s="3"/>
      <c r="P638" s="3">
        <v>0.5</v>
      </c>
      <c r="Q638" s="3">
        <v>54</v>
      </c>
      <c r="R638" s="3">
        <v>450</v>
      </c>
      <c r="S638" s="3">
        <v>0.5</v>
      </c>
      <c r="T638" s="3">
        <v>0</v>
      </c>
      <c r="U638" s="3"/>
      <c r="V638" s="3"/>
      <c r="W638" s="3">
        <v>0.5</v>
      </c>
    </row>
    <row r="639" spans="1:23" x14ac:dyDescent="0.25">
      <c r="A639" s="3" t="s">
        <v>2031</v>
      </c>
      <c r="B639" s="3" t="s">
        <v>1258</v>
      </c>
      <c r="C639" s="3"/>
      <c r="D639" s="3" t="s">
        <v>1259</v>
      </c>
      <c r="E639" s="3">
        <v>140.44</v>
      </c>
      <c r="F639" s="3">
        <v>3.15</v>
      </c>
      <c r="G639" s="3">
        <v>3.68</v>
      </c>
      <c r="H639" s="3">
        <v>23.68</v>
      </c>
      <c r="I639" s="3">
        <v>0</v>
      </c>
      <c r="J639" s="3">
        <v>2.63</v>
      </c>
      <c r="K639" s="3">
        <v>1.05</v>
      </c>
      <c r="L639" s="3">
        <v>0</v>
      </c>
      <c r="M639" s="3">
        <v>11.05</v>
      </c>
      <c r="N639" s="3"/>
      <c r="O639" s="3"/>
      <c r="P639" s="3"/>
      <c r="Q639" s="3"/>
      <c r="R639" s="3">
        <v>100</v>
      </c>
      <c r="S639" s="3"/>
      <c r="T639" s="3"/>
      <c r="U639" s="3"/>
      <c r="V639" s="3"/>
      <c r="W639" s="3"/>
    </row>
    <row r="640" spans="1:23" x14ac:dyDescent="0.25">
      <c r="A640" s="3" t="s">
        <v>2031</v>
      </c>
      <c r="B640" s="3" t="s">
        <v>1260</v>
      </c>
      <c r="C640" s="3"/>
      <c r="D640" s="3" t="s">
        <v>1261</v>
      </c>
      <c r="E640" s="3">
        <v>133.33000000000001</v>
      </c>
      <c r="F640" s="3">
        <v>4</v>
      </c>
      <c r="G640" s="3">
        <v>2.67</v>
      </c>
      <c r="H640" s="3">
        <v>23.33</v>
      </c>
      <c r="I640" s="3"/>
      <c r="J640" s="3">
        <v>2.67</v>
      </c>
      <c r="K640" s="3">
        <v>0.67</v>
      </c>
      <c r="L640" s="3">
        <v>0.67</v>
      </c>
      <c r="M640" s="3">
        <v>18.670000000000002</v>
      </c>
      <c r="N640" s="3"/>
      <c r="O640" s="3"/>
      <c r="P640" s="3"/>
      <c r="Q640" s="3"/>
      <c r="R640" s="3">
        <v>66.67</v>
      </c>
      <c r="S640" s="3"/>
      <c r="T640" s="3"/>
      <c r="U640" s="3"/>
      <c r="V640" s="3"/>
      <c r="W640" s="3"/>
    </row>
    <row r="641" spans="1:23" x14ac:dyDescent="0.25">
      <c r="A641" s="3" t="s">
        <v>2031</v>
      </c>
      <c r="B641" s="3" t="s">
        <v>1262</v>
      </c>
      <c r="C641" s="3"/>
      <c r="D641" s="3" t="s">
        <v>1263</v>
      </c>
      <c r="E641" s="3">
        <v>103.4</v>
      </c>
      <c r="F641" s="3">
        <v>4.37</v>
      </c>
      <c r="G641" s="3">
        <v>1.08</v>
      </c>
      <c r="H641" s="3">
        <v>19.05</v>
      </c>
      <c r="I641" s="3">
        <v>0</v>
      </c>
      <c r="J641" s="3">
        <v>0.7</v>
      </c>
      <c r="K641" s="3">
        <v>0.3</v>
      </c>
      <c r="L641" s="3">
        <v>0.03</v>
      </c>
      <c r="M641" s="3">
        <v>4</v>
      </c>
      <c r="N641" s="3">
        <v>152</v>
      </c>
      <c r="O641" s="3">
        <v>119</v>
      </c>
      <c r="P641" s="3">
        <v>7.0000000000000007E-2</v>
      </c>
      <c r="Q641" s="3">
        <v>195</v>
      </c>
      <c r="R641" s="3">
        <v>58</v>
      </c>
      <c r="S641" s="3">
        <v>0.74</v>
      </c>
      <c r="T641" s="3">
        <v>0.7</v>
      </c>
      <c r="U641" s="3">
        <v>10</v>
      </c>
      <c r="V641" s="3">
        <v>9</v>
      </c>
      <c r="W641" s="3">
        <v>0.47</v>
      </c>
    </row>
    <row r="642" spans="1:23" x14ac:dyDescent="0.25">
      <c r="A642" s="3" t="s">
        <v>2031</v>
      </c>
      <c r="B642" s="3" t="s">
        <v>1264</v>
      </c>
      <c r="C642" s="3"/>
      <c r="D642" s="3" t="s">
        <v>1265</v>
      </c>
      <c r="E642" s="3">
        <v>100.83</v>
      </c>
      <c r="F642" s="3">
        <v>3.98</v>
      </c>
      <c r="G642" s="3">
        <v>1.1499999999999999</v>
      </c>
      <c r="H642" s="3">
        <v>18.64</v>
      </c>
      <c r="I642" s="3">
        <v>0</v>
      </c>
      <c r="J642" s="3">
        <v>0.74</v>
      </c>
      <c r="K642" s="3">
        <v>0.32</v>
      </c>
      <c r="L642" s="3">
        <v>0.03</v>
      </c>
      <c r="M642" s="3">
        <v>5</v>
      </c>
      <c r="N642" s="3">
        <v>138</v>
      </c>
      <c r="O642" s="3">
        <v>109</v>
      </c>
      <c r="P642" s="3">
        <v>0.06</v>
      </c>
      <c r="Q642" s="3">
        <v>177</v>
      </c>
      <c r="R642" s="3">
        <v>53</v>
      </c>
      <c r="S642" s="3">
        <v>0.67</v>
      </c>
      <c r="T642" s="3">
        <v>1</v>
      </c>
      <c r="U642" s="3">
        <v>11</v>
      </c>
      <c r="V642" s="3">
        <v>9</v>
      </c>
      <c r="W642" s="3">
        <v>0.43</v>
      </c>
    </row>
    <row r="643" spans="1:23" x14ac:dyDescent="0.25">
      <c r="A643" s="3" t="s">
        <v>2031</v>
      </c>
      <c r="B643" s="3" t="s">
        <v>1266</v>
      </c>
      <c r="C643" s="3"/>
      <c r="D643" s="3" t="s">
        <v>1267</v>
      </c>
      <c r="E643" s="3">
        <v>112</v>
      </c>
      <c r="F643" s="3">
        <v>3.5</v>
      </c>
      <c r="G643" s="3">
        <v>4</v>
      </c>
      <c r="H643" s="3">
        <v>15.5</v>
      </c>
      <c r="I643" s="3">
        <v>0</v>
      </c>
      <c r="J643" s="3">
        <v>2.5</v>
      </c>
      <c r="K643" s="3">
        <v>1</v>
      </c>
      <c r="L643" s="3">
        <v>0.5</v>
      </c>
      <c r="M643" s="3">
        <v>9</v>
      </c>
      <c r="N643" s="3"/>
      <c r="O643" s="3"/>
      <c r="P643" s="3"/>
      <c r="Q643" s="3"/>
      <c r="R643" s="3">
        <v>75</v>
      </c>
      <c r="S643" s="3"/>
      <c r="T643" s="3"/>
      <c r="U643" s="3"/>
      <c r="V643" s="3"/>
      <c r="W643" s="3"/>
    </row>
    <row r="644" spans="1:23" x14ac:dyDescent="0.25">
      <c r="A644" s="3" t="s">
        <v>2031</v>
      </c>
      <c r="B644" s="3" t="s">
        <v>1268</v>
      </c>
      <c r="C644" s="3"/>
      <c r="D644" s="3" t="s">
        <v>1269</v>
      </c>
      <c r="E644" s="3">
        <v>63.72</v>
      </c>
      <c r="F644" s="3">
        <v>3.33</v>
      </c>
      <c r="G644" s="3">
        <v>2.08</v>
      </c>
      <c r="H644" s="3">
        <v>7.92</v>
      </c>
      <c r="I644" s="3">
        <v>0</v>
      </c>
      <c r="J644" s="3">
        <v>1.42</v>
      </c>
      <c r="K644" s="3"/>
      <c r="L644" s="3"/>
      <c r="M644" s="3">
        <v>8</v>
      </c>
      <c r="N644" s="3">
        <v>125</v>
      </c>
      <c r="O644" s="3"/>
      <c r="P644" s="3">
        <v>0</v>
      </c>
      <c r="Q644" s="3"/>
      <c r="R644" s="3">
        <v>40</v>
      </c>
      <c r="S644" s="3"/>
      <c r="T644" s="3">
        <v>0</v>
      </c>
      <c r="U644" s="3">
        <v>37.5</v>
      </c>
      <c r="V644" s="3"/>
      <c r="W644" s="3"/>
    </row>
    <row r="645" spans="1:23" x14ac:dyDescent="0.25">
      <c r="A645" s="3" t="s">
        <v>2031</v>
      </c>
      <c r="B645" s="3" t="s">
        <v>1270</v>
      </c>
      <c r="C645" s="3"/>
      <c r="D645" s="3" t="s">
        <v>1271</v>
      </c>
      <c r="E645" s="3">
        <v>55.26</v>
      </c>
      <c r="F645" s="3">
        <v>5.73</v>
      </c>
      <c r="G645" s="3">
        <v>0.18</v>
      </c>
      <c r="H645" s="3">
        <v>7.68</v>
      </c>
      <c r="I645" s="3">
        <v>0</v>
      </c>
      <c r="J645" s="3">
        <v>0.12</v>
      </c>
      <c r="K645" s="3">
        <v>0.05</v>
      </c>
      <c r="L645" s="3">
        <v>0</v>
      </c>
      <c r="M645" s="3">
        <v>2</v>
      </c>
      <c r="N645" s="3">
        <v>199</v>
      </c>
      <c r="O645" s="3">
        <v>157</v>
      </c>
      <c r="P645" s="3">
        <v>0.09</v>
      </c>
      <c r="Q645" s="3">
        <v>255</v>
      </c>
      <c r="R645" s="3">
        <v>77</v>
      </c>
      <c r="S645" s="3">
        <v>0.97</v>
      </c>
      <c r="T645" s="3">
        <v>1</v>
      </c>
      <c r="U645" s="3">
        <v>2</v>
      </c>
      <c r="V645" s="3">
        <v>12</v>
      </c>
      <c r="W645" s="3">
        <v>0.61</v>
      </c>
    </row>
    <row r="646" spans="1:23" x14ac:dyDescent="0.25">
      <c r="A646" s="3" t="s">
        <v>2031</v>
      </c>
      <c r="B646" s="3" t="s">
        <v>1272</v>
      </c>
      <c r="C646" s="3"/>
      <c r="D646" s="3" t="s">
        <v>1273</v>
      </c>
      <c r="E646" s="3">
        <v>61.77</v>
      </c>
      <c r="F646" s="3">
        <v>3.47</v>
      </c>
      <c r="G646" s="3">
        <v>3.25</v>
      </c>
      <c r="H646" s="3">
        <v>4.66</v>
      </c>
      <c r="I646" s="3">
        <v>0</v>
      </c>
      <c r="J646" s="3">
        <v>2.1</v>
      </c>
      <c r="K646" s="3">
        <v>0.89</v>
      </c>
      <c r="L646" s="3">
        <v>0.09</v>
      </c>
      <c r="M646" s="3">
        <v>13</v>
      </c>
      <c r="N646" s="3">
        <v>121</v>
      </c>
      <c r="O646" s="3">
        <v>95</v>
      </c>
      <c r="P646" s="3">
        <v>0.05</v>
      </c>
      <c r="Q646" s="3">
        <v>155</v>
      </c>
      <c r="R646" s="3">
        <v>46</v>
      </c>
      <c r="S646" s="3">
        <v>0.59</v>
      </c>
      <c r="T646" s="3">
        <v>1</v>
      </c>
      <c r="U646" s="3">
        <v>27</v>
      </c>
      <c r="V646" s="3">
        <v>7</v>
      </c>
      <c r="W646" s="3">
        <v>0.37</v>
      </c>
    </row>
    <row r="647" spans="1:23" x14ac:dyDescent="0.25">
      <c r="A647" s="3" t="s">
        <v>2031</v>
      </c>
      <c r="B647" s="3" t="s">
        <v>1274</v>
      </c>
      <c r="C647" s="3"/>
      <c r="D647" s="3" t="s">
        <v>1275</v>
      </c>
      <c r="E647" s="3">
        <v>64</v>
      </c>
      <c r="F647" s="3">
        <v>3.33</v>
      </c>
      <c r="G647" s="3">
        <v>2.67</v>
      </c>
      <c r="H647" s="3">
        <v>6.67</v>
      </c>
      <c r="I647" s="3">
        <v>0</v>
      </c>
      <c r="J647" s="3">
        <v>0.67</v>
      </c>
      <c r="K647" s="3">
        <v>0.67</v>
      </c>
      <c r="L647" s="3">
        <v>0.67</v>
      </c>
      <c r="M647" s="3">
        <v>8.67</v>
      </c>
      <c r="N647" s="3"/>
      <c r="O647" s="3"/>
      <c r="P647" s="3"/>
      <c r="Q647" s="3"/>
      <c r="R647" s="3">
        <v>53.33</v>
      </c>
      <c r="S647" s="3"/>
      <c r="T647" s="3"/>
      <c r="U647" s="3"/>
      <c r="V647" s="3"/>
      <c r="W647" s="3"/>
    </row>
    <row r="648" spans="1:23" x14ac:dyDescent="0.25">
      <c r="A648" s="3" t="s">
        <v>2031</v>
      </c>
      <c r="B648" s="3" t="s">
        <v>1276</v>
      </c>
      <c r="C648" s="3"/>
      <c r="D648" s="3" t="s">
        <v>1277</v>
      </c>
      <c r="E648" s="3">
        <v>65</v>
      </c>
      <c r="F648" s="3">
        <v>8</v>
      </c>
      <c r="G648" s="3">
        <v>1</v>
      </c>
      <c r="H648" s="3">
        <v>6</v>
      </c>
      <c r="I648" s="3">
        <v>0</v>
      </c>
      <c r="J648" s="3">
        <v>0.67</v>
      </c>
      <c r="K648" s="3">
        <v>0.33</v>
      </c>
      <c r="L648" s="3">
        <v>0</v>
      </c>
      <c r="M648" s="3">
        <v>6</v>
      </c>
      <c r="N648" s="3"/>
      <c r="O648" s="3"/>
      <c r="P648" s="3"/>
      <c r="Q648" s="3"/>
      <c r="R648" s="3">
        <v>46.67</v>
      </c>
      <c r="S648" s="3"/>
      <c r="T648" s="3"/>
      <c r="U648" s="3"/>
      <c r="V648" s="3"/>
      <c r="W648" s="3"/>
    </row>
    <row r="649" spans="1:23" x14ac:dyDescent="0.25">
      <c r="A649" s="3" t="s">
        <v>2031</v>
      </c>
      <c r="B649" s="3" t="s">
        <v>1278</v>
      </c>
      <c r="C649" s="3"/>
      <c r="D649" s="3" t="s">
        <v>1279</v>
      </c>
      <c r="E649" s="3">
        <v>83.33</v>
      </c>
      <c r="F649" s="3">
        <v>2.5</v>
      </c>
      <c r="G649" s="3">
        <v>1.67</v>
      </c>
      <c r="H649" s="3">
        <v>14.58</v>
      </c>
      <c r="I649" s="3"/>
      <c r="J649" s="3">
        <v>0.83</v>
      </c>
      <c r="K649" s="3">
        <v>0.42</v>
      </c>
      <c r="L649" s="3">
        <v>0</v>
      </c>
      <c r="M649" s="3">
        <v>7.08</v>
      </c>
      <c r="N649" s="3"/>
      <c r="O649" s="3"/>
      <c r="P649" s="3"/>
      <c r="Q649" s="3"/>
      <c r="R649" s="3">
        <v>56.25</v>
      </c>
      <c r="S649" s="3"/>
      <c r="T649" s="3"/>
      <c r="U649" s="3"/>
      <c r="V649" s="3"/>
      <c r="W649" s="3"/>
    </row>
    <row r="650" spans="1:23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 spans="1:23" x14ac:dyDescent="0.25">
      <c r="A651" s="3" t="s">
        <v>2032</v>
      </c>
      <c r="B651" s="3" t="s">
        <v>1280</v>
      </c>
      <c r="C651" s="3"/>
      <c r="D651" s="3" t="s">
        <v>1281</v>
      </c>
      <c r="E651" s="3">
        <v>900</v>
      </c>
      <c r="F651" s="3">
        <v>0</v>
      </c>
      <c r="G651" s="3">
        <v>100</v>
      </c>
      <c r="H651" s="3">
        <v>0</v>
      </c>
      <c r="I651" s="3">
        <v>0</v>
      </c>
      <c r="J651" s="3">
        <v>11.56</v>
      </c>
      <c r="K651" s="3">
        <v>70.55</v>
      </c>
      <c r="L651" s="3">
        <v>13.49</v>
      </c>
      <c r="M651" s="3"/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</row>
    <row r="652" spans="1:23" x14ac:dyDescent="0.25">
      <c r="A652" s="3" t="s">
        <v>2032</v>
      </c>
      <c r="B652" s="3" t="s">
        <v>1282</v>
      </c>
      <c r="C652" s="3"/>
      <c r="D652" s="3" t="s">
        <v>1283</v>
      </c>
      <c r="E652" s="3">
        <v>900</v>
      </c>
      <c r="F652" s="3">
        <v>0</v>
      </c>
      <c r="G652" s="3">
        <v>100</v>
      </c>
      <c r="H652" s="3">
        <v>0</v>
      </c>
      <c r="I652" s="3">
        <v>0</v>
      </c>
      <c r="J652" s="3">
        <v>14.2</v>
      </c>
      <c r="K652" s="3">
        <v>39.700000000000003</v>
      </c>
      <c r="L652" s="3">
        <v>41.7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</row>
    <row r="653" spans="1:23" x14ac:dyDescent="0.25">
      <c r="A653" s="3" t="s">
        <v>2032</v>
      </c>
      <c r="B653" s="3" t="s">
        <v>1284</v>
      </c>
      <c r="C653" s="3"/>
      <c r="D653" s="3" t="s">
        <v>1285</v>
      </c>
      <c r="E653" s="3">
        <v>900</v>
      </c>
      <c r="F653" s="3">
        <v>0</v>
      </c>
      <c r="G653" s="3">
        <v>100</v>
      </c>
      <c r="H653" s="3">
        <v>0</v>
      </c>
      <c r="I653" s="3">
        <v>0</v>
      </c>
      <c r="J653" s="3">
        <v>8.1999999999999993</v>
      </c>
      <c r="K653" s="3">
        <v>69.900000000000006</v>
      </c>
      <c r="L653" s="3">
        <v>17.399999999999999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</row>
    <row r="654" spans="1:23" x14ac:dyDescent="0.25">
      <c r="A654" s="3" t="s">
        <v>2032</v>
      </c>
      <c r="B654" s="3" t="s">
        <v>1286</v>
      </c>
      <c r="C654" s="3"/>
      <c r="D654" s="3" t="s">
        <v>1287</v>
      </c>
      <c r="E654" s="3">
        <v>900</v>
      </c>
      <c r="F654" s="3">
        <v>0</v>
      </c>
      <c r="G654" s="3">
        <v>100</v>
      </c>
      <c r="H654" s="3">
        <v>0</v>
      </c>
      <c r="I654" s="3">
        <v>0</v>
      </c>
      <c r="J654" s="3">
        <v>7.37</v>
      </c>
      <c r="K654" s="3">
        <v>63.28</v>
      </c>
      <c r="L654" s="3">
        <v>28.14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</row>
    <row r="655" spans="1:23" x14ac:dyDescent="0.25">
      <c r="A655" s="3" t="s">
        <v>2032</v>
      </c>
      <c r="B655" s="3" t="s">
        <v>1288</v>
      </c>
      <c r="C655" s="3"/>
      <c r="D655" s="3" t="s">
        <v>1289</v>
      </c>
      <c r="E655" s="3">
        <v>900</v>
      </c>
      <c r="F655" s="3">
        <v>0</v>
      </c>
      <c r="G655" s="3">
        <v>100</v>
      </c>
      <c r="H655" s="3">
        <v>0</v>
      </c>
      <c r="I655" s="3">
        <v>0</v>
      </c>
      <c r="J655" s="3">
        <v>86.5</v>
      </c>
      <c r="K655" s="3">
        <v>5.8</v>
      </c>
      <c r="L655" s="3">
        <v>1.8</v>
      </c>
      <c r="M655" s="3">
        <v>0</v>
      </c>
      <c r="N655" s="3">
        <v>0</v>
      </c>
      <c r="O655" s="3">
        <v>0</v>
      </c>
      <c r="P655" s="3">
        <v>0.04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</row>
    <row r="656" spans="1:23" x14ac:dyDescent="0.25">
      <c r="A656" s="3" t="s">
        <v>2032</v>
      </c>
      <c r="B656" s="3" t="s">
        <v>1290</v>
      </c>
      <c r="C656" s="3"/>
      <c r="D656" s="3" t="s">
        <v>1291</v>
      </c>
      <c r="E656" s="3">
        <v>900</v>
      </c>
      <c r="F656" s="3">
        <v>0</v>
      </c>
      <c r="G656" s="3">
        <v>100</v>
      </c>
      <c r="H656" s="3">
        <v>0</v>
      </c>
      <c r="I656" s="3">
        <v>0</v>
      </c>
      <c r="J656" s="3">
        <v>10.1</v>
      </c>
      <c r="K656" s="3">
        <v>45.4</v>
      </c>
      <c r="L656" s="3">
        <v>40.1</v>
      </c>
      <c r="M656" s="3">
        <v>0</v>
      </c>
      <c r="N656" s="3">
        <v>0</v>
      </c>
      <c r="O656" s="3">
        <v>0</v>
      </c>
      <c r="P656" s="3">
        <v>0.03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</row>
    <row r="657" spans="1:23" x14ac:dyDescent="0.25">
      <c r="A657" s="3" t="s">
        <v>2032</v>
      </c>
      <c r="B657" s="3" t="s">
        <v>1292</v>
      </c>
      <c r="C657" s="3"/>
      <c r="D657" s="3" t="s">
        <v>1293</v>
      </c>
      <c r="E657" s="3">
        <v>900</v>
      </c>
      <c r="F657" s="3">
        <v>0</v>
      </c>
      <c r="G657" s="3">
        <v>100</v>
      </c>
      <c r="H657" s="3">
        <v>0</v>
      </c>
      <c r="I657" s="3">
        <v>0</v>
      </c>
      <c r="J657" s="3">
        <v>12.95</v>
      </c>
      <c r="K657" s="3">
        <v>27.58</v>
      </c>
      <c r="L657" s="3">
        <v>54.68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</row>
    <row r="658" spans="1:23" x14ac:dyDescent="0.25">
      <c r="A658" s="3" t="s">
        <v>2032</v>
      </c>
      <c r="B658" s="3" t="s">
        <v>1294</v>
      </c>
      <c r="C658" s="3"/>
      <c r="D658" s="3" t="s">
        <v>1295</v>
      </c>
      <c r="E658" s="3">
        <v>900</v>
      </c>
      <c r="F658" s="3">
        <v>0</v>
      </c>
      <c r="G658" s="3">
        <v>100</v>
      </c>
      <c r="H658" s="3">
        <v>0</v>
      </c>
      <c r="I658" s="3">
        <v>0</v>
      </c>
      <c r="J658" s="3">
        <v>9.1</v>
      </c>
      <c r="K658" s="3">
        <v>22.8</v>
      </c>
      <c r="L658" s="3">
        <v>63.3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</row>
    <row r="659" spans="1:23" x14ac:dyDescent="0.25">
      <c r="A659" s="3" t="s">
        <v>2032</v>
      </c>
      <c r="B659" s="3" t="s">
        <v>1296</v>
      </c>
      <c r="C659" s="3"/>
      <c r="D659" s="3" t="s">
        <v>1297</v>
      </c>
      <c r="E659" s="3">
        <v>900</v>
      </c>
      <c r="F659" s="3">
        <v>0</v>
      </c>
      <c r="G659" s="3">
        <v>100</v>
      </c>
      <c r="H659" s="3">
        <v>0</v>
      </c>
      <c r="I659" s="3">
        <v>0</v>
      </c>
      <c r="J659" s="3">
        <v>13.81</v>
      </c>
      <c r="K659" s="3">
        <v>72.959999999999994</v>
      </c>
      <c r="L659" s="3">
        <v>10.52</v>
      </c>
      <c r="M659" s="3">
        <v>0</v>
      </c>
      <c r="N659" s="3">
        <v>1</v>
      </c>
      <c r="O659" s="3">
        <v>0</v>
      </c>
      <c r="P659" s="3">
        <v>0.56000000000000005</v>
      </c>
      <c r="Q659" s="3">
        <v>1</v>
      </c>
      <c r="R659" s="3">
        <v>2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</row>
    <row r="660" spans="1:23" x14ac:dyDescent="0.25">
      <c r="A660" s="3" t="s">
        <v>2032</v>
      </c>
      <c r="B660" s="3" t="s">
        <v>1298</v>
      </c>
      <c r="C660" s="3"/>
      <c r="D660" s="3" t="s">
        <v>1299</v>
      </c>
      <c r="E660" s="3">
        <v>900</v>
      </c>
      <c r="F660" s="3">
        <v>0</v>
      </c>
      <c r="G660" s="3">
        <v>100</v>
      </c>
      <c r="H660" s="3">
        <v>0</v>
      </c>
      <c r="I660" s="3">
        <v>0</v>
      </c>
      <c r="J660" s="3">
        <v>49.3</v>
      </c>
      <c r="K660" s="3">
        <v>37</v>
      </c>
      <c r="L660" s="3">
        <v>9.3000000000000007</v>
      </c>
      <c r="M660" s="3">
        <v>0</v>
      </c>
      <c r="N660" s="3">
        <v>0</v>
      </c>
      <c r="O660" s="3">
        <v>0</v>
      </c>
      <c r="P660" s="3">
        <v>0.01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</row>
    <row r="661" spans="1:23" x14ac:dyDescent="0.25">
      <c r="A661" s="3" t="s">
        <v>2032</v>
      </c>
      <c r="B661" s="3" t="s">
        <v>1300</v>
      </c>
      <c r="C661" s="3"/>
      <c r="D661" s="3" t="s">
        <v>1301</v>
      </c>
      <c r="E661" s="3">
        <v>900</v>
      </c>
      <c r="F661" s="3">
        <v>0</v>
      </c>
      <c r="G661" s="3">
        <v>100</v>
      </c>
      <c r="H661" s="3">
        <v>0</v>
      </c>
      <c r="I661" s="3">
        <v>0</v>
      </c>
      <c r="J661" s="3">
        <v>14.4</v>
      </c>
      <c r="K661" s="3">
        <v>23.3</v>
      </c>
      <c r="L661" s="3">
        <v>57.9</v>
      </c>
      <c r="M661" s="3">
        <v>0</v>
      </c>
      <c r="N661" s="3">
        <v>0</v>
      </c>
      <c r="O661" s="3">
        <v>0</v>
      </c>
      <c r="P661" s="3">
        <v>0.02</v>
      </c>
      <c r="Q661" s="3">
        <v>0</v>
      </c>
      <c r="R661" s="3">
        <v>0</v>
      </c>
      <c r="S661" s="3">
        <v>0.01</v>
      </c>
      <c r="T661" s="3">
        <v>0</v>
      </c>
      <c r="U661" s="3">
        <v>0</v>
      </c>
      <c r="V661" s="3">
        <v>0</v>
      </c>
      <c r="W661" s="3">
        <v>0</v>
      </c>
    </row>
    <row r="662" spans="1:23" x14ac:dyDescent="0.25">
      <c r="A662" s="3" t="s">
        <v>2032</v>
      </c>
      <c r="B662" s="3" t="s">
        <v>1302</v>
      </c>
      <c r="C662" s="3"/>
      <c r="D662" s="3" t="s">
        <v>1303</v>
      </c>
      <c r="E662" s="3">
        <v>147</v>
      </c>
      <c r="F662" s="3">
        <v>1</v>
      </c>
      <c r="G662" s="3">
        <v>15</v>
      </c>
      <c r="H662" s="3">
        <v>2</v>
      </c>
      <c r="I662" s="3">
        <v>2</v>
      </c>
      <c r="J662" s="3">
        <v>2</v>
      </c>
      <c r="K662" s="3">
        <v>10</v>
      </c>
      <c r="L662" s="3">
        <v>2</v>
      </c>
      <c r="M662" s="3">
        <v>0</v>
      </c>
      <c r="N662" s="3"/>
      <c r="O662" s="3"/>
      <c r="P662" s="3"/>
      <c r="Q662" s="3"/>
      <c r="R662" s="3">
        <v>620</v>
      </c>
      <c r="S662" s="3"/>
      <c r="T662" s="3"/>
      <c r="U662" s="3"/>
      <c r="V662" s="3"/>
      <c r="W662" s="3"/>
    </row>
    <row r="663" spans="1:23" x14ac:dyDescent="0.25">
      <c r="A663" s="3" t="s">
        <v>2032</v>
      </c>
      <c r="B663" s="3" t="s">
        <v>1304</v>
      </c>
      <c r="C663" s="3"/>
      <c r="D663" s="3" t="s">
        <v>1305</v>
      </c>
      <c r="E663" s="3">
        <v>124.52</v>
      </c>
      <c r="F663" s="3">
        <v>0.84</v>
      </c>
      <c r="G663" s="3">
        <v>10.68</v>
      </c>
      <c r="H663" s="3">
        <v>6.26</v>
      </c>
      <c r="I663" s="3">
        <v>3.2</v>
      </c>
      <c r="J663" s="3">
        <v>1.41</v>
      </c>
      <c r="K663" s="3">
        <v>7.89</v>
      </c>
      <c r="L663" s="3">
        <v>0.91</v>
      </c>
      <c r="M663" s="3">
        <v>0</v>
      </c>
      <c r="N663" s="3">
        <v>88</v>
      </c>
      <c r="O663" s="3">
        <v>3</v>
      </c>
      <c r="P663" s="3">
        <v>3.3</v>
      </c>
      <c r="Q663" s="3">
        <v>8</v>
      </c>
      <c r="R663" s="3">
        <v>872</v>
      </c>
      <c r="S663" s="3">
        <v>0.22</v>
      </c>
      <c r="T663" s="3">
        <v>1</v>
      </c>
      <c r="U663" s="3">
        <v>20</v>
      </c>
      <c r="V663" s="3">
        <v>0</v>
      </c>
      <c r="W663" s="3">
        <v>0</v>
      </c>
    </row>
    <row r="664" spans="1:23" x14ac:dyDescent="0.25">
      <c r="A664" s="3" t="s">
        <v>2032</v>
      </c>
      <c r="B664" s="3" t="s">
        <v>1306</v>
      </c>
      <c r="C664" s="3"/>
      <c r="D664" s="3" t="s">
        <v>1307</v>
      </c>
      <c r="E664" s="3">
        <v>623.1</v>
      </c>
      <c r="F664" s="3">
        <v>21.94</v>
      </c>
      <c r="G664" s="3">
        <v>50.62</v>
      </c>
      <c r="H664" s="3">
        <v>19.940000000000001</v>
      </c>
      <c r="I664" s="3">
        <v>10.4</v>
      </c>
      <c r="J664" s="3">
        <v>3.89</v>
      </c>
      <c r="K664" s="3">
        <v>32.29</v>
      </c>
      <c r="L664" s="3">
        <v>12.05</v>
      </c>
      <c r="M664" s="3">
        <v>0</v>
      </c>
      <c r="N664" s="3">
        <v>216</v>
      </c>
      <c r="O664" s="3">
        <v>480</v>
      </c>
      <c r="P664" s="3">
        <v>3.72</v>
      </c>
      <c r="Q664" s="3">
        <v>687</v>
      </c>
      <c r="R664" s="3">
        <v>28</v>
      </c>
      <c r="S664" s="3">
        <v>3.12</v>
      </c>
      <c r="T664" s="3">
        <v>0</v>
      </c>
      <c r="U664" s="3">
        <v>0</v>
      </c>
      <c r="V664" s="3">
        <v>30</v>
      </c>
      <c r="W664" s="3">
        <v>0</v>
      </c>
    </row>
    <row r="665" spans="1:23" x14ac:dyDescent="0.25">
      <c r="A665" s="3" t="s">
        <v>2032</v>
      </c>
      <c r="B665" s="3" t="s">
        <v>1308</v>
      </c>
      <c r="C665" s="3"/>
      <c r="D665" s="3" t="s">
        <v>1309</v>
      </c>
      <c r="E665" s="3">
        <v>673.35</v>
      </c>
      <c r="F665" s="3">
        <v>14.95</v>
      </c>
      <c r="G665" s="3">
        <v>60.75</v>
      </c>
      <c r="H665" s="3">
        <v>16.7</v>
      </c>
      <c r="I665" s="3">
        <v>9.6999999999999993</v>
      </c>
      <c r="J665" s="3">
        <v>4.46</v>
      </c>
      <c r="K665" s="3">
        <v>45.65</v>
      </c>
      <c r="L665" s="3">
        <v>7.92</v>
      </c>
      <c r="M665" s="3">
        <v>0</v>
      </c>
      <c r="N665" s="3">
        <v>114</v>
      </c>
      <c r="O665" s="3">
        <v>290</v>
      </c>
      <c r="P665" s="3">
        <v>4.7</v>
      </c>
      <c r="Q665" s="3">
        <v>680</v>
      </c>
      <c r="R665" s="3">
        <v>0</v>
      </c>
      <c r="S665" s="3">
        <v>2.4500000000000002</v>
      </c>
      <c r="T665" s="3">
        <v>6.3</v>
      </c>
      <c r="U665" s="3">
        <v>1</v>
      </c>
      <c r="V665" s="3">
        <v>113</v>
      </c>
      <c r="W665" s="3">
        <v>0</v>
      </c>
    </row>
    <row r="666" spans="1:23" x14ac:dyDescent="0.25">
      <c r="A666" s="3" t="s">
        <v>2032</v>
      </c>
      <c r="B666" s="3" t="s">
        <v>1310</v>
      </c>
      <c r="C666" s="3"/>
      <c r="D666" s="3" t="s">
        <v>1311</v>
      </c>
      <c r="E666" s="3">
        <v>223.07</v>
      </c>
      <c r="F666" s="3">
        <v>4.2</v>
      </c>
      <c r="G666" s="3">
        <v>1.1100000000000001</v>
      </c>
      <c r="H666" s="3">
        <v>49.07</v>
      </c>
      <c r="I666" s="3"/>
      <c r="J666" s="3">
        <v>0.16</v>
      </c>
      <c r="K666" s="3">
        <v>0.57999999999999996</v>
      </c>
      <c r="L666" s="3">
        <v>0.28999999999999998</v>
      </c>
      <c r="M666" s="3">
        <v>0</v>
      </c>
      <c r="N666" s="3">
        <v>18</v>
      </c>
      <c r="O666" s="3">
        <v>96</v>
      </c>
      <c r="P666" s="3">
        <v>1.41</v>
      </c>
      <c r="Q666" s="3">
        <v>447</v>
      </c>
      <c r="R666" s="3">
        <v>3</v>
      </c>
      <c r="S666" s="3">
        <v>0.87</v>
      </c>
      <c r="T666" s="3">
        <v>36</v>
      </c>
      <c r="U666" s="3">
        <v>10</v>
      </c>
      <c r="V666" s="3">
        <v>68</v>
      </c>
      <c r="W666" s="3">
        <v>0</v>
      </c>
    </row>
    <row r="667" spans="1:23" x14ac:dyDescent="0.25">
      <c r="A667" s="3" t="s">
        <v>2032</v>
      </c>
      <c r="B667" s="3" t="s">
        <v>1312</v>
      </c>
      <c r="C667" s="3"/>
      <c r="D667" s="3" t="s">
        <v>1313</v>
      </c>
      <c r="E667" s="3">
        <v>368.95</v>
      </c>
      <c r="F667" s="3">
        <v>5.01</v>
      </c>
      <c r="G667" s="3">
        <v>3.91</v>
      </c>
      <c r="H667" s="3">
        <v>78.430000000000007</v>
      </c>
      <c r="I667" s="3"/>
      <c r="J667" s="3">
        <v>0.74</v>
      </c>
      <c r="K667" s="3">
        <v>1.35</v>
      </c>
      <c r="L667" s="3">
        <v>1.55</v>
      </c>
      <c r="M667" s="3">
        <v>0</v>
      </c>
      <c r="N667" s="3">
        <v>64</v>
      </c>
      <c r="O667" s="3">
        <v>137</v>
      </c>
      <c r="P667" s="3">
        <v>2.39</v>
      </c>
      <c r="Q667" s="3">
        <v>991</v>
      </c>
      <c r="R667" s="3">
        <v>37</v>
      </c>
      <c r="S667" s="3">
        <v>0.35</v>
      </c>
      <c r="T667" s="3">
        <v>15.1</v>
      </c>
      <c r="U667" s="3">
        <v>0</v>
      </c>
      <c r="V667" s="3">
        <v>110</v>
      </c>
      <c r="W667" s="3">
        <v>0</v>
      </c>
    </row>
    <row r="668" spans="1:23" x14ac:dyDescent="0.25">
      <c r="A668" s="3" t="s">
        <v>2032</v>
      </c>
      <c r="B668" s="3" t="s">
        <v>1314</v>
      </c>
      <c r="C668" s="3"/>
      <c r="D668" s="3" t="s">
        <v>1315</v>
      </c>
      <c r="E668" s="3">
        <v>566.66999999999996</v>
      </c>
      <c r="F668" s="3">
        <v>3.33</v>
      </c>
      <c r="G668" s="3">
        <v>33.33</v>
      </c>
      <c r="H668" s="3">
        <v>63.33</v>
      </c>
      <c r="I668" s="3">
        <v>3.33</v>
      </c>
      <c r="J668" s="3">
        <v>13.33</v>
      </c>
      <c r="K668" s="3">
        <v>13.33</v>
      </c>
      <c r="L668" s="3">
        <v>5</v>
      </c>
      <c r="M668" s="3">
        <v>0</v>
      </c>
      <c r="N668" s="3"/>
      <c r="O668" s="3"/>
      <c r="P668" s="3"/>
      <c r="Q668" s="3"/>
      <c r="R668" s="3">
        <v>50</v>
      </c>
      <c r="S668" s="3"/>
      <c r="T668" s="3"/>
      <c r="U668" s="3"/>
      <c r="V668" s="3"/>
      <c r="W668" s="3"/>
    </row>
    <row r="669" spans="1:23" x14ac:dyDescent="0.25">
      <c r="A669" s="3" t="s">
        <v>2032</v>
      </c>
      <c r="B669" s="3" t="s">
        <v>1316</v>
      </c>
      <c r="C669" s="3"/>
      <c r="D669" s="3" t="s">
        <v>1317</v>
      </c>
      <c r="E669" s="3">
        <v>250</v>
      </c>
      <c r="F669" s="3">
        <v>0</v>
      </c>
      <c r="G669" s="3">
        <v>10</v>
      </c>
      <c r="H669" s="3">
        <v>40</v>
      </c>
      <c r="I669" s="3"/>
      <c r="J669" s="3">
        <v>0</v>
      </c>
      <c r="K669" s="3"/>
      <c r="L669" s="3"/>
      <c r="M669" s="3">
        <v>0</v>
      </c>
      <c r="N669" s="3"/>
      <c r="O669" s="3"/>
      <c r="P669" s="3"/>
      <c r="Q669" s="3"/>
      <c r="R669" s="3">
        <v>0</v>
      </c>
      <c r="S669" s="3"/>
      <c r="T669" s="3"/>
      <c r="U669" s="3"/>
      <c r="V669" s="3"/>
      <c r="W669" s="3"/>
    </row>
    <row r="670" spans="1:23" x14ac:dyDescent="0.25">
      <c r="A670" s="3" t="s">
        <v>2032</v>
      </c>
      <c r="B670" s="3" t="s">
        <v>1318</v>
      </c>
      <c r="C670" s="3"/>
      <c r="D670" s="3" t="s">
        <v>1319</v>
      </c>
      <c r="E670" s="3">
        <v>544</v>
      </c>
      <c r="F670" s="3">
        <v>4</v>
      </c>
      <c r="G670" s="3">
        <v>32</v>
      </c>
      <c r="H670" s="3">
        <v>60</v>
      </c>
      <c r="I670" s="3">
        <v>0</v>
      </c>
      <c r="J670" s="3">
        <v>12</v>
      </c>
      <c r="K670" s="3">
        <v>16</v>
      </c>
      <c r="L670" s="3">
        <v>4</v>
      </c>
      <c r="M670" s="3">
        <v>20</v>
      </c>
      <c r="N670" s="3"/>
      <c r="O670" s="3"/>
      <c r="P670" s="3"/>
      <c r="Q670" s="3"/>
      <c r="R670" s="3">
        <v>60</v>
      </c>
      <c r="S670" s="3"/>
      <c r="T670" s="3"/>
      <c r="U670" s="3"/>
      <c r="V670" s="3"/>
      <c r="W670" s="3"/>
    </row>
    <row r="671" spans="1:23" x14ac:dyDescent="0.25">
      <c r="A671" s="3" t="s">
        <v>2032</v>
      </c>
      <c r="B671" s="3" t="s">
        <v>1320</v>
      </c>
      <c r="C671" s="3"/>
      <c r="D671" s="3" t="s">
        <v>1321</v>
      </c>
      <c r="E671" s="3">
        <v>563</v>
      </c>
      <c r="F671" s="3">
        <v>3</v>
      </c>
      <c r="G671" s="3">
        <v>35</v>
      </c>
      <c r="H671" s="3">
        <v>59</v>
      </c>
      <c r="I671" s="3">
        <v>2.2000000000000002</v>
      </c>
      <c r="J671" s="3">
        <v>5.7</v>
      </c>
      <c r="K671" s="3"/>
      <c r="L671" s="3"/>
      <c r="M671" s="3"/>
      <c r="N671" s="3"/>
      <c r="O671" s="3"/>
      <c r="P671" s="3"/>
      <c r="Q671" s="3"/>
      <c r="R671" s="3">
        <v>20</v>
      </c>
      <c r="S671" s="3"/>
      <c r="T671" s="3"/>
      <c r="U671" s="3"/>
      <c r="V671" s="3"/>
      <c r="W671" s="3"/>
    </row>
    <row r="672" spans="1:23" x14ac:dyDescent="0.25">
      <c r="A672" s="3" t="s">
        <v>2032</v>
      </c>
      <c r="B672" s="3" t="s">
        <v>1322</v>
      </c>
      <c r="C672" s="3"/>
      <c r="D672" s="3" t="s">
        <v>1323</v>
      </c>
      <c r="E672" s="3">
        <v>544</v>
      </c>
      <c r="F672" s="3">
        <v>8</v>
      </c>
      <c r="G672" s="3">
        <v>32</v>
      </c>
      <c r="H672" s="3">
        <v>56</v>
      </c>
      <c r="I672" s="3"/>
      <c r="J672" s="3">
        <v>10</v>
      </c>
      <c r="K672" s="3">
        <v>16</v>
      </c>
      <c r="L672" s="3">
        <v>4</v>
      </c>
      <c r="M672" s="3">
        <v>0</v>
      </c>
      <c r="N672" s="3"/>
      <c r="O672" s="3"/>
      <c r="P672" s="3"/>
      <c r="Q672" s="3"/>
      <c r="R672" s="3">
        <v>40</v>
      </c>
      <c r="S672" s="3"/>
      <c r="T672" s="3"/>
      <c r="U672" s="3"/>
      <c r="V672" s="3"/>
      <c r="W672" s="3"/>
    </row>
    <row r="673" spans="1:23" x14ac:dyDescent="0.25">
      <c r="A673" s="3" t="s">
        <v>2032</v>
      </c>
      <c r="B673" s="3" t="s">
        <v>1324</v>
      </c>
      <c r="C673" s="3"/>
      <c r="D673" s="3" t="s">
        <v>1325</v>
      </c>
      <c r="E673" s="3">
        <v>555.20000000000005</v>
      </c>
      <c r="F673" s="3">
        <v>4.0999999999999996</v>
      </c>
      <c r="G673" s="3">
        <v>36</v>
      </c>
      <c r="H673" s="3">
        <v>53.7</v>
      </c>
      <c r="I673" s="3">
        <v>3</v>
      </c>
      <c r="J673" s="3">
        <v>7.4</v>
      </c>
      <c r="K673" s="3">
        <v>21.7</v>
      </c>
      <c r="L673" s="3">
        <v>7.2</v>
      </c>
      <c r="M673" s="3">
        <v>0</v>
      </c>
      <c r="N673" s="3"/>
      <c r="O673" s="3"/>
      <c r="P673" s="3"/>
      <c r="Q673" s="3"/>
      <c r="R673" s="3">
        <v>60</v>
      </c>
      <c r="S673" s="3"/>
      <c r="T673" s="3"/>
      <c r="U673" s="3"/>
      <c r="V673" s="3"/>
      <c r="W673" s="3"/>
    </row>
    <row r="674" spans="1:23" x14ac:dyDescent="0.25">
      <c r="A674" s="3" t="s">
        <v>2032</v>
      </c>
      <c r="B674" s="3" t="s">
        <v>1326</v>
      </c>
      <c r="C674" s="3"/>
      <c r="D674" s="3" t="s">
        <v>1327</v>
      </c>
      <c r="E674" s="3">
        <v>540</v>
      </c>
      <c r="F674" s="3">
        <v>6.67</v>
      </c>
      <c r="G674" s="3">
        <v>33.33</v>
      </c>
      <c r="H674" s="3">
        <v>53.33</v>
      </c>
      <c r="I674" s="3">
        <v>3.33</v>
      </c>
      <c r="J674" s="3">
        <v>6.67</v>
      </c>
      <c r="K674" s="3">
        <v>23.33</v>
      </c>
      <c r="L674" s="3">
        <v>3.33</v>
      </c>
      <c r="M674" s="3">
        <v>0</v>
      </c>
      <c r="N674" s="3"/>
      <c r="O674" s="3"/>
      <c r="P674" s="3"/>
      <c r="Q674" s="3"/>
      <c r="R674" s="3">
        <v>66.67</v>
      </c>
      <c r="S674" s="3"/>
      <c r="T674" s="3"/>
      <c r="U674" s="3"/>
      <c r="V674" s="3"/>
      <c r="W674" s="3"/>
    </row>
    <row r="675" spans="1:23" x14ac:dyDescent="0.25">
      <c r="A675" s="3" t="s">
        <v>2032</v>
      </c>
      <c r="B675" s="3" t="s">
        <v>1328</v>
      </c>
      <c r="C675" s="3"/>
      <c r="D675" s="3" t="s">
        <v>1329</v>
      </c>
      <c r="E675" s="3">
        <v>546.66999999999996</v>
      </c>
      <c r="F675" s="3">
        <v>6.67</v>
      </c>
      <c r="G675" s="3">
        <v>40</v>
      </c>
      <c r="H675" s="3">
        <v>40</v>
      </c>
      <c r="I675" s="3"/>
      <c r="J675" s="3">
        <v>6.67</v>
      </c>
      <c r="K675" s="3"/>
      <c r="L675" s="3"/>
      <c r="M675" s="3">
        <v>13.33</v>
      </c>
      <c r="N675" s="3"/>
      <c r="O675" s="3"/>
      <c r="P675" s="3"/>
      <c r="Q675" s="3"/>
      <c r="R675" s="3">
        <v>100</v>
      </c>
      <c r="S675" s="3"/>
      <c r="T675" s="3"/>
      <c r="U675" s="3"/>
      <c r="V675" s="3"/>
      <c r="W675" s="3"/>
    </row>
    <row r="676" spans="1:23" x14ac:dyDescent="0.25">
      <c r="A676" s="3" t="s">
        <v>2032</v>
      </c>
      <c r="B676" s="3" t="s">
        <v>1330</v>
      </c>
      <c r="C676" s="3"/>
      <c r="D676" s="3" t="s">
        <v>1331</v>
      </c>
      <c r="E676" s="3">
        <v>768.85</v>
      </c>
      <c r="F676" s="3">
        <v>7.91</v>
      </c>
      <c r="G676" s="3">
        <v>75.77</v>
      </c>
      <c r="H676" s="3">
        <v>13.82</v>
      </c>
      <c r="I676" s="3">
        <v>8.6</v>
      </c>
      <c r="J676" s="3">
        <v>12.06</v>
      </c>
      <c r="K676" s="3">
        <v>58.88</v>
      </c>
      <c r="L676" s="3">
        <v>1.5</v>
      </c>
      <c r="M676" s="3">
        <v>0</v>
      </c>
      <c r="N676" s="3">
        <v>85</v>
      </c>
      <c r="O676" s="3">
        <v>188</v>
      </c>
      <c r="P676" s="3">
        <v>3.69</v>
      </c>
      <c r="Q676" s="3">
        <v>368</v>
      </c>
      <c r="R676" s="3">
        <v>5</v>
      </c>
      <c r="S676" s="3">
        <v>1.3</v>
      </c>
      <c r="T676" s="3">
        <v>1.2</v>
      </c>
      <c r="U676" s="3">
        <v>0</v>
      </c>
      <c r="V676" s="3">
        <v>11</v>
      </c>
      <c r="W676" s="3">
        <v>0</v>
      </c>
    </row>
    <row r="677" spans="1:23" x14ac:dyDescent="0.25">
      <c r="A677" s="3" t="s">
        <v>2032</v>
      </c>
      <c r="B677" s="3" t="s">
        <v>1332</v>
      </c>
      <c r="C677" s="3"/>
      <c r="D677" s="3" t="s">
        <v>1333</v>
      </c>
      <c r="E677" s="3">
        <v>337.13</v>
      </c>
      <c r="F677" s="3">
        <v>13.5</v>
      </c>
      <c r="G677" s="3">
        <v>22.01</v>
      </c>
      <c r="H677" s="3">
        <v>21.26</v>
      </c>
      <c r="I677" s="3">
        <v>8.8000000000000007</v>
      </c>
      <c r="J677" s="3">
        <v>3.06</v>
      </c>
      <c r="K677" s="3">
        <v>10.92</v>
      </c>
      <c r="L677" s="3">
        <v>6.96</v>
      </c>
      <c r="M677" s="3">
        <v>0</v>
      </c>
      <c r="N677" s="3">
        <v>55</v>
      </c>
      <c r="O677" s="3">
        <v>198</v>
      </c>
      <c r="P677" s="3">
        <v>1.01</v>
      </c>
      <c r="Q677" s="3">
        <v>180</v>
      </c>
      <c r="R677" s="3">
        <v>751</v>
      </c>
      <c r="S677" s="3">
        <v>1.83</v>
      </c>
      <c r="T677" s="3">
        <v>0</v>
      </c>
      <c r="U677" s="3">
        <v>0</v>
      </c>
      <c r="V677" s="3">
        <v>75</v>
      </c>
      <c r="W677" s="3">
        <v>0</v>
      </c>
    </row>
    <row r="678" spans="1:23" x14ac:dyDescent="0.25">
      <c r="A678" s="3" t="s">
        <v>2032</v>
      </c>
      <c r="B678" s="3" t="s">
        <v>1334</v>
      </c>
      <c r="C678" s="3"/>
      <c r="D678" s="3" t="s">
        <v>1335</v>
      </c>
      <c r="E678" s="3">
        <v>610.88</v>
      </c>
      <c r="F678" s="3">
        <v>25.8</v>
      </c>
      <c r="G678" s="3">
        <v>49.24</v>
      </c>
      <c r="H678" s="3">
        <v>16.13</v>
      </c>
      <c r="I678" s="3">
        <v>8.5</v>
      </c>
      <c r="J678" s="3">
        <v>6.18</v>
      </c>
      <c r="K678" s="3">
        <v>24.43</v>
      </c>
      <c r="L678" s="3">
        <v>15.56</v>
      </c>
      <c r="M678" s="3">
        <v>0</v>
      </c>
      <c r="N678" s="3">
        <v>92</v>
      </c>
      <c r="O678" s="3">
        <v>376</v>
      </c>
      <c r="P678" s="3">
        <v>4.58</v>
      </c>
      <c r="Q678" s="3">
        <v>70.5</v>
      </c>
      <c r="R678" s="3">
        <v>18</v>
      </c>
      <c r="S678" s="3">
        <v>3.27</v>
      </c>
      <c r="T678" s="3">
        <v>0</v>
      </c>
      <c r="U678" s="3">
        <v>0</v>
      </c>
      <c r="V678" s="3">
        <v>240</v>
      </c>
      <c r="W678" s="3">
        <v>0</v>
      </c>
    </row>
    <row r="679" spans="1:23" x14ac:dyDescent="0.25">
      <c r="A679" s="3" t="s">
        <v>2032</v>
      </c>
      <c r="B679" s="3" t="s">
        <v>1336</v>
      </c>
      <c r="C679" s="3"/>
      <c r="D679" s="3" t="s">
        <v>1337</v>
      </c>
      <c r="E679" s="3">
        <v>645.66</v>
      </c>
      <c r="F679" s="3">
        <v>28.03</v>
      </c>
      <c r="G679" s="3">
        <v>52.5</v>
      </c>
      <c r="H679" s="3">
        <v>15.26</v>
      </c>
      <c r="I679" s="3">
        <v>9.4</v>
      </c>
      <c r="J679" s="3">
        <v>8.67</v>
      </c>
      <c r="K679" s="3">
        <v>25.94</v>
      </c>
      <c r="L679" s="3">
        <v>15.27</v>
      </c>
      <c r="M679" s="3">
        <v>0</v>
      </c>
      <c r="N679" s="3">
        <v>61</v>
      </c>
      <c r="O679" s="3">
        <v>397</v>
      </c>
      <c r="P679" s="3">
        <v>1.52</v>
      </c>
      <c r="Q679" s="3">
        <v>726</v>
      </c>
      <c r="R679" s="3">
        <v>320</v>
      </c>
      <c r="S679" s="3">
        <v>3.28</v>
      </c>
      <c r="T679" s="3">
        <v>1</v>
      </c>
      <c r="U679" s="3">
        <v>0</v>
      </c>
      <c r="V679" s="3">
        <v>120</v>
      </c>
      <c r="W679" s="3">
        <v>0</v>
      </c>
    </row>
    <row r="680" spans="1:23" x14ac:dyDescent="0.25">
      <c r="A680" s="3" t="s">
        <v>2032</v>
      </c>
      <c r="B680" s="3" t="s">
        <v>1338</v>
      </c>
      <c r="C680" s="3"/>
      <c r="D680" s="3" t="s">
        <v>1339</v>
      </c>
      <c r="E680" s="3">
        <v>627.70000000000005</v>
      </c>
      <c r="F680" s="3">
        <v>23.68</v>
      </c>
      <c r="G680" s="3">
        <v>49.66</v>
      </c>
      <c r="H680" s="3">
        <v>21.51</v>
      </c>
      <c r="I680" s="3">
        <v>8</v>
      </c>
      <c r="J680" s="3">
        <v>6.89</v>
      </c>
      <c r="K680" s="3">
        <v>24.64</v>
      </c>
      <c r="L680" s="3">
        <v>15.69</v>
      </c>
      <c r="M680" s="3">
        <v>0</v>
      </c>
      <c r="N680" s="3">
        <v>54</v>
      </c>
      <c r="O680" s="3">
        <v>358</v>
      </c>
      <c r="P680" s="3">
        <v>2.2599999999999998</v>
      </c>
      <c r="Q680" s="3">
        <v>658</v>
      </c>
      <c r="R680" s="3">
        <v>813</v>
      </c>
      <c r="S680" s="3">
        <v>3.31</v>
      </c>
      <c r="T680" s="3">
        <v>0</v>
      </c>
      <c r="U680" s="3">
        <v>0</v>
      </c>
      <c r="V680" s="3">
        <v>145</v>
      </c>
      <c r="W680" s="3">
        <v>0</v>
      </c>
    </row>
    <row r="681" spans="1:23" x14ac:dyDescent="0.25">
      <c r="A681" s="3" t="s">
        <v>2032</v>
      </c>
      <c r="B681" s="3" t="s">
        <v>1340</v>
      </c>
      <c r="C681" s="3"/>
      <c r="D681" s="3" t="s">
        <v>1341</v>
      </c>
      <c r="E681" s="3">
        <v>894.6</v>
      </c>
      <c r="F681" s="3">
        <v>0</v>
      </c>
      <c r="G681" s="3">
        <v>99.4</v>
      </c>
      <c r="H681" s="3">
        <v>0</v>
      </c>
      <c r="I681" s="3">
        <v>0</v>
      </c>
      <c r="J681" s="3">
        <v>39.200000000000003</v>
      </c>
      <c r="K681" s="3">
        <v>45.1</v>
      </c>
      <c r="L681" s="3">
        <v>11.2</v>
      </c>
      <c r="M681" s="3">
        <v>95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0.11</v>
      </c>
      <c r="T681" s="3">
        <v>0</v>
      </c>
      <c r="U681" s="3">
        <v>0</v>
      </c>
      <c r="V681" s="3">
        <v>0</v>
      </c>
      <c r="W681" s="3">
        <v>0</v>
      </c>
    </row>
    <row r="682" spans="1:23" x14ac:dyDescent="0.25">
      <c r="A682" s="3" t="s">
        <v>2032</v>
      </c>
      <c r="B682" s="3" t="s">
        <v>1342</v>
      </c>
      <c r="C682" s="3"/>
      <c r="D682" s="3" t="s">
        <v>1343</v>
      </c>
      <c r="E682" s="3">
        <v>509.1</v>
      </c>
      <c r="F682" s="3">
        <v>3.3</v>
      </c>
      <c r="G682" s="3">
        <v>55.1</v>
      </c>
      <c r="H682" s="3">
        <v>0</v>
      </c>
      <c r="I682" s="3">
        <v>0</v>
      </c>
      <c r="J682" s="3">
        <v>34.32</v>
      </c>
      <c r="K682" s="3">
        <v>15.93</v>
      </c>
      <c r="L682" s="3">
        <v>2.0499999999999998</v>
      </c>
      <c r="M682" s="3">
        <v>106</v>
      </c>
      <c r="N682" s="3">
        <v>48</v>
      </c>
      <c r="O682" s="3">
        <v>34</v>
      </c>
      <c r="P682" s="3">
        <v>1.0900000000000001</v>
      </c>
      <c r="Q682" s="3">
        <v>71</v>
      </c>
      <c r="R682" s="3">
        <v>450</v>
      </c>
      <c r="S682" s="3">
        <v>0.26</v>
      </c>
      <c r="T682" s="3">
        <v>0</v>
      </c>
      <c r="U682" s="3">
        <v>465</v>
      </c>
      <c r="V682" s="3">
        <v>1</v>
      </c>
      <c r="W682" s="3">
        <v>0.13</v>
      </c>
    </row>
    <row r="683" spans="1:23" x14ac:dyDescent="0.25">
      <c r="A683" s="3" t="s">
        <v>2032</v>
      </c>
      <c r="B683" s="3" t="s">
        <v>1344</v>
      </c>
      <c r="C683" s="3"/>
      <c r="D683" s="3" t="s">
        <v>1345</v>
      </c>
      <c r="E683" s="3">
        <v>733.63</v>
      </c>
      <c r="F683" s="3">
        <v>0.85</v>
      </c>
      <c r="G683" s="3">
        <v>81.11</v>
      </c>
      <c r="H683" s="3">
        <v>0.06</v>
      </c>
      <c r="I683" s="3">
        <v>0</v>
      </c>
      <c r="J683" s="3">
        <v>51.37</v>
      </c>
      <c r="K683" s="3">
        <v>21.02</v>
      </c>
      <c r="L683" s="3">
        <v>3.04</v>
      </c>
      <c r="M683" s="3">
        <v>215</v>
      </c>
      <c r="N683" s="3">
        <v>24</v>
      </c>
      <c r="O683" s="3">
        <v>24</v>
      </c>
      <c r="P683" s="3">
        <v>0.02</v>
      </c>
      <c r="Q683" s="3">
        <v>24</v>
      </c>
      <c r="R683" s="3">
        <v>576</v>
      </c>
      <c r="S683" s="3">
        <v>0.09</v>
      </c>
      <c r="T683" s="3">
        <v>0</v>
      </c>
      <c r="U683" s="3">
        <v>684</v>
      </c>
      <c r="V683" s="3">
        <v>3</v>
      </c>
      <c r="W683" s="3">
        <v>0.17</v>
      </c>
    </row>
    <row r="684" spans="1:23" x14ac:dyDescent="0.25">
      <c r="A684" s="3" t="s">
        <v>2032</v>
      </c>
      <c r="B684" s="3" t="s">
        <v>1346</v>
      </c>
      <c r="C684" s="3"/>
      <c r="D684" s="3" t="s">
        <v>1347</v>
      </c>
      <c r="E684" s="3">
        <v>610</v>
      </c>
      <c r="F684" s="3">
        <v>20</v>
      </c>
      <c r="G684" s="3">
        <v>50</v>
      </c>
      <c r="H684" s="3">
        <v>20</v>
      </c>
      <c r="I684" s="3">
        <v>15</v>
      </c>
      <c r="J684" s="3">
        <v>5</v>
      </c>
      <c r="K684" s="3">
        <v>30</v>
      </c>
      <c r="L684" s="3">
        <v>12.5</v>
      </c>
      <c r="M684" s="3">
        <v>0</v>
      </c>
      <c r="N684" s="3"/>
      <c r="O684" s="3"/>
      <c r="P684" s="3"/>
      <c r="Q684" s="3"/>
      <c r="R684" s="3">
        <v>0</v>
      </c>
      <c r="S684" s="3"/>
      <c r="T684" s="3"/>
      <c r="U684" s="3"/>
      <c r="V684" s="3"/>
      <c r="W684" s="3"/>
    </row>
    <row r="685" spans="1:23" x14ac:dyDescent="0.25">
      <c r="A685" s="3" t="s">
        <v>2032</v>
      </c>
      <c r="B685" s="3" t="s">
        <v>1348</v>
      </c>
      <c r="C685" s="3"/>
      <c r="D685" s="3" t="s">
        <v>1349</v>
      </c>
      <c r="E685" s="3">
        <v>623.53</v>
      </c>
      <c r="F685" s="3">
        <v>20.59</v>
      </c>
      <c r="G685" s="3">
        <v>47.06</v>
      </c>
      <c r="H685" s="3">
        <v>29.41</v>
      </c>
      <c r="I685" s="3">
        <v>5.88</v>
      </c>
      <c r="J685" s="3">
        <v>8.82</v>
      </c>
      <c r="K685" s="3"/>
      <c r="L685" s="3"/>
      <c r="M685" s="3">
        <v>0</v>
      </c>
      <c r="N685" s="3">
        <v>0</v>
      </c>
      <c r="O685" s="3"/>
      <c r="P685" s="3">
        <v>1.18</v>
      </c>
      <c r="Q685" s="3">
        <v>470.59</v>
      </c>
      <c r="R685" s="3">
        <v>323.52999999999997</v>
      </c>
      <c r="S685" s="3"/>
      <c r="T685" s="3"/>
      <c r="U685" s="3"/>
      <c r="V685" s="3"/>
      <c r="W685" s="3"/>
    </row>
    <row r="686" spans="1:23" x14ac:dyDescent="0.25">
      <c r="A686" s="3" t="s">
        <v>2032</v>
      </c>
      <c r="B686" s="3" t="s">
        <v>1350</v>
      </c>
      <c r="C686" s="3"/>
      <c r="D686" s="3" t="s">
        <v>1351</v>
      </c>
      <c r="E686" s="3">
        <v>552.20000000000005</v>
      </c>
      <c r="F686" s="3">
        <v>25.9</v>
      </c>
      <c r="G686" s="3">
        <v>34</v>
      </c>
      <c r="H686" s="3">
        <v>35.65</v>
      </c>
      <c r="I686" s="3">
        <v>5.2</v>
      </c>
      <c r="J686" s="3">
        <v>5.76</v>
      </c>
      <c r="K686" s="3">
        <v>16.16</v>
      </c>
      <c r="L686" s="3">
        <v>9.18</v>
      </c>
      <c r="M686" s="3">
        <v>0</v>
      </c>
      <c r="N686" s="3">
        <v>35</v>
      </c>
      <c r="O686" s="3">
        <v>369</v>
      </c>
      <c r="P686" s="3">
        <v>1.9</v>
      </c>
      <c r="Q686" s="3">
        <v>669</v>
      </c>
      <c r="R686" s="3">
        <v>540</v>
      </c>
      <c r="S686" s="3">
        <v>2.08</v>
      </c>
      <c r="T686" s="3">
        <v>0</v>
      </c>
      <c r="U686" s="3">
        <v>0</v>
      </c>
      <c r="V686" s="3">
        <v>60</v>
      </c>
      <c r="W686" s="3">
        <v>0</v>
      </c>
    </row>
    <row r="687" spans="1:23" x14ac:dyDescent="0.25">
      <c r="A687" s="3" t="s">
        <v>2032</v>
      </c>
      <c r="B687" s="3" t="s">
        <v>1352</v>
      </c>
      <c r="C687" s="3"/>
      <c r="D687" s="3" t="s">
        <v>1353</v>
      </c>
      <c r="E687" s="3">
        <v>666.67</v>
      </c>
      <c r="F687" s="3">
        <v>20</v>
      </c>
      <c r="G687" s="3">
        <v>53.33</v>
      </c>
      <c r="H687" s="3">
        <v>26.67</v>
      </c>
      <c r="I687" s="3">
        <v>0</v>
      </c>
      <c r="J687" s="3">
        <v>10</v>
      </c>
      <c r="K687" s="3">
        <v>33.33</v>
      </c>
      <c r="L687" s="3">
        <v>10</v>
      </c>
      <c r="M687" s="3">
        <v>0</v>
      </c>
      <c r="N687" s="3"/>
      <c r="O687" s="3"/>
      <c r="P687" s="3"/>
      <c r="Q687" s="3"/>
      <c r="R687" s="3">
        <v>33.33</v>
      </c>
      <c r="S687" s="3"/>
      <c r="T687" s="3"/>
      <c r="U687" s="3"/>
      <c r="V687" s="3"/>
      <c r="W687" s="3"/>
    </row>
    <row r="688" spans="1:23" x14ac:dyDescent="0.25">
      <c r="A688" s="3" t="s">
        <v>2032</v>
      </c>
      <c r="B688" s="3" t="s">
        <v>1354</v>
      </c>
      <c r="C688" s="3"/>
      <c r="D688" s="3" t="s">
        <v>1355</v>
      </c>
      <c r="E688" s="3">
        <v>637.29999999999995</v>
      </c>
      <c r="F688" s="3">
        <v>22.05</v>
      </c>
      <c r="G688" s="3">
        <v>51.1</v>
      </c>
      <c r="H688" s="3">
        <v>22.3</v>
      </c>
      <c r="I688" s="3">
        <v>4.8</v>
      </c>
      <c r="J688" s="3">
        <v>10.1</v>
      </c>
      <c r="K688" s="3">
        <v>25.4</v>
      </c>
      <c r="L688" s="3">
        <v>12.3</v>
      </c>
      <c r="M688" s="3"/>
      <c r="N688" s="3">
        <v>49</v>
      </c>
      <c r="O688" s="3">
        <v>339</v>
      </c>
      <c r="P688" s="3">
        <v>1.73</v>
      </c>
      <c r="Q688" s="3">
        <v>564</v>
      </c>
      <c r="R688" s="3">
        <v>429</v>
      </c>
      <c r="S688" s="3">
        <v>2.54</v>
      </c>
      <c r="T688" s="3"/>
      <c r="U688" s="3"/>
      <c r="V688" s="3">
        <v>86</v>
      </c>
      <c r="W688" s="3"/>
    </row>
    <row r="689" spans="1:23" x14ac:dyDescent="0.25">
      <c r="A689" s="3" t="s">
        <v>2032</v>
      </c>
      <c r="B689" s="3" t="s">
        <v>1356</v>
      </c>
      <c r="C689" s="3"/>
      <c r="D689" s="3" t="s">
        <v>1357</v>
      </c>
      <c r="E689" s="3">
        <v>637.5</v>
      </c>
      <c r="F689" s="3">
        <v>21.88</v>
      </c>
      <c r="G689" s="3">
        <v>50</v>
      </c>
      <c r="H689" s="3">
        <v>25</v>
      </c>
      <c r="I689" s="3">
        <v>6.25</v>
      </c>
      <c r="J689" s="3">
        <v>7.81</v>
      </c>
      <c r="K689" s="3"/>
      <c r="L689" s="3"/>
      <c r="M689" s="3"/>
      <c r="N689" s="3"/>
      <c r="O689" s="3"/>
      <c r="P689" s="3"/>
      <c r="Q689" s="3"/>
      <c r="R689" s="3">
        <v>421.88</v>
      </c>
      <c r="S689" s="3"/>
      <c r="T689" s="3"/>
      <c r="U689" s="3"/>
      <c r="V689" s="3"/>
      <c r="W689" s="3"/>
    </row>
    <row r="690" spans="1:23" x14ac:dyDescent="0.25">
      <c r="A690" s="3" t="s">
        <v>2032</v>
      </c>
      <c r="B690" s="3" t="s">
        <v>1358</v>
      </c>
      <c r="C690" s="3"/>
      <c r="D690" s="3" t="s">
        <v>1359</v>
      </c>
      <c r="E690" s="3">
        <v>640</v>
      </c>
      <c r="F690" s="3">
        <v>26.67</v>
      </c>
      <c r="G690" s="3">
        <v>53.33</v>
      </c>
      <c r="H690" s="3">
        <v>13.33</v>
      </c>
      <c r="I690" s="3">
        <v>0</v>
      </c>
      <c r="J690" s="3">
        <v>13.33</v>
      </c>
      <c r="K690" s="3">
        <v>20</v>
      </c>
      <c r="L690" s="3">
        <v>20</v>
      </c>
      <c r="M690" s="3">
        <v>0</v>
      </c>
      <c r="N690" s="3"/>
      <c r="O690" s="3"/>
      <c r="P690" s="3"/>
      <c r="Q690" s="3"/>
      <c r="R690" s="3">
        <v>166.67</v>
      </c>
      <c r="S690" s="3"/>
      <c r="T690" s="3"/>
      <c r="U690" s="3"/>
      <c r="V690" s="3"/>
      <c r="W690" s="3"/>
    </row>
    <row r="691" spans="1:23" x14ac:dyDescent="0.25">
      <c r="A691" s="3" t="s">
        <v>2032</v>
      </c>
      <c r="B691" s="3" t="s">
        <v>1360</v>
      </c>
      <c r="C691" s="3"/>
      <c r="D691" s="3" t="s">
        <v>1361</v>
      </c>
      <c r="E691" s="3">
        <v>650</v>
      </c>
      <c r="F691" s="3">
        <v>28.57</v>
      </c>
      <c r="G691" s="3">
        <v>50</v>
      </c>
      <c r="H691" s="3">
        <v>21.43</v>
      </c>
      <c r="I691" s="3">
        <v>7.14</v>
      </c>
      <c r="J691" s="3">
        <v>7.14</v>
      </c>
      <c r="K691" s="3">
        <v>35.71</v>
      </c>
      <c r="L691" s="3">
        <v>7.14</v>
      </c>
      <c r="M691" s="3">
        <v>0</v>
      </c>
      <c r="N691" s="3"/>
      <c r="O691" s="3"/>
      <c r="P691" s="3"/>
      <c r="Q691" s="3"/>
      <c r="R691" s="3">
        <v>214.29</v>
      </c>
      <c r="S691" s="3"/>
      <c r="T691" s="3"/>
      <c r="U691" s="3"/>
      <c r="V691" s="3"/>
      <c r="W691" s="3"/>
    </row>
    <row r="692" spans="1:23" x14ac:dyDescent="0.25">
      <c r="A692" s="3" t="s">
        <v>2032</v>
      </c>
      <c r="B692" s="3" t="s">
        <v>1362</v>
      </c>
      <c r="C692" s="3"/>
      <c r="D692" s="3" t="s">
        <v>1363</v>
      </c>
      <c r="E692" s="3">
        <v>733.63</v>
      </c>
      <c r="F692" s="3">
        <v>0.85</v>
      </c>
      <c r="G692" s="3">
        <v>81.11</v>
      </c>
      <c r="H692" s="3">
        <v>0.06</v>
      </c>
      <c r="I692" s="3">
        <v>0</v>
      </c>
      <c r="J692" s="3">
        <v>51.37</v>
      </c>
      <c r="K692" s="3">
        <v>21.02</v>
      </c>
      <c r="L692" s="3">
        <v>3.04</v>
      </c>
      <c r="M692" s="3">
        <v>215</v>
      </c>
      <c r="N692" s="3">
        <v>24</v>
      </c>
      <c r="O692" s="3">
        <v>24</v>
      </c>
      <c r="P692" s="3">
        <v>0.02</v>
      </c>
      <c r="Q692" s="3">
        <v>24</v>
      </c>
      <c r="R692" s="3">
        <v>11</v>
      </c>
      <c r="S692" s="3">
        <v>0.09</v>
      </c>
      <c r="T692" s="3">
        <v>0</v>
      </c>
      <c r="U692" s="3">
        <v>684</v>
      </c>
      <c r="V692" s="3">
        <v>3</v>
      </c>
      <c r="W692" s="3">
        <v>0.17</v>
      </c>
    </row>
    <row r="693" spans="1:23" x14ac:dyDescent="0.25">
      <c r="A693" s="3" t="s">
        <v>2032</v>
      </c>
      <c r="B693" s="3" t="s">
        <v>1364</v>
      </c>
      <c r="C693" s="3"/>
      <c r="D693" s="3" t="s">
        <v>1365</v>
      </c>
      <c r="E693" s="3">
        <v>177.1</v>
      </c>
      <c r="F693" s="3">
        <v>0</v>
      </c>
      <c r="G693" s="3">
        <v>19.5</v>
      </c>
      <c r="H693" s="3">
        <v>0.4</v>
      </c>
      <c r="I693" s="3">
        <v>0</v>
      </c>
      <c r="J693" s="3">
        <v>2.87</v>
      </c>
      <c r="K693" s="3">
        <v>7.48</v>
      </c>
      <c r="L693" s="3">
        <v>8.0399999999999991</v>
      </c>
      <c r="M693" s="3">
        <v>0</v>
      </c>
      <c r="N693" s="3">
        <v>0</v>
      </c>
      <c r="O693" s="3">
        <v>14</v>
      </c>
      <c r="P693" s="3">
        <v>0</v>
      </c>
      <c r="Q693" s="3">
        <v>25</v>
      </c>
      <c r="R693" s="3">
        <v>733</v>
      </c>
      <c r="S693" s="3">
        <v>0</v>
      </c>
      <c r="T693" s="3">
        <v>0</v>
      </c>
      <c r="U693" s="3">
        <v>819</v>
      </c>
      <c r="V693" s="3">
        <v>0</v>
      </c>
      <c r="W693" s="3">
        <v>0</v>
      </c>
    </row>
    <row r="694" spans="1:23" x14ac:dyDescent="0.25">
      <c r="A694" s="3" t="s">
        <v>2032</v>
      </c>
      <c r="B694" s="3" t="s">
        <v>1366</v>
      </c>
      <c r="C694" s="3"/>
      <c r="D694" s="3" t="s">
        <v>1367</v>
      </c>
      <c r="E694" s="3">
        <v>578.57000000000005</v>
      </c>
      <c r="F694" s="3">
        <v>0</v>
      </c>
      <c r="G694" s="3">
        <v>64.290000000000006</v>
      </c>
      <c r="H694" s="3">
        <v>0</v>
      </c>
      <c r="I694" s="3">
        <v>0</v>
      </c>
      <c r="J694" s="3">
        <v>42.86</v>
      </c>
      <c r="K694" s="3">
        <v>14.29</v>
      </c>
      <c r="L694" s="3">
        <v>7.14</v>
      </c>
      <c r="M694" s="3">
        <v>0</v>
      </c>
      <c r="N694" s="3"/>
      <c r="O694" s="3"/>
      <c r="P694" s="3"/>
      <c r="Q694" s="3"/>
      <c r="R694" s="3">
        <v>1142.8599999999999</v>
      </c>
      <c r="S694" s="3"/>
      <c r="T694" s="3"/>
      <c r="U694" s="3"/>
      <c r="V694" s="3"/>
      <c r="W694" s="3"/>
    </row>
    <row r="695" spans="1:23" x14ac:dyDescent="0.25">
      <c r="A695" s="3" t="s">
        <v>2032</v>
      </c>
      <c r="B695" s="3" t="s">
        <v>1368</v>
      </c>
      <c r="C695" s="3"/>
      <c r="D695" s="3" t="s">
        <v>1369</v>
      </c>
      <c r="E695" s="3">
        <v>731.7</v>
      </c>
      <c r="F695" s="3">
        <v>0.9</v>
      </c>
      <c r="G695" s="3">
        <v>80.5</v>
      </c>
      <c r="H695" s="3">
        <v>0.9</v>
      </c>
      <c r="I695" s="3">
        <v>0</v>
      </c>
      <c r="J695" s="3">
        <v>15.8</v>
      </c>
      <c r="K695" s="3">
        <v>35.799999999999997</v>
      </c>
      <c r="L695" s="3">
        <v>25.4</v>
      </c>
      <c r="M695" s="3">
        <v>0</v>
      </c>
      <c r="N695" s="3">
        <v>30</v>
      </c>
      <c r="O695" s="3">
        <v>23</v>
      </c>
      <c r="P695" s="3">
        <v>0.06</v>
      </c>
      <c r="Q695" s="3">
        <v>42</v>
      </c>
      <c r="R695" s="3">
        <v>943</v>
      </c>
      <c r="S695" s="3">
        <v>0</v>
      </c>
      <c r="T695" s="3">
        <v>0</v>
      </c>
      <c r="U695" s="3">
        <v>819</v>
      </c>
      <c r="V695" s="3">
        <v>1</v>
      </c>
      <c r="W695" s="3">
        <v>0.1</v>
      </c>
    </row>
    <row r="696" spans="1:23" x14ac:dyDescent="0.25">
      <c r="A696" s="3" t="s">
        <v>2032</v>
      </c>
      <c r="B696" s="3" t="s">
        <v>1370</v>
      </c>
      <c r="C696" s="3"/>
      <c r="D696" s="3" t="s">
        <v>1371</v>
      </c>
      <c r="E696" s="3">
        <v>399.8</v>
      </c>
      <c r="F696" s="3">
        <v>0.9</v>
      </c>
      <c r="G696" s="3">
        <v>33.4</v>
      </c>
      <c r="H696" s="3">
        <v>23.9</v>
      </c>
      <c r="I696" s="3">
        <v>0</v>
      </c>
      <c r="J696" s="3">
        <v>4.9000000000000004</v>
      </c>
      <c r="K696" s="3">
        <v>9</v>
      </c>
      <c r="L696" s="3">
        <v>18</v>
      </c>
      <c r="M696" s="3">
        <v>26</v>
      </c>
      <c r="N696" s="3">
        <v>14</v>
      </c>
      <c r="O696" s="3">
        <v>26</v>
      </c>
      <c r="P696" s="3">
        <v>0.2</v>
      </c>
      <c r="Q696" s="3">
        <v>9</v>
      </c>
      <c r="R696" s="3">
        <v>711</v>
      </c>
      <c r="S696" s="3">
        <v>0.18</v>
      </c>
      <c r="T696" s="3">
        <v>0</v>
      </c>
      <c r="U696" s="3">
        <v>21</v>
      </c>
      <c r="V696" s="3">
        <v>6</v>
      </c>
      <c r="W696" s="3">
        <v>0.21</v>
      </c>
    </row>
    <row r="697" spans="1:23" x14ac:dyDescent="0.25">
      <c r="A697" s="3" t="s">
        <v>2032</v>
      </c>
      <c r="B697" s="3" t="s">
        <v>1372</v>
      </c>
      <c r="C697" s="3"/>
      <c r="D697" s="3" t="s">
        <v>1373</v>
      </c>
      <c r="E697" s="3">
        <v>702.65</v>
      </c>
      <c r="F697" s="3">
        <v>15.23</v>
      </c>
      <c r="G697" s="3">
        <v>65.209999999999994</v>
      </c>
      <c r="H697" s="3">
        <v>13.71</v>
      </c>
      <c r="I697" s="3">
        <v>6.7</v>
      </c>
      <c r="J697" s="3">
        <v>6.13</v>
      </c>
      <c r="K697" s="3">
        <v>8.93</v>
      </c>
      <c r="L697" s="3">
        <v>47.17</v>
      </c>
      <c r="M697" s="3">
        <v>0</v>
      </c>
      <c r="N697" s="3">
        <v>98</v>
      </c>
      <c r="O697" s="3">
        <v>346</v>
      </c>
      <c r="P697" s="3">
        <v>2.91</v>
      </c>
      <c r="Q697" s="3">
        <v>441</v>
      </c>
      <c r="R697" s="3">
        <v>2</v>
      </c>
      <c r="S697" s="3">
        <v>3.09</v>
      </c>
      <c r="T697" s="3">
        <v>1</v>
      </c>
      <c r="U697" s="3">
        <v>1</v>
      </c>
      <c r="V697" s="3">
        <v>98</v>
      </c>
      <c r="W697" s="3">
        <v>0</v>
      </c>
    </row>
    <row r="698" spans="1:23" x14ac:dyDescent="0.25">
      <c r="A698" s="3" t="s">
        <v>2032</v>
      </c>
      <c r="B698" s="3" t="s">
        <v>1374</v>
      </c>
      <c r="C698" s="3"/>
      <c r="D698" s="3" t="s">
        <v>1375</v>
      </c>
      <c r="E698" s="3">
        <v>609.70000000000005</v>
      </c>
      <c r="F698" s="3">
        <v>21.05</v>
      </c>
      <c r="G698" s="3">
        <v>45.82</v>
      </c>
      <c r="H698" s="3">
        <v>28.28</v>
      </c>
      <c r="I698" s="3">
        <v>10.3</v>
      </c>
      <c r="J698" s="3">
        <v>5.65</v>
      </c>
      <c r="K698" s="3">
        <v>24.53</v>
      </c>
      <c r="L698" s="3">
        <v>13.35</v>
      </c>
      <c r="M698" s="3">
        <v>0</v>
      </c>
      <c r="N698" s="3">
        <v>107</v>
      </c>
      <c r="O698" s="3">
        <v>469</v>
      </c>
      <c r="P698" s="3">
        <v>4.03</v>
      </c>
      <c r="Q698" s="3">
        <v>1007</v>
      </c>
      <c r="R698" s="3">
        <v>6</v>
      </c>
      <c r="S698" s="3">
        <v>2.34</v>
      </c>
      <c r="T698" s="3">
        <v>3</v>
      </c>
      <c r="U698" s="3">
        <v>13</v>
      </c>
      <c r="V698" s="3">
        <v>51</v>
      </c>
      <c r="W698" s="3">
        <v>0</v>
      </c>
    </row>
    <row r="699" spans="1:23" x14ac:dyDescent="0.25">
      <c r="A699" s="3" t="s">
        <v>2032</v>
      </c>
      <c r="B699" s="3" t="s">
        <v>1376</v>
      </c>
      <c r="C699" s="3"/>
      <c r="D699" s="3" t="s">
        <v>1377</v>
      </c>
      <c r="E699" s="3">
        <v>511.3</v>
      </c>
      <c r="F699" s="3">
        <v>16.54</v>
      </c>
      <c r="G699" s="3">
        <v>30.74</v>
      </c>
      <c r="H699" s="3">
        <v>42.12</v>
      </c>
      <c r="I699" s="3">
        <v>34.4</v>
      </c>
      <c r="J699" s="3">
        <v>3.33</v>
      </c>
      <c r="K699" s="3">
        <v>2.31</v>
      </c>
      <c r="L699" s="3">
        <v>23.66</v>
      </c>
      <c r="M699" s="3">
        <v>0</v>
      </c>
      <c r="N699" s="3">
        <v>631</v>
      </c>
      <c r="O699" s="3">
        <v>860</v>
      </c>
      <c r="P699" s="3">
        <v>7.72</v>
      </c>
      <c r="Q699" s="3">
        <v>407</v>
      </c>
      <c r="R699" s="3">
        <v>16</v>
      </c>
      <c r="S699" s="3">
        <v>4.58</v>
      </c>
      <c r="T699" s="3">
        <v>1.6</v>
      </c>
      <c r="U699" s="3">
        <v>16.2</v>
      </c>
      <c r="V699" s="3">
        <v>49</v>
      </c>
      <c r="W699" s="3">
        <v>0</v>
      </c>
    </row>
    <row r="700" spans="1:23" x14ac:dyDescent="0.25">
      <c r="A700" s="3" t="s">
        <v>2032</v>
      </c>
      <c r="B700" s="3" t="s">
        <v>1378</v>
      </c>
      <c r="C700" s="3"/>
      <c r="D700" s="3" t="s">
        <v>1379</v>
      </c>
      <c r="E700" s="3">
        <v>568.12</v>
      </c>
      <c r="F700" s="3">
        <v>18.29</v>
      </c>
      <c r="G700" s="3">
        <v>42.16</v>
      </c>
      <c r="H700" s="3">
        <v>28.88</v>
      </c>
      <c r="I700" s="3">
        <v>27.3</v>
      </c>
      <c r="J700" s="3">
        <v>3.66</v>
      </c>
      <c r="K700" s="3">
        <v>7.53</v>
      </c>
      <c r="L700" s="3">
        <v>28.73</v>
      </c>
      <c r="M700" s="3">
        <v>0</v>
      </c>
      <c r="N700" s="3">
        <v>255</v>
      </c>
      <c r="O700" s="3">
        <v>642</v>
      </c>
      <c r="P700" s="3">
        <v>5.73</v>
      </c>
      <c r="Q700" s="3">
        <v>813</v>
      </c>
      <c r="R700" s="3">
        <v>30</v>
      </c>
      <c r="S700" s="3">
        <v>4.34</v>
      </c>
      <c r="T700" s="3">
        <v>0.6</v>
      </c>
      <c r="U700" s="3">
        <v>0</v>
      </c>
      <c r="V700" s="3">
        <v>87</v>
      </c>
      <c r="W700" s="3">
        <v>0</v>
      </c>
    </row>
    <row r="701" spans="1:23" x14ac:dyDescent="0.25">
      <c r="A701" s="3" t="s">
        <v>2032</v>
      </c>
      <c r="B701" s="3" t="s">
        <v>1380</v>
      </c>
      <c r="C701" s="3"/>
      <c r="D701" s="3" t="s">
        <v>1381</v>
      </c>
      <c r="E701" s="3">
        <v>611.75</v>
      </c>
      <c r="F701" s="3">
        <v>17.73</v>
      </c>
      <c r="G701" s="3">
        <v>49.67</v>
      </c>
      <c r="H701" s="3">
        <v>23.45</v>
      </c>
      <c r="I701" s="3">
        <v>11.8</v>
      </c>
      <c r="J701" s="3">
        <v>6.96</v>
      </c>
      <c r="K701" s="3">
        <v>18.760000000000002</v>
      </c>
      <c r="L701" s="3">
        <v>21.77</v>
      </c>
      <c r="M701" s="3">
        <v>0</v>
      </c>
      <c r="N701" s="3">
        <v>975</v>
      </c>
      <c r="O701" s="3">
        <v>629</v>
      </c>
      <c r="P701" s="3">
        <v>14.55</v>
      </c>
      <c r="Q701" s="3">
        <v>468</v>
      </c>
      <c r="R701" s="3">
        <v>11</v>
      </c>
      <c r="S701" s="3">
        <v>7.75</v>
      </c>
      <c r="T701" s="3">
        <v>0</v>
      </c>
      <c r="U701" s="3">
        <v>0</v>
      </c>
      <c r="V701" s="3">
        <v>97</v>
      </c>
      <c r="W701" s="3">
        <v>0</v>
      </c>
    </row>
    <row r="702" spans="1:23" x14ac:dyDescent="0.25">
      <c r="A702" s="3" t="s">
        <v>2032</v>
      </c>
      <c r="B702" s="3" t="s">
        <v>1382</v>
      </c>
      <c r="C702" s="3"/>
      <c r="D702" s="3" t="s">
        <v>1383</v>
      </c>
      <c r="E702" s="3">
        <v>540</v>
      </c>
      <c r="F702" s="3">
        <v>20</v>
      </c>
      <c r="G702" s="3">
        <v>33.33</v>
      </c>
      <c r="H702" s="3">
        <v>40</v>
      </c>
      <c r="I702" s="3">
        <v>26.67</v>
      </c>
      <c r="J702" s="3">
        <v>3.33</v>
      </c>
      <c r="K702" s="3"/>
      <c r="L702" s="3">
        <v>26.67</v>
      </c>
      <c r="M702" s="3">
        <v>0</v>
      </c>
      <c r="N702" s="3">
        <v>500</v>
      </c>
      <c r="O702" s="3"/>
      <c r="P702" s="3">
        <v>6.67</v>
      </c>
      <c r="Q702" s="3">
        <v>500</v>
      </c>
      <c r="R702" s="3">
        <v>0</v>
      </c>
      <c r="S702" s="3"/>
      <c r="T702" s="3"/>
      <c r="U702" s="3"/>
      <c r="V702" s="3"/>
      <c r="W702" s="3"/>
    </row>
    <row r="703" spans="1:23" x14ac:dyDescent="0.25">
      <c r="A703" s="3" t="s">
        <v>2032</v>
      </c>
      <c r="B703" s="3" t="s">
        <v>1384</v>
      </c>
      <c r="C703" s="3"/>
      <c r="D703" s="3" t="s">
        <v>1385</v>
      </c>
      <c r="E703" s="3">
        <v>614.41</v>
      </c>
      <c r="F703" s="3">
        <v>19.100000000000001</v>
      </c>
      <c r="G703" s="3">
        <v>49.21</v>
      </c>
      <c r="H703" s="3">
        <v>23.78</v>
      </c>
      <c r="I703" s="3">
        <v>10.7</v>
      </c>
      <c r="J703" s="3">
        <v>5.15</v>
      </c>
      <c r="K703" s="3">
        <v>9.39</v>
      </c>
      <c r="L703" s="3">
        <v>32.5</v>
      </c>
      <c r="M703" s="3">
        <v>0</v>
      </c>
      <c r="N703" s="3">
        <v>70</v>
      </c>
      <c r="O703" s="3">
        <v>1141</v>
      </c>
      <c r="P703" s="3">
        <v>3.76</v>
      </c>
      <c r="Q703" s="3">
        <v>840</v>
      </c>
      <c r="R703" s="3">
        <v>462</v>
      </c>
      <c r="S703" s="3">
        <v>5.23</v>
      </c>
      <c r="T703" s="3">
        <v>1.4</v>
      </c>
      <c r="U703" s="3">
        <v>0</v>
      </c>
      <c r="V703" s="3">
        <v>234</v>
      </c>
      <c r="W703" s="3">
        <v>0</v>
      </c>
    </row>
    <row r="704" spans="1:23" x14ac:dyDescent="0.25">
      <c r="A704" s="3" t="s">
        <v>2032</v>
      </c>
      <c r="B704" s="3" t="s">
        <v>1386</v>
      </c>
      <c r="C704" s="3"/>
      <c r="D704" s="3" t="s">
        <v>1387</v>
      </c>
      <c r="E704" s="3">
        <v>621.67999999999995</v>
      </c>
      <c r="F704" s="3">
        <v>19.3</v>
      </c>
      <c r="G704" s="3">
        <v>49.8</v>
      </c>
      <c r="H704" s="3">
        <v>24.07</v>
      </c>
      <c r="I704" s="3">
        <v>11.1</v>
      </c>
      <c r="J704" s="3">
        <v>5.21</v>
      </c>
      <c r="K704" s="3">
        <v>9.5</v>
      </c>
      <c r="L704" s="3">
        <v>32.799999999999997</v>
      </c>
      <c r="M704" s="3"/>
      <c r="N704" s="3">
        <v>70</v>
      </c>
      <c r="O704" s="3">
        <v>1155</v>
      </c>
      <c r="P704" s="3">
        <v>3.8</v>
      </c>
      <c r="Q704" s="3">
        <v>850</v>
      </c>
      <c r="R704" s="3">
        <v>3</v>
      </c>
      <c r="S704" s="3">
        <v>5.29</v>
      </c>
      <c r="T704" s="3">
        <v>1.4</v>
      </c>
      <c r="U704" s="3">
        <v>0</v>
      </c>
      <c r="V704" s="3">
        <v>237</v>
      </c>
      <c r="W704" s="3">
        <v>0</v>
      </c>
    </row>
    <row r="705" spans="1:23" x14ac:dyDescent="0.25">
      <c r="A705" s="3" t="s">
        <v>2032</v>
      </c>
      <c r="B705" s="3" t="s">
        <v>1388</v>
      </c>
      <c r="C705" s="3"/>
      <c r="D705" s="3" t="s">
        <v>1389</v>
      </c>
      <c r="E705" s="3">
        <v>406.19</v>
      </c>
      <c r="F705" s="3">
        <v>15.8</v>
      </c>
      <c r="G705" s="3">
        <v>14.87</v>
      </c>
      <c r="H705" s="3">
        <v>52.29</v>
      </c>
      <c r="I705" s="3">
        <v>39.799999999999997</v>
      </c>
      <c r="J705" s="3">
        <v>0.48</v>
      </c>
      <c r="K705" s="3">
        <v>9.91</v>
      </c>
      <c r="L705" s="3">
        <v>1.68</v>
      </c>
      <c r="M705" s="3">
        <v>0</v>
      </c>
      <c r="N705" s="3">
        <v>1196</v>
      </c>
      <c r="O705" s="3">
        <v>487</v>
      </c>
      <c r="P705" s="3">
        <v>18.54</v>
      </c>
      <c r="Q705" s="3">
        <v>1694</v>
      </c>
      <c r="R705" s="3">
        <v>88</v>
      </c>
      <c r="S705" s="3">
        <v>3.7</v>
      </c>
      <c r="T705" s="3">
        <v>21</v>
      </c>
      <c r="U705" s="3">
        <v>7</v>
      </c>
      <c r="V705" s="3"/>
      <c r="W705" s="3">
        <v>0</v>
      </c>
    </row>
    <row r="706" spans="1:23" x14ac:dyDescent="0.25">
      <c r="A706" s="3" t="s">
        <v>2032</v>
      </c>
      <c r="B706" s="3" t="s">
        <v>1390</v>
      </c>
      <c r="C706" s="3"/>
      <c r="D706" s="3" t="s">
        <v>1391</v>
      </c>
      <c r="E706" s="3">
        <v>415.3</v>
      </c>
      <c r="F706" s="3">
        <v>16</v>
      </c>
      <c r="G706" s="3">
        <v>14.5</v>
      </c>
      <c r="H706" s="3">
        <v>55.2</v>
      </c>
      <c r="I706" s="3">
        <v>21.1</v>
      </c>
      <c r="J706" s="3"/>
      <c r="K706" s="3"/>
      <c r="L706" s="3"/>
      <c r="M706" s="3">
        <v>0</v>
      </c>
      <c r="N706" s="3"/>
      <c r="O706" s="3"/>
      <c r="P706" s="3"/>
      <c r="Q706" s="3"/>
      <c r="R706" s="3">
        <v>20</v>
      </c>
      <c r="S706" s="3"/>
      <c r="T706" s="3"/>
      <c r="U706" s="3"/>
      <c r="V706" s="3"/>
      <c r="W706" s="3"/>
    </row>
    <row r="707" spans="1:23" x14ac:dyDescent="0.25">
      <c r="A707" s="3" t="s">
        <v>2032</v>
      </c>
      <c r="B707" s="3" t="s">
        <v>1392</v>
      </c>
      <c r="C707" s="3"/>
      <c r="D707" s="3" t="s">
        <v>1393</v>
      </c>
      <c r="E707" s="3">
        <v>606.25</v>
      </c>
      <c r="F707" s="3">
        <v>21.35</v>
      </c>
      <c r="G707" s="3">
        <v>45.97</v>
      </c>
      <c r="H707" s="3">
        <v>26.78</v>
      </c>
      <c r="I707" s="3">
        <v>10.3</v>
      </c>
      <c r="J707" s="3">
        <v>5.55</v>
      </c>
      <c r="K707" s="3">
        <v>24.22</v>
      </c>
      <c r="L707" s="3">
        <v>13.9</v>
      </c>
      <c r="M707" s="3">
        <v>0</v>
      </c>
      <c r="N707" s="3">
        <v>110</v>
      </c>
      <c r="O707" s="3">
        <v>485</v>
      </c>
      <c r="P707" s="3">
        <v>4.2</v>
      </c>
      <c r="Q707" s="3">
        <v>1042</v>
      </c>
      <c r="R707" s="3">
        <v>405</v>
      </c>
      <c r="S707" s="3">
        <v>2.2999999999999998</v>
      </c>
      <c r="T707" s="3">
        <v>2</v>
      </c>
      <c r="U707" s="3">
        <v>13</v>
      </c>
      <c r="V707" s="3">
        <v>50</v>
      </c>
      <c r="W707" s="3">
        <v>0</v>
      </c>
    </row>
    <row r="708" spans="1:23" x14ac:dyDescent="0.25">
      <c r="A708" s="3" t="s">
        <v>2032</v>
      </c>
      <c r="B708" s="3" t="s">
        <v>1394</v>
      </c>
      <c r="C708" s="3"/>
      <c r="D708" s="3" t="s">
        <v>1395</v>
      </c>
      <c r="E708" s="3">
        <v>562</v>
      </c>
      <c r="F708" s="3">
        <v>24.5</v>
      </c>
      <c r="G708" s="3">
        <v>46</v>
      </c>
      <c r="H708" s="3">
        <v>12.5</v>
      </c>
      <c r="I708" s="3">
        <v>5.3</v>
      </c>
      <c r="J708" s="3"/>
      <c r="K708" s="3"/>
      <c r="L708" s="3"/>
      <c r="M708" s="3">
        <v>0</v>
      </c>
      <c r="N708" s="3"/>
      <c r="O708" s="3">
        <v>1170</v>
      </c>
      <c r="P708" s="3">
        <v>15</v>
      </c>
      <c r="Q708" s="3"/>
      <c r="R708" s="3">
        <v>18</v>
      </c>
      <c r="S708" s="3"/>
      <c r="T708" s="3"/>
      <c r="U708" s="3"/>
      <c r="V708" s="3"/>
      <c r="W708" s="3"/>
    </row>
    <row r="709" spans="1:23" x14ac:dyDescent="0.25">
      <c r="A709" s="3" t="s">
        <v>2032</v>
      </c>
      <c r="B709" s="3" t="s">
        <v>1396</v>
      </c>
      <c r="C709" s="3"/>
      <c r="D709" s="3" t="s">
        <v>1397</v>
      </c>
      <c r="E709" s="3">
        <v>463.8</v>
      </c>
      <c r="F709" s="3">
        <v>18.55</v>
      </c>
      <c r="G709" s="3">
        <v>19.399999999999999</v>
      </c>
      <c r="H709" s="3">
        <v>53.75</v>
      </c>
      <c r="I709" s="3">
        <v>18.399999999999999</v>
      </c>
      <c r="J709" s="3">
        <v>3.67</v>
      </c>
      <c r="K709" s="3">
        <v>6.03</v>
      </c>
      <c r="L709" s="3">
        <v>8.84</v>
      </c>
      <c r="M709" s="3">
        <v>0</v>
      </c>
      <c r="N709" s="3">
        <v>55</v>
      </c>
      <c r="O709" s="3">
        <v>92</v>
      </c>
      <c r="P709" s="3">
        <v>3.31</v>
      </c>
      <c r="Q709" s="3">
        <v>919</v>
      </c>
      <c r="R709" s="3">
        <v>18</v>
      </c>
      <c r="S709" s="3">
        <v>10.3</v>
      </c>
      <c r="T709" s="3">
        <v>0.3</v>
      </c>
      <c r="U709" s="3">
        <v>3</v>
      </c>
      <c r="V709" s="3">
        <v>9</v>
      </c>
      <c r="W709" s="3">
        <v>0</v>
      </c>
    </row>
    <row r="710" spans="1:23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 spans="1:23" x14ac:dyDescent="0.25">
      <c r="A711" t="s">
        <v>2033</v>
      </c>
      <c r="B711" s="3" t="s">
        <v>1398</v>
      </c>
      <c r="C711" s="3"/>
      <c r="D711" s="3" t="s">
        <v>1399</v>
      </c>
      <c r="E711" s="3">
        <v>293.33</v>
      </c>
      <c r="F711" s="3">
        <v>0</v>
      </c>
      <c r="G711" s="3">
        <v>0</v>
      </c>
      <c r="H711" s="3">
        <v>73.33</v>
      </c>
      <c r="I711" s="3">
        <v>0</v>
      </c>
      <c r="J711" s="3">
        <v>0</v>
      </c>
      <c r="K711" s="3"/>
      <c r="L711" s="3"/>
      <c r="M711" s="3">
        <v>0</v>
      </c>
      <c r="N711" s="3"/>
      <c r="O711" s="3"/>
      <c r="P711" s="3"/>
      <c r="Q711" s="3"/>
      <c r="R711" s="3">
        <v>0</v>
      </c>
      <c r="S711" s="3"/>
      <c r="T711" s="3"/>
      <c r="U711" s="3"/>
      <c r="V711" s="3"/>
      <c r="W711" s="3"/>
    </row>
    <row r="712" spans="1:23" x14ac:dyDescent="0.25">
      <c r="A712" s="3" t="s">
        <v>2033</v>
      </c>
      <c r="B712" s="3" t="s">
        <v>1400</v>
      </c>
      <c r="C712" s="3"/>
      <c r="D712" s="3" t="s">
        <v>1401</v>
      </c>
      <c r="E712" s="3">
        <v>320</v>
      </c>
      <c r="F712" s="3">
        <v>0</v>
      </c>
      <c r="G712" s="3">
        <v>0</v>
      </c>
      <c r="H712" s="3">
        <v>80</v>
      </c>
      <c r="I712" s="3">
        <v>0</v>
      </c>
      <c r="J712" s="3">
        <v>0</v>
      </c>
      <c r="K712" s="3"/>
      <c r="L712" s="3"/>
      <c r="M712" s="3">
        <v>0</v>
      </c>
      <c r="N712" s="3"/>
      <c r="O712" s="3"/>
      <c r="P712" s="3"/>
      <c r="Q712" s="3"/>
      <c r="R712" s="3">
        <v>0</v>
      </c>
      <c r="S712" s="3"/>
      <c r="T712" s="3"/>
      <c r="U712" s="3"/>
      <c r="V712" s="3"/>
      <c r="W712" s="3"/>
    </row>
    <row r="713" spans="1:23" x14ac:dyDescent="0.25">
      <c r="A713" s="3" t="s">
        <v>2033</v>
      </c>
      <c r="B713" s="3" t="s">
        <v>1402</v>
      </c>
      <c r="C713" s="3"/>
      <c r="D713" s="3" t="s">
        <v>1403</v>
      </c>
      <c r="E713" s="3">
        <v>396.4</v>
      </c>
      <c r="F713" s="3">
        <v>0</v>
      </c>
      <c r="G713" s="3">
        <v>0</v>
      </c>
      <c r="H713" s="3">
        <v>99.1</v>
      </c>
      <c r="I713" s="3"/>
      <c r="J713" s="3">
        <v>0</v>
      </c>
      <c r="K713" s="3">
        <v>0</v>
      </c>
      <c r="L713" s="3">
        <v>0</v>
      </c>
      <c r="M713" s="3">
        <v>0</v>
      </c>
      <c r="N713" s="3">
        <v>5</v>
      </c>
      <c r="O713" s="3">
        <v>1</v>
      </c>
      <c r="P713" s="3">
        <v>0.1</v>
      </c>
      <c r="Q713" s="3"/>
      <c r="R713" s="3">
        <v>0</v>
      </c>
      <c r="S713" s="3"/>
      <c r="T713" s="3"/>
      <c r="U713" s="3">
        <v>0</v>
      </c>
      <c r="V713" s="3"/>
      <c r="W713" s="3"/>
    </row>
    <row r="714" spans="1:23" x14ac:dyDescent="0.25">
      <c r="A714" s="3" t="s">
        <v>2033</v>
      </c>
      <c r="B714" s="3" t="s">
        <v>1404</v>
      </c>
      <c r="C714" s="3"/>
      <c r="D714" s="3" t="s">
        <v>1405</v>
      </c>
      <c r="E714" s="3">
        <v>960</v>
      </c>
      <c r="F714" s="3">
        <v>0</v>
      </c>
      <c r="G714" s="3">
        <v>0</v>
      </c>
      <c r="H714" s="3">
        <v>240</v>
      </c>
      <c r="I714" s="3">
        <v>0</v>
      </c>
      <c r="J714" s="3">
        <v>0</v>
      </c>
      <c r="K714" s="3"/>
      <c r="L714" s="3"/>
      <c r="M714" s="3">
        <v>0</v>
      </c>
      <c r="N714" s="3"/>
      <c r="O714" s="3"/>
      <c r="P714" s="3"/>
      <c r="Q714" s="3"/>
      <c r="R714" s="3">
        <v>0</v>
      </c>
      <c r="S714" s="3"/>
      <c r="T714" s="3"/>
      <c r="U714" s="3"/>
      <c r="V714" s="3"/>
      <c r="W714" s="3"/>
    </row>
    <row r="715" spans="1:23" x14ac:dyDescent="0.25">
      <c r="A715" s="3" t="s">
        <v>2033</v>
      </c>
      <c r="B715" s="3" t="s">
        <v>1406</v>
      </c>
      <c r="C715" s="3"/>
      <c r="D715" s="3" t="s">
        <v>1407</v>
      </c>
      <c r="E715" s="3">
        <v>400</v>
      </c>
      <c r="F715" s="3">
        <v>0</v>
      </c>
      <c r="G715" s="3">
        <v>0</v>
      </c>
      <c r="H715" s="3">
        <v>100</v>
      </c>
      <c r="I715" s="3">
        <v>0</v>
      </c>
      <c r="J715" s="3">
        <v>0</v>
      </c>
      <c r="K715" s="3"/>
      <c r="L715" s="3"/>
      <c r="M715" s="3">
        <v>0</v>
      </c>
      <c r="N715" s="3"/>
      <c r="O715" s="3"/>
      <c r="P715" s="3"/>
      <c r="Q715" s="3"/>
      <c r="R715" s="3">
        <v>0</v>
      </c>
      <c r="S715" s="3"/>
      <c r="T715" s="3"/>
      <c r="U715" s="3"/>
      <c r="V715" s="3"/>
      <c r="W715" s="3"/>
    </row>
    <row r="716" spans="1:23" x14ac:dyDescent="0.25">
      <c r="A716" s="3" t="s">
        <v>2033</v>
      </c>
      <c r="B716" s="3" t="s">
        <v>1408</v>
      </c>
      <c r="C716" s="3"/>
      <c r="D716" s="3" t="s">
        <v>1409</v>
      </c>
      <c r="E716" s="3">
        <v>389.32</v>
      </c>
      <c r="F716" s="3">
        <v>0</v>
      </c>
      <c r="G716" s="3">
        <v>0</v>
      </c>
      <c r="H716" s="3">
        <v>97.33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85</v>
      </c>
      <c r="O716" s="3">
        <v>22</v>
      </c>
      <c r="P716" s="3">
        <v>1.91</v>
      </c>
      <c r="Q716" s="3">
        <v>346</v>
      </c>
      <c r="R716" s="3">
        <v>39</v>
      </c>
      <c r="S716" s="3">
        <v>0.18</v>
      </c>
      <c r="T716" s="3">
        <v>0</v>
      </c>
      <c r="U716" s="3">
        <v>0</v>
      </c>
      <c r="V716" s="3">
        <v>1</v>
      </c>
      <c r="W716" s="3">
        <v>0</v>
      </c>
    </row>
    <row r="717" spans="1:23" x14ac:dyDescent="0.25">
      <c r="A717" s="3" t="s">
        <v>2033</v>
      </c>
      <c r="B717" s="3" t="s">
        <v>1410</v>
      </c>
      <c r="C717" s="3"/>
      <c r="D717" s="3" t="s">
        <v>1411</v>
      </c>
      <c r="E717" s="3">
        <v>400</v>
      </c>
      <c r="F717" s="3">
        <v>0</v>
      </c>
      <c r="G717" s="3">
        <v>0</v>
      </c>
      <c r="H717" s="3">
        <v>100</v>
      </c>
      <c r="I717" s="3"/>
      <c r="J717" s="3"/>
      <c r="K717" s="3"/>
      <c r="L717" s="3"/>
      <c r="M717" s="3">
        <v>0</v>
      </c>
      <c r="N717" s="3"/>
      <c r="O717" s="3"/>
      <c r="P717" s="3"/>
      <c r="Q717" s="3"/>
      <c r="R717" s="3">
        <v>20</v>
      </c>
      <c r="S717" s="3"/>
      <c r="T717" s="3"/>
      <c r="U717" s="3"/>
      <c r="V717" s="3"/>
      <c r="W717" s="3"/>
    </row>
    <row r="718" spans="1:23" x14ac:dyDescent="0.25">
      <c r="A718" s="3" t="s">
        <v>2033</v>
      </c>
      <c r="B718" s="3" t="s">
        <v>1412</v>
      </c>
      <c r="C718" s="3"/>
      <c r="D718" s="3" t="s">
        <v>1413</v>
      </c>
      <c r="E718" s="3">
        <v>400</v>
      </c>
      <c r="F718" s="3">
        <v>0</v>
      </c>
      <c r="G718" s="3">
        <v>0</v>
      </c>
      <c r="H718" s="3">
        <v>100</v>
      </c>
      <c r="I718" s="3">
        <v>0</v>
      </c>
      <c r="J718" s="3">
        <v>0</v>
      </c>
      <c r="K718" s="3"/>
      <c r="L718" s="3"/>
      <c r="M718" s="3">
        <v>0</v>
      </c>
      <c r="N718" s="3"/>
      <c r="O718" s="3"/>
      <c r="P718" s="3"/>
      <c r="Q718" s="3"/>
      <c r="R718" s="3">
        <v>0</v>
      </c>
      <c r="S718" s="3"/>
      <c r="T718" s="3"/>
      <c r="U718" s="3"/>
      <c r="V718" s="3"/>
      <c r="W718" s="3"/>
    </row>
    <row r="719" spans="1:23" x14ac:dyDescent="0.25">
      <c r="A719" s="3" t="s">
        <v>2033</v>
      </c>
      <c r="B719" s="3" t="s">
        <v>1414</v>
      </c>
      <c r="C719" s="3"/>
      <c r="D719" s="3" t="s">
        <v>1415</v>
      </c>
      <c r="E719" s="3">
        <v>400</v>
      </c>
      <c r="F719" s="3">
        <v>0</v>
      </c>
      <c r="G719" s="3">
        <v>0</v>
      </c>
      <c r="H719" s="3">
        <v>100</v>
      </c>
      <c r="I719" s="3">
        <v>0</v>
      </c>
      <c r="J719" s="3">
        <v>0</v>
      </c>
      <c r="K719" s="3"/>
      <c r="L719" s="3"/>
      <c r="M719" s="3">
        <v>0</v>
      </c>
      <c r="N719" s="3"/>
      <c r="O719" s="3"/>
      <c r="P719" s="3"/>
      <c r="Q719" s="3"/>
      <c r="R719" s="3">
        <v>0</v>
      </c>
      <c r="S719" s="3"/>
      <c r="T719" s="3"/>
      <c r="U719" s="3"/>
      <c r="V719" s="3"/>
      <c r="W719" s="3"/>
    </row>
    <row r="720" spans="1:23" x14ac:dyDescent="0.25">
      <c r="A720" s="3" t="s">
        <v>2033</v>
      </c>
      <c r="B720" s="3" t="s">
        <v>1416</v>
      </c>
      <c r="C720" s="3"/>
      <c r="D720" s="3" t="s">
        <v>1417</v>
      </c>
      <c r="E720" s="3">
        <v>400</v>
      </c>
      <c r="F720" s="3">
        <v>0</v>
      </c>
      <c r="G720" s="3">
        <v>0</v>
      </c>
      <c r="H720" s="3">
        <v>100</v>
      </c>
      <c r="I720" s="3"/>
      <c r="J720" s="3">
        <v>0</v>
      </c>
      <c r="K720" s="3"/>
      <c r="L720" s="3"/>
      <c r="M720" s="3">
        <v>0</v>
      </c>
      <c r="N720" s="3"/>
      <c r="O720" s="3"/>
      <c r="P720" s="3"/>
      <c r="Q720" s="3"/>
      <c r="R720" s="3">
        <v>0</v>
      </c>
      <c r="S720" s="3"/>
      <c r="T720" s="3"/>
      <c r="U720" s="3"/>
      <c r="V720" s="3"/>
      <c r="W720" s="3"/>
    </row>
    <row r="721" spans="1:23" x14ac:dyDescent="0.25">
      <c r="A721" s="3" t="s">
        <v>2033</v>
      </c>
      <c r="B721" s="3" t="s">
        <v>1418</v>
      </c>
      <c r="C721" s="3"/>
      <c r="D721" s="3" t="s">
        <v>1419</v>
      </c>
      <c r="E721" s="3">
        <v>400</v>
      </c>
      <c r="F721" s="3">
        <v>0</v>
      </c>
      <c r="G721" s="3">
        <v>0</v>
      </c>
      <c r="H721" s="3">
        <v>100</v>
      </c>
      <c r="I721" s="3"/>
      <c r="J721" s="3"/>
      <c r="K721" s="3"/>
      <c r="L721" s="3"/>
      <c r="M721" s="3"/>
      <c r="N721" s="3"/>
      <c r="O721" s="3"/>
      <c r="P721" s="3"/>
      <c r="Q721" s="3"/>
      <c r="R721" s="3">
        <v>0</v>
      </c>
      <c r="S721" s="3"/>
      <c r="T721" s="3"/>
      <c r="U721" s="3"/>
      <c r="V721" s="3"/>
      <c r="W721" s="3"/>
    </row>
    <row r="722" spans="1:23" x14ac:dyDescent="0.25">
      <c r="A722" s="3" t="s">
        <v>2033</v>
      </c>
      <c r="B722" s="3" t="s">
        <v>1420</v>
      </c>
      <c r="C722" s="3"/>
      <c r="D722" s="3" t="s">
        <v>1421</v>
      </c>
      <c r="E722" s="3">
        <v>84.1</v>
      </c>
      <c r="F722" s="3">
        <v>0.3</v>
      </c>
      <c r="G722" s="3">
        <v>0.1</v>
      </c>
      <c r="H722" s="3">
        <v>20.5</v>
      </c>
      <c r="I722" s="3"/>
      <c r="J722" s="3"/>
      <c r="K722" s="3"/>
      <c r="L722" s="3"/>
      <c r="M722" s="3"/>
      <c r="N722" s="3">
        <v>13</v>
      </c>
      <c r="O722" s="3">
        <v>12</v>
      </c>
      <c r="P722" s="3">
        <v>0.7</v>
      </c>
      <c r="Q722" s="3"/>
      <c r="R722" s="3"/>
      <c r="S722" s="3"/>
      <c r="T722" s="3">
        <v>2</v>
      </c>
      <c r="U722" s="3"/>
      <c r="V722" s="3"/>
      <c r="W722" s="3"/>
    </row>
    <row r="723" spans="1:23" x14ac:dyDescent="0.25">
      <c r="A723" s="3" t="s">
        <v>2033</v>
      </c>
      <c r="B723" s="3" t="s">
        <v>1422</v>
      </c>
      <c r="C723" s="3"/>
      <c r="D723" s="3" t="s">
        <v>1423</v>
      </c>
      <c r="E723" s="3">
        <v>393.8</v>
      </c>
      <c r="F723" s="3">
        <v>0</v>
      </c>
      <c r="G723" s="3">
        <v>0.2</v>
      </c>
      <c r="H723" s="3">
        <v>98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3</v>
      </c>
      <c r="O723" s="3">
        <v>3</v>
      </c>
      <c r="P723" s="3">
        <v>0.3</v>
      </c>
      <c r="Q723" s="3">
        <v>5</v>
      </c>
      <c r="R723" s="3">
        <v>38</v>
      </c>
      <c r="S723" s="3">
        <v>0.01</v>
      </c>
      <c r="T723" s="3">
        <v>0</v>
      </c>
      <c r="U723" s="3">
        <v>0</v>
      </c>
      <c r="V723" s="3">
        <v>0</v>
      </c>
      <c r="W723" s="3">
        <v>0</v>
      </c>
    </row>
    <row r="724" spans="1:23" x14ac:dyDescent="0.25">
      <c r="A724" s="3" t="s">
        <v>2033</v>
      </c>
      <c r="B724" s="3" t="s">
        <v>1424</v>
      </c>
      <c r="C724" s="3"/>
      <c r="D724" s="3" t="s">
        <v>1425</v>
      </c>
      <c r="E724" s="3">
        <v>395.6</v>
      </c>
      <c r="F724" s="3">
        <v>0</v>
      </c>
      <c r="G724" s="3">
        <v>0</v>
      </c>
      <c r="H724" s="3">
        <v>98.9</v>
      </c>
      <c r="I724" s="3">
        <v>0.1</v>
      </c>
      <c r="J724" s="3">
        <v>0</v>
      </c>
      <c r="K724" s="3">
        <v>0</v>
      </c>
      <c r="L724" s="3">
        <v>0</v>
      </c>
      <c r="M724" s="3">
        <v>0</v>
      </c>
      <c r="N724" s="3">
        <v>3</v>
      </c>
      <c r="O724" s="3">
        <v>1</v>
      </c>
      <c r="P724" s="3">
        <v>0.4</v>
      </c>
      <c r="Q724" s="3">
        <v>5</v>
      </c>
      <c r="R724" s="3">
        <v>44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</row>
    <row r="725" spans="1:23" x14ac:dyDescent="0.25">
      <c r="A725" s="3" t="s">
        <v>2033</v>
      </c>
      <c r="B725" s="3" t="s">
        <v>1426</v>
      </c>
      <c r="C725" s="3"/>
      <c r="D725" s="3" t="s">
        <v>1427</v>
      </c>
      <c r="E725" s="3">
        <v>406.25</v>
      </c>
      <c r="F725" s="3">
        <v>0</v>
      </c>
      <c r="G725" s="3">
        <v>6.25</v>
      </c>
      <c r="H725" s="3">
        <v>87.5</v>
      </c>
      <c r="I725" s="3">
        <v>0</v>
      </c>
      <c r="J725" s="3">
        <v>6.25</v>
      </c>
      <c r="K725" s="3"/>
      <c r="L725" s="3"/>
      <c r="M725" s="3">
        <v>0</v>
      </c>
      <c r="N725" s="3"/>
      <c r="O725" s="3"/>
      <c r="P725" s="3"/>
      <c r="Q725" s="3"/>
      <c r="R725" s="3">
        <v>312.5</v>
      </c>
      <c r="S725" s="3"/>
      <c r="T725" s="3"/>
      <c r="U725" s="3"/>
      <c r="V725" s="3"/>
      <c r="W725" s="3"/>
    </row>
    <row r="726" spans="1:23" x14ac:dyDescent="0.25">
      <c r="A726" s="3" t="s">
        <v>2033</v>
      </c>
      <c r="B726" s="3" t="s">
        <v>1428</v>
      </c>
      <c r="C726" s="3"/>
      <c r="D726" s="3" t="s">
        <v>1429</v>
      </c>
      <c r="E726" s="3">
        <v>405</v>
      </c>
      <c r="F726" s="3">
        <v>5</v>
      </c>
      <c r="G726" s="3">
        <v>5</v>
      </c>
      <c r="H726" s="3">
        <v>85</v>
      </c>
      <c r="I726" s="3">
        <v>0</v>
      </c>
      <c r="J726" s="3">
        <v>0</v>
      </c>
      <c r="K726" s="3"/>
      <c r="L726" s="3"/>
      <c r="M726" s="3">
        <v>0</v>
      </c>
      <c r="N726" s="3">
        <v>15</v>
      </c>
      <c r="O726" s="3"/>
      <c r="P726" s="3">
        <v>25</v>
      </c>
      <c r="Q726" s="3"/>
      <c r="R726" s="3">
        <v>25</v>
      </c>
      <c r="S726" s="3"/>
      <c r="T726" s="3">
        <v>0</v>
      </c>
      <c r="U726" s="3">
        <v>25</v>
      </c>
      <c r="V726" s="3"/>
      <c r="W726" s="3"/>
    </row>
    <row r="727" spans="1:23" x14ac:dyDescent="0.25">
      <c r="A727" s="3" t="s">
        <v>2033</v>
      </c>
      <c r="B727" s="3" t="s">
        <v>1430</v>
      </c>
      <c r="C727" s="3"/>
      <c r="D727" s="3" t="s">
        <v>1431</v>
      </c>
      <c r="E727" s="3">
        <v>360</v>
      </c>
      <c r="F727" s="3">
        <v>0</v>
      </c>
      <c r="G727" s="3">
        <v>0</v>
      </c>
      <c r="H727" s="3">
        <v>90</v>
      </c>
      <c r="I727" s="3">
        <v>0</v>
      </c>
      <c r="J727" s="3">
        <v>0</v>
      </c>
      <c r="K727" s="3">
        <v>0</v>
      </c>
      <c r="L727" s="3"/>
      <c r="M727" s="3">
        <v>0</v>
      </c>
      <c r="N727" s="3"/>
      <c r="O727" s="3"/>
      <c r="P727" s="3"/>
      <c r="Q727" s="3"/>
      <c r="R727" s="3">
        <v>10</v>
      </c>
      <c r="S727" s="3"/>
      <c r="T727" s="3"/>
      <c r="U727" s="3"/>
      <c r="V727" s="3"/>
      <c r="W727" s="3"/>
    </row>
    <row r="728" spans="1:23" x14ac:dyDescent="0.25">
      <c r="A728" s="3" t="s">
        <v>2033</v>
      </c>
      <c r="B728" s="3" t="s">
        <v>1432</v>
      </c>
      <c r="C728" s="3"/>
      <c r="D728" s="3" t="s">
        <v>1433</v>
      </c>
      <c r="E728" s="3">
        <v>388</v>
      </c>
      <c r="F728" s="3">
        <v>8</v>
      </c>
      <c r="G728" s="3">
        <v>4</v>
      </c>
      <c r="H728" s="3">
        <v>80</v>
      </c>
      <c r="I728" s="3">
        <v>4</v>
      </c>
      <c r="J728" s="3">
        <v>2</v>
      </c>
      <c r="K728" s="3">
        <v>0</v>
      </c>
      <c r="L728" s="3">
        <v>0</v>
      </c>
      <c r="M728" s="3">
        <v>0</v>
      </c>
      <c r="N728" s="3">
        <v>10</v>
      </c>
      <c r="O728" s="3">
        <v>10</v>
      </c>
      <c r="P728" s="3">
        <v>60</v>
      </c>
      <c r="Q728" s="3"/>
      <c r="R728" s="3">
        <v>300</v>
      </c>
      <c r="S728" s="3"/>
      <c r="T728" s="3">
        <v>100</v>
      </c>
      <c r="U728" s="3">
        <v>0</v>
      </c>
      <c r="V728" s="3"/>
      <c r="W728" s="3"/>
    </row>
    <row r="729" spans="1:23" x14ac:dyDescent="0.25">
      <c r="A729" s="3" t="s">
        <v>2033</v>
      </c>
      <c r="B729" s="3" t="s">
        <v>1434</v>
      </c>
      <c r="C729" s="3"/>
      <c r="D729" s="3" t="s">
        <v>1435</v>
      </c>
      <c r="E729" s="3">
        <v>369.4</v>
      </c>
      <c r="F729" s="3">
        <v>0.4</v>
      </c>
      <c r="G729" s="3">
        <v>1</v>
      </c>
      <c r="H729" s="3">
        <v>89.7</v>
      </c>
      <c r="I729" s="3"/>
      <c r="J729" s="3"/>
      <c r="K729" s="3"/>
      <c r="L729" s="3"/>
      <c r="M729" s="3"/>
      <c r="N729" s="3">
        <v>18</v>
      </c>
      <c r="O729" s="3">
        <v>23</v>
      </c>
      <c r="P729" s="3">
        <v>2.2999999999999998</v>
      </c>
      <c r="Q729" s="3"/>
      <c r="R729" s="3"/>
      <c r="S729" s="3"/>
      <c r="T729" s="3">
        <v>7</v>
      </c>
      <c r="U729" s="3"/>
      <c r="V729" s="3"/>
      <c r="W729" s="3"/>
    </row>
    <row r="730" spans="1:23" x14ac:dyDescent="0.25">
      <c r="A730" s="3" t="s">
        <v>2033</v>
      </c>
      <c r="B730" s="3" t="s">
        <v>1436</v>
      </c>
      <c r="C730" s="3"/>
      <c r="D730" s="3" t="s">
        <v>1437</v>
      </c>
      <c r="E730" s="3">
        <v>405.2</v>
      </c>
      <c r="F730" s="3">
        <v>0.1</v>
      </c>
      <c r="G730" s="3">
        <v>2.8</v>
      </c>
      <c r="H730" s="3">
        <v>94.9</v>
      </c>
      <c r="I730" s="3"/>
      <c r="J730" s="3"/>
      <c r="K730" s="3"/>
      <c r="L730" s="3"/>
      <c r="M730" s="3"/>
      <c r="N730" s="3">
        <v>14</v>
      </c>
      <c r="O730" s="3">
        <v>10</v>
      </c>
      <c r="P730" s="3">
        <v>2.1</v>
      </c>
      <c r="Q730" s="3"/>
      <c r="R730" s="3"/>
      <c r="S730" s="3"/>
      <c r="T730" s="3">
        <v>4</v>
      </c>
      <c r="U730" s="3"/>
      <c r="V730" s="3"/>
      <c r="W730" s="3"/>
    </row>
    <row r="731" spans="1:23" x14ac:dyDescent="0.25">
      <c r="A731" s="3" t="s">
        <v>2033</v>
      </c>
      <c r="B731" s="3" t="s">
        <v>1438</v>
      </c>
      <c r="C731" s="3"/>
      <c r="D731" s="3" t="s">
        <v>1439</v>
      </c>
      <c r="E731" s="3">
        <v>370</v>
      </c>
      <c r="F731" s="3">
        <v>6.67</v>
      </c>
      <c r="G731" s="3">
        <v>10</v>
      </c>
      <c r="H731" s="3">
        <v>63.33</v>
      </c>
      <c r="I731" s="3">
        <v>0</v>
      </c>
      <c r="J731" s="3">
        <v>5.33</v>
      </c>
      <c r="K731" s="3"/>
      <c r="L731" s="3"/>
      <c r="M731" s="3">
        <v>33.33</v>
      </c>
      <c r="N731" s="3"/>
      <c r="O731" s="3"/>
      <c r="P731" s="3"/>
      <c r="Q731" s="3"/>
      <c r="R731" s="3">
        <v>150</v>
      </c>
      <c r="S731" s="3"/>
      <c r="T731" s="3"/>
      <c r="U731" s="3"/>
      <c r="V731" s="3"/>
      <c r="W731" s="3"/>
    </row>
    <row r="732" spans="1:23" x14ac:dyDescent="0.25">
      <c r="A732" s="3" t="s">
        <v>2033</v>
      </c>
      <c r="B732" s="3" t="s">
        <v>1440</v>
      </c>
      <c r="C732" s="3"/>
      <c r="D732" s="3" t="s">
        <v>1441</v>
      </c>
      <c r="E732" s="3">
        <v>340</v>
      </c>
      <c r="F732" s="3">
        <v>6.67</v>
      </c>
      <c r="G732" s="3">
        <v>6.67</v>
      </c>
      <c r="H732" s="3">
        <v>63.33</v>
      </c>
      <c r="I732" s="3"/>
      <c r="J732" s="3">
        <v>5</v>
      </c>
      <c r="K732" s="3"/>
      <c r="L732" s="3"/>
      <c r="M732" s="3">
        <v>23.33</v>
      </c>
      <c r="N732" s="3"/>
      <c r="O732" s="3"/>
      <c r="P732" s="3"/>
      <c r="Q732" s="3"/>
      <c r="R732" s="3">
        <v>133.33000000000001</v>
      </c>
      <c r="S732" s="3"/>
      <c r="T732" s="3"/>
      <c r="U732" s="3"/>
      <c r="V732" s="3"/>
      <c r="W732" s="3"/>
    </row>
    <row r="733" spans="1:23" x14ac:dyDescent="0.25">
      <c r="A733" s="3" t="s">
        <v>2033</v>
      </c>
      <c r="B733" s="3" t="s">
        <v>1442</v>
      </c>
      <c r="C733" s="3"/>
      <c r="D733" s="3" t="s">
        <v>1443</v>
      </c>
      <c r="E733" s="3">
        <v>305</v>
      </c>
      <c r="F733" s="3">
        <v>10</v>
      </c>
      <c r="G733" s="3">
        <v>5</v>
      </c>
      <c r="H733" s="3">
        <v>55</v>
      </c>
      <c r="I733" s="3"/>
      <c r="J733" s="3">
        <v>5</v>
      </c>
      <c r="K733" s="3"/>
      <c r="L733" s="3"/>
      <c r="M733" s="3">
        <v>20</v>
      </c>
      <c r="N733" s="3"/>
      <c r="O733" s="3"/>
      <c r="P733" s="3"/>
      <c r="Q733" s="3"/>
      <c r="R733" s="3">
        <v>120</v>
      </c>
      <c r="S733" s="3"/>
      <c r="T733" s="3"/>
      <c r="U733" s="3"/>
      <c r="V733" s="3"/>
      <c r="W733" s="3"/>
    </row>
    <row r="734" spans="1:23" x14ac:dyDescent="0.25">
      <c r="A734" s="3" t="s">
        <v>2033</v>
      </c>
      <c r="B734" s="3" t="s">
        <v>1444</v>
      </c>
      <c r="C734" s="3"/>
      <c r="D734" s="3" t="s">
        <v>1445</v>
      </c>
      <c r="E734" s="3">
        <v>370</v>
      </c>
      <c r="F734" s="3">
        <v>10</v>
      </c>
      <c r="G734" s="3">
        <v>10</v>
      </c>
      <c r="H734" s="3">
        <v>60</v>
      </c>
      <c r="I734" s="3"/>
      <c r="J734" s="3">
        <v>5</v>
      </c>
      <c r="K734" s="3"/>
      <c r="L734" s="3"/>
      <c r="M734" s="3">
        <v>30</v>
      </c>
      <c r="N734" s="3"/>
      <c r="O734" s="3"/>
      <c r="P734" s="3"/>
      <c r="Q734" s="3"/>
      <c r="R734" s="3">
        <v>100</v>
      </c>
      <c r="S734" s="3"/>
      <c r="T734" s="3"/>
      <c r="U734" s="3"/>
      <c r="V734" s="3"/>
      <c r="W734" s="3"/>
    </row>
    <row r="735" spans="1:23" x14ac:dyDescent="0.25">
      <c r="A735" s="3" t="s">
        <v>2033</v>
      </c>
      <c r="B735" s="3" t="s">
        <v>1446</v>
      </c>
      <c r="C735" s="3"/>
      <c r="D735" s="3" t="s">
        <v>1447</v>
      </c>
      <c r="E735" s="3">
        <v>370</v>
      </c>
      <c r="F735" s="3">
        <v>10</v>
      </c>
      <c r="G735" s="3">
        <v>10</v>
      </c>
      <c r="H735" s="3">
        <v>60</v>
      </c>
      <c r="I735" s="3"/>
      <c r="J735" s="3">
        <v>5</v>
      </c>
      <c r="K735" s="3"/>
      <c r="L735" s="3"/>
      <c r="M735" s="3">
        <v>30</v>
      </c>
      <c r="N735" s="3"/>
      <c r="O735" s="3"/>
      <c r="P735" s="3"/>
      <c r="Q735" s="3"/>
      <c r="R735" s="3">
        <v>100</v>
      </c>
      <c r="S735" s="3"/>
      <c r="T735" s="3"/>
      <c r="U735" s="3"/>
      <c r="V735" s="3"/>
      <c r="W735" s="3"/>
    </row>
    <row r="736" spans="1:23" x14ac:dyDescent="0.25">
      <c r="A736" s="3" t="s">
        <v>2033</v>
      </c>
      <c r="B736" s="3" t="s">
        <v>1448</v>
      </c>
      <c r="C736" s="3"/>
      <c r="D736" s="3" t="s">
        <v>1449</v>
      </c>
      <c r="E736" s="3">
        <v>353.33</v>
      </c>
      <c r="F736" s="3">
        <v>6.67</v>
      </c>
      <c r="G736" s="3">
        <v>6.67</v>
      </c>
      <c r="H736" s="3">
        <v>66.67</v>
      </c>
      <c r="I736" s="3">
        <v>0</v>
      </c>
      <c r="J736" s="3">
        <v>0</v>
      </c>
      <c r="K736" s="3">
        <v>0</v>
      </c>
      <c r="L736" s="3">
        <v>0</v>
      </c>
      <c r="M736" s="3">
        <v>26.67</v>
      </c>
      <c r="N736" s="3"/>
      <c r="O736" s="3"/>
      <c r="P736" s="3"/>
      <c r="Q736" s="3"/>
      <c r="R736" s="3">
        <v>166.67</v>
      </c>
      <c r="S736" s="3"/>
      <c r="T736" s="3"/>
      <c r="U736" s="3"/>
      <c r="V736" s="3"/>
      <c r="W736" s="3"/>
    </row>
    <row r="737" spans="1:23" x14ac:dyDescent="0.25">
      <c r="A737" s="3" t="s">
        <v>2033</v>
      </c>
      <c r="B737" s="3" t="s">
        <v>1450</v>
      </c>
      <c r="C737" s="3"/>
      <c r="D737" s="3" t="s">
        <v>1451</v>
      </c>
      <c r="E737" s="3">
        <v>0</v>
      </c>
      <c r="F737" s="3">
        <v>0</v>
      </c>
      <c r="G737" s="3">
        <v>0</v>
      </c>
      <c r="H737" s="3">
        <v>0</v>
      </c>
      <c r="I737" s="3"/>
      <c r="J737" s="3">
        <v>0</v>
      </c>
      <c r="K737" s="3"/>
      <c r="L737" s="3"/>
      <c r="M737" s="3">
        <v>0</v>
      </c>
      <c r="N737" s="3"/>
      <c r="O737" s="3"/>
      <c r="P737" s="3"/>
      <c r="Q737" s="3"/>
      <c r="R737" s="3">
        <v>0</v>
      </c>
      <c r="S737" s="3"/>
      <c r="T737" s="3"/>
      <c r="U737" s="3"/>
      <c r="V737" s="3"/>
      <c r="W737" s="3"/>
    </row>
    <row r="738" spans="1:23" x14ac:dyDescent="0.25">
      <c r="A738" s="3" t="s">
        <v>2033</v>
      </c>
      <c r="B738" s="3" t="s">
        <v>1452</v>
      </c>
      <c r="C738" s="3"/>
      <c r="D738" s="3" t="s">
        <v>1453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/>
      <c r="L738" s="3"/>
      <c r="M738" s="3">
        <v>0</v>
      </c>
      <c r="N738" s="3"/>
      <c r="O738" s="3"/>
      <c r="P738" s="3"/>
      <c r="Q738" s="3"/>
      <c r="R738" s="3">
        <v>0</v>
      </c>
      <c r="S738" s="3"/>
      <c r="T738" s="3"/>
      <c r="U738" s="3"/>
      <c r="V738" s="3"/>
      <c r="W738" s="3"/>
    </row>
    <row r="739" spans="1:23" x14ac:dyDescent="0.25">
      <c r="A739" s="3" t="s">
        <v>2033</v>
      </c>
      <c r="B739" s="3" t="s">
        <v>1454</v>
      </c>
      <c r="C739" s="3"/>
      <c r="D739" s="3" t="s">
        <v>1455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/>
      <c r="L739" s="3"/>
      <c r="M739" s="3">
        <v>0</v>
      </c>
      <c r="N739" s="3"/>
      <c r="O739" s="3"/>
      <c r="P739" s="3"/>
      <c r="Q739" s="3"/>
      <c r="R739" s="3">
        <v>0</v>
      </c>
      <c r="S739" s="3"/>
      <c r="T739" s="3"/>
      <c r="U739" s="3"/>
      <c r="V739" s="3"/>
      <c r="W739" s="3"/>
    </row>
    <row r="740" spans="1:23" x14ac:dyDescent="0.25">
      <c r="A740" s="3" t="s">
        <v>2033</v>
      </c>
      <c r="B740" s="3" t="s">
        <v>1456</v>
      </c>
      <c r="C740" s="3"/>
      <c r="D740" s="3" t="s">
        <v>1457</v>
      </c>
      <c r="E740" s="3">
        <v>320</v>
      </c>
      <c r="F740" s="3">
        <v>0</v>
      </c>
      <c r="G740" s="3">
        <v>0</v>
      </c>
      <c r="H740" s="3">
        <v>80</v>
      </c>
      <c r="I740" s="3">
        <v>0</v>
      </c>
      <c r="J740" s="3">
        <v>0</v>
      </c>
      <c r="K740" s="3"/>
      <c r="L740" s="3"/>
      <c r="M740" s="3">
        <v>0</v>
      </c>
      <c r="N740" s="3"/>
      <c r="O740" s="3"/>
      <c r="P740" s="3"/>
      <c r="Q740" s="3"/>
      <c r="R740" s="3">
        <v>0</v>
      </c>
      <c r="S740" s="3"/>
      <c r="T740" s="3"/>
      <c r="U740" s="3"/>
      <c r="V740" s="3"/>
      <c r="W740" s="3"/>
    </row>
    <row r="741" spans="1:23" x14ac:dyDescent="0.25">
      <c r="A741" s="3" t="s">
        <v>2033</v>
      </c>
      <c r="B741" s="3" t="s">
        <v>1458</v>
      </c>
      <c r="C741" s="3"/>
      <c r="D741" s="3" t="s">
        <v>1459</v>
      </c>
      <c r="E741" s="3">
        <v>0</v>
      </c>
      <c r="F741" s="3">
        <v>0</v>
      </c>
      <c r="G741" s="3">
        <v>0</v>
      </c>
      <c r="H741" s="3">
        <v>0</v>
      </c>
      <c r="I741" s="3"/>
      <c r="J741" s="3">
        <v>0</v>
      </c>
      <c r="K741" s="3"/>
      <c r="L741" s="3"/>
      <c r="M741" s="3">
        <v>0</v>
      </c>
      <c r="N741" s="3"/>
      <c r="O741" s="3"/>
      <c r="P741" s="3"/>
      <c r="Q741" s="3"/>
      <c r="R741" s="3">
        <v>0</v>
      </c>
      <c r="S741" s="3"/>
      <c r="T741" s="3"/>
      <c r="U741" s="3"/>
      <c r="V741" s="3"/>
      <c r="W741" s="3"/>
    </row>
    <row r="742" spans="1:23" x14ac:dyDescent="0.25">
      <c r="A742" s="3" t="s">
        <v>2033</v>
      </c>
      <c r="B742" s="3" t="s">
        <v>1460</v>
      </c>
      <c r="C742" s="3"/>
      <c r="D742" s="3" t="s">
        <v>1461</v>
      </c>
      <c r="E742" s="3">
        <v>320</v>
      </c>
      <c r="F742" s="3"/>
      <c r="G742" s="3">
        <v>0</v>
      </c>
      <c r="H742" s="3">
        <v>80</v>
      </c>
      <c r="I742" s="3">
        <v>0</v>
      </c>
      <c r="J742" s="3">
        <v>0</v>
      </c>
      <c r="K742" s="3"/>
      <c r="L742" s="3"/>
      <c r="M742" s="3">
        <v>0</v>
      </c>
      <c r="N742" s="3"/>
      <c r="O742" s="3"/>
      <c r="P742" s="3"/>
      <c r="Q742" s="3"/>
      <c r="R742" s="3">
        <v>0</v>
      </c>
      <c r="S742" s="3"/>
      <c r="T742" s="3"/>
      <c r="U742" s="3"/>
      <c r="V742" s="3"/>
      <c r="W742" s="3"/>
    </row>
    <row r="743" spans="1:23" x14ac:dyDescent="0.25">
      <c r="A743" s="3" t="s">
        <v>2033</v>
      </c>
      <c r="B743" s="3" t="s">
        <v>1462</v>
      </c>
      <c r="C743" s="3"/>
      <c r="D743" s="3" t="s">
        <v>1463</v>
      </c>
      <c r="E743" s="3">
        <v>0</v>
      </c>
      <c r="F743" s="3">
        <v>0</v>
      </c>
      <c r="G743" s="3">
        <v>0</v>
      </c>
      <c r="H743" s="3">
        <v>0</v>
      </c>
      <c r="I743" s="3"/>
      <c r="J743" s="3">
        <v>0</v>
      </c>
      <c r="K743" s="3"/>
      <c r="L743" s="3"/>
      <c r="M743" s="3">
        <v>0</v>
      </c>
      <c r="N743" s="3"/>
      <c r="O743" s="3"/>
      <c r="P743" s="3"/>
      <c r="Q743" s="3"/>
      <c r="R743" s="3">
        <v>0</v>
      </c>
      <c r="S743" s="3"/>
      <c r="T743" s="3"/>
      <c r="U743" s="3"/>
      <c r="V743" s="3"/>
      <c r="W743" s="3"/>
    </row>
    <row r="744" spans="1:23" x14ac:dyDescent="0.25">
      <c r="A744" s="3" t="s">
        <v>2033</v>
      </c>
      <c r="B744" s="3" t="s">
        <v>1464</v>
      </c>
      <c r="C744" s="3"/>
      <c r="D744" s="3" t="s">
        <v>1465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/>
      <c r="L744" s="3"/>
      <c r="M744" s="3">
        <v>0</v>
      </c>
      <c r="N744" s="3"/>
      <c r="O744" s="3"/>
      <c r="P744" s="3"/>
      <c r="Q744" s="3"/>
      <c r="R744" s="3">
        <v>0</v>
      </c>
      <c r="S744" s="3"/>
      <c r="T744" s="3"/>
      <c r="U744" s="3"/>
      <c r="V744" s="3"/>
      <c r="W744" s="3"/>
    </row>
    <row r="745" spans="1:23" x14ac:dyDescent="0.25">
      <c r="A745" s="3" t="s">
        <v>2033</v>
      </c>
      <c r="B745" s="3" t="s">
        <v>1466</v>
      </c>
      <c r="C745" s="3"/>
      <c r="D745" s="3" t="s">
        <v>1467</v>
      </c>
      <c r="E745" s="3">
        <v>0</v>
      </c>
      <c r="F745" s="3">
        <v>0</v>
      </c>
      <c r="G745" s="3">
        <v>0</v>
      </c>
      <c r="H745" s="3">
        <v>0</v>
      </c>
      <c r="I745" s="3"/>
      <c r="J745" s="3">
        <v>0</v>
      </c>
      <c r="K745" s="3"/>
      <c r="L745" s="3"/>
      <c r="M745" s="3">
        <v>0</v>
      </c>
      <c r="N745" s="3"/>
      <c r="O745" s="3"/>
      <c r="P745" s="3"/>
      <c r="Q745" s="3"/>
      <c r="R745" s="3">
        <v>0</v>
      </c>
      <c r="S745" s="3"/>
      <c r="T745" s="3"/>
      <c r="U745" s="3"/>
      <c r="V745" s="3"/>
      <c r="W745" s="3"/>
    </row>
    <row r="746" spans="1:23" x14ac:dyDescent="0.25">
      <c r="A746" s="3" t="s">
        <v>2033</v>
      </c>
      <c r="B746" s="3" t="s">
        <v>1468</v>
      </c>
      <c r="C746" s="3"/>
      <c r="D746" s="3" t="s">
        <v>1469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/>
      <c r="L746" s="3"/>
      <c r="M746" s="3">
        <v>0</v>
      </c>
      <c r="N746" s="3"/>
      <c r="O746" s="3"/>
      <c r="P746" s="3"/>
      <c r="Q746" s="3"/>
      <c r="R746" s="3">
        <v>0</v>
      </c>
      <c r="S746" s="3"/>
      <c r="T746" s="3"/>
      <c r="U746" s="3"/>
      <c r="V746" s="3"/>
      <c r="W746" s="3"/>
    </row>
    <row r="747" spans="1:23" x14ac:dyDescent="0.25">
      <c r="A747" s="3" t="s">
        <v>2033</v>
      </c>
      <c r="B747" s="3" t="s">
        <v>1470</v>
      </c>
      <c r="C747" s="3"/>
      <c r="D747" s="3" t="s">
        <v>1471</v>
      </c>
      <c r="E747" s="3">
        <v>225.92</v>
      </c>
      <c r="F747" s="3"/>
      <c r="G747" s="3"/>
      <c r="H747" s="3">
        <v>56.48</v>
      </c>
      <c r="I747" s="3"/>
      <c r="J747" s="3"/>
      <c r="K747" s="3"/>
      <c r="L747" s="3"/>
      <c r="M747" s="3"/>
      <c r="N747" s="3"/>
      <c r="O747" s="3">
        <v>8</v>
      </c>
      <c r="P747" s="3"/>
      <c r="Q747" s="3"/>
      <c r="R747" s="3"/>
      <c r="S747" s="3"/>
      <c r="T747" s="3"/>
      <c r="U747" s="3"/>
      <c r="V747" s="3"/>
      <c r="W747" s="3"/>
    </row>
    <row r="748" spans="1:23" x14ac:dyDescent="0.25">
      <c r="A748" s="3" t="s">
        <v>2033</v>
      </c>
      <c r="B748" s="3" t="s">
        <v>1472</v>
      </c>
      <c r="C748" s="3"/>
      <c r="D748" s="3" t="s">
        <v>1473</v>
      </c>
      <c r="E748" s="3">
        <v>269.94</v>
      </c>
      <c r="F748" s="3">
        <v>0.26</v>
      </c>
      <c r="G748" s="3">
        <v>0.82</v>
      </c>
      <c r="H748" s="3">
        <v>65.38</v>
      </c>
      <c r="I748" s="3">
        <v>0.15</v>
      </c>
      <c r="J748" s="3"/>
      <c r="K748" s="3"/>
      <c r="L748" s="3"/>
      <c r="M748" s="3"/>
      <c r="N748" s="3">
        <v>9.57</v>
      </c>
      <c r="O748" s="3">
        <v>3.55</v>
      </c>
      <c r="P748" s="3">
        <v>0.15</v>
      </c>
      <c r="Q748" s="3">
        <v>0.13</v>
      </c>
      <c r="R748" s="3">
        <v>34.42</v>
      </c>
      <c r="S748" s="3">
        <v>7.0000000000000007E-2</v>
      </c>
      <c r="T748" s="3">
        <v>50.77</v>
      </c>
      <c r="U748" s="3">
        <v>8.8800000000000008</v>
      </c>
      <c r="V748" s="3">
        <v>0.81</v>
      </c>
      <c r="W748" s="3">
        <v>0.02</v>
      </c>
    </row>
    <row r="749" spans="1:23" x14ac:dyDescent="0.25">
      <c r="A749" s="3" t="s">
        <v>2033</v>
      </c>
      <c r="B749" s="3" t="s">
        <v>1474</v>
      </c>
      <c r="C749" s="3"/>
      <c r="D749" s="3" t="s">
        <v>1475</v>
      </c>
      <c r="E749" s="3">
        <v>112.26</v>
      </c>
      <c r="F749" s="3">
        <v>2.86</v>
      </c>
      <c r="G749" s="3">
        <v>2.9</v>
      </c>
      <c r="H749" s="3">
        <v>18.68</v>
      </c>
      <c r="I749" s="3">
        <v>0.1</v>
      </c>
      <c r="J749" s="3">
        <v>1.64</v>
      </c>
      <c r="K749" s="3">
        <v>0.71</v>
      </c>
      <c r="L749" s="3">
        <v>0.2</v>
      </c>
      <c r="M749" s="3">
        <v>9</v>
      </c>
      <c r="N749" s="3">
        <v>89</v>
      </c>
      <c r="O749" s="3">
        <v>74</v>
      </c>
      <c r="P749" s="3">
        <v>0.04</v>
      </c>
      <c r="Q749" s="3">
        <v>119</v>
      </c>
      <c r="R749" s="3">
        <v>156</v>
      </c>
      <c r="S749" s="3">
        <v>0.34</v>
      </c>
      <c r="T749" s="3">
        <v>0</v>
      </c>
      <c r="U749" s="3">
        <v>25</v>
      </c>
      <c r="V749" s="3">
        <v>4</v>
      </c>
      <c r="W749" s="3">
        <v>0.31</v>
      </c>
    </row>
    <row r="750" spans="1:23" x14ac:dyDescent="0.25">
      <c r="A750" s="3" t="s">
        <v>2033</v>
      </c>
      <c r="B750" s="3" t="s">
        <v>1476</v>
      </c>
      <c r="C750" s="3"/>
      <c r="D750" s="3" t="s">
        <v>1477</v>
      </c>
      <c r="E750" s="3">
        <v>61.64</v>
      </c>
      <c r="F750" s="3">
        <v>1.22</v>
      </c>
      <c r="G750" s="3">
        <v>0</v>
      </c>
      <c r="H750" s="3">
        <v>14.19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3</v>
      </c>
      <c r="O750" s="3">
        <v>22</v>
      </c>
      <c r="P750" s="3">
        <v>0.02</v>
      </c>
      <c r="Q750" s="3">
        <v>1</v>
      </c>
      <c r="R750" s="3">
        <v>75</v>
      </c>
      <c r="S750" s="3">
        <v>0.01</v>
      </c>
      <c r="T750" s="3">
        <v>0</v>
      </c>
      <c r="U750" s="3">
        <v>0</v>
      </c>
      <c r="V750" s="3">
        <v>1</v>
      </c>
      <c r="W750" s="3">
        <v>0</v>
      </c>
    </row>
    <row r="751" spans="1:23" x14ac:dyDescent="0.25">
      <c r="A751" s="3" t="s">
        <v>2033</v>
      </c>
      <c r="B751" s="3" t="s">
        <v>1478</v>
      </c>
      <c r="C751" s="3"/>
      <c r="D751" s="3" t="s">
        <v>1479</v>
      </c>
      <c r="E751" s="3">
        <v>290.91000000000003</v>
      </c>
      <c r="F751" s="3">
        <v>0</v>
      </c>
      <c r="G751" s="3">
        <v>0</v>
      </c>
      <c r="H751" s="3">
        <v>72.73</v>
      </c>
      <c r="I751" s="3"/>
      <c r="J751" s="3">
        <v>0</v>
      </c>
      <c r="K751" s="3"/>
      <c r="L751" s="3"/>
      <c r="M751" s="3">
        <v>0</v>
      </c>
      <c r="N751" s="3"/>
      <c r="O751" s="3"/>
      <c r="P751" s="3"/>
      <c r="Q751" s="3"/>
      <c r="R751" s="3">
        <v>0</v>
      </c>
      <c r="S751" s="3"/>
      <c r="T751" s="3"/>
      <c r="U751" s="3"/>
      <c r="V751" s="3"/>
      <c r="W751" s="3"/>
    </row>
    <row r="752" spans="1:23" x14ac:dyDescent="0.25">
      <c r="A752" s="3" t="s">
        <v>2033</v>
      </c>
      <c r="B752" s="3" t="s">
        <v>1480</v>
      </c>
      <c r="C752" s="3"/>
      <c r="D752" s="3" t="s">
        <v>1481</v>
      </c>
      <c r="E752" s="3">
        <v>267.02</v>
      </c>
      <c r="F752" s="3">
        <v>0</v>
      </c>
      <c r="G752" s="3">
        <v>0.3</v>
      </c>
      <c r="H752" s="3">
        <v>66.08</v>
      </c>
      <c r="I752" s="3">
        <v>2.4</v>
      </c>
      <c r="J752" s="3">
        <v>0.04</v>
      </c>
      <c r="K752" s="3">
        <v>0.08</v>
      </c>
      <c r="L752" s="3">
        <v>0.14000000000000001</v>
      </c>
      <c r="M752" s="3">
        <v>0</v>
      </c>
      <c r="N752" s="3">
        <v>0</v>
      </c>
      <c r="O752" s="3">
        <v>0</v>
      </c>
      <c r="P752" s="3">
        <v>0</v>
      </c>
      <c r="Q752" s="3">
        <v>2</v>
      </c>
      <c r="R752" s="3">
        <v>1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</row>
    <row r="753" spans="1:23" x14ac:dyDescent="0.25">
      <c r="A753" s="3" t="s">
        <v>2033</v>
      </c>
      <c r="B753" s="3" t="s">
        <v>1482</v>
      </c>
      <c r="C753" s="3"/>
      <c r="D753" s="3" t="s">
        <v>1483</v>
      </c>
      <c r="E753" s="3">
        <v>117.04</v>
      </c>
      <c r="F753" s="3">
        <v>0.05</v>
      </c>
      <c r="G753" s="3">
        <v>0.02</v>
      </c>
      <c r="H753" s="3">
        <v>29.17</v>
      </c>
      <c r="I753" s="3">
        <v>0.14000000000000001</v>
      </c>
      <c r="J753" s="3">
        <v>0</v>
      </c>
      <c r="K753" s="3">
        <v>0.01</v>
      </c>
      <c r="L753" s="3">
        <v>0.02</v>
      </c>
      <c r="M753" s="3">
        <v>0</v>
      </c>
      <c r="N753" s="3">
        <v>3</v>
      </c>
      <c r="O753" s="3">
        <v>1</v>
      </c>
      <c r="P753" s="3">
        <v>0.09</v>
      </c>
      <c r="Q753" s="3">
        <v>13</v>
      </c>
      <c r="R753" s="3">
        <v>0</v>
      </c>
      <c r="S753" s="3">
        <v>0.01</v>
      </c>
      <c r="T753" s="3">
        <v>7</v>
      </c>
      <c r="U753" s="3">
        <v>279</v>
      </c>
      <c r="V753" s="3"/>
      <c r="W753" s="3">
        <v>0</v>
      </c>
    </row>
    <row r="754" spans="1:23" x14ac:dyDescent="0.25">
      <c r="A754" s="3" t="s">
        <v>2033</v>
      </c>
      <c r="B754" s="3" t="s">
        <v>1484</v>
      </c>
      <c r="C754" s="3"/>
      <c r="D754" s="3" t="s">
        <v>1485</v>
      </c>
      <c r="E754" s="3">
        <v>62.86</v>
      </c>
      <c r="F754" s="3">
        <v>0</v>
      </c>
      <c r="G754" s="3">
        <v>0</v>
      </c>
      <c r="H754" s="3">
        <v>15.71</v>
      </c>
      <c r="I754" s="3"/>
      <c r="J754" s="3">
        <v>0</v>
      </c>
      <c r="K754" s="3">
        <v>0</v>
      </c>
      <c r="L754" s="3">
        <v>0</v>
      </c>
      <c r="M754" s="3">
        <v>0</v>
      </c>
      <c r="N754" s="3"/>
      <c r="O754" s="3"/>
      <c r="P754" s="3"/>
      <c r="Q754" s="3"/>
      <c r="R754" s="3">
        <v>0</v>
      </c>
      <c r="S754" s="3"/>
      <c r="T754" s="3"/>
      <c r="U754" s="3"/>
      <c r="V754" s="3"/>
      <c r="W754" s="3"/>
    </row>
    <row r="755" spans="1:23" x14ac:dyDescent="0.25">
      <c r="A755" s="3" t="s">
        <v>2033</v>
      </c>
      <c r="B755" s="3" t="s">
        <v>1486</v>
      </c>
      <c r="C755" s="3"/>
      <c r="D755" s="3" t="s">
        <v>1487</v>
      </c>
      <c r="E755" s="3">
        <v>45.8</v>
      </c>
      <c r="F755" s="3">
        <v>0</v>
      </c>
      <c r="G755" s="3">
        <v>0.2</v>
      </c>
      <c r="H755" s="3">
        <v>11</v>
      </c>
      <c r="I755" s="3"/>
      <c r="J755" s="3"/>
      <c r="K755" s="3"/>
      <c r="L755" s="3"/>
      <c r="M755" s="3"/>
      <c r="N755" s="3">
        <v>4</v>
      </c>
      <c r="O755" s="3">
        <v>2</v>
      </c>
      <c r="P755" s="3">
        <v>0.5</v>
      </c>
      <c r="Q755" s="3"/>
      <c r="R755" s="3"/>
      <c r="S755" s="3"/>
      <c r="T755" s="3">
        <v>4</v>
      </c>
      <c r="U755" s="3"/>
      <c r="V755" s="3"/>
      <c r="W755" s="3"/>
    </row>
    <row r="756" spans="1:23" x14ac:dyDescent="0.25">
      <c r="A756" s="3" t="s">
        <v>2033</v>
      </c>
      <c r="B756" s="3" t="s">
        <v>1488</v>
      </c>
      <c r="C756" s="3"/>
      <c r="D756" s="3" t="s">
        <v>1489</v>
      </c>
      <c r="E756" s="3">
        <v>142.35</v>
      </c>
      <c r="F756" s="3">
        <v>2.35</v>
      </c>
      <c r="G756" s="3">
        <v>5.88</v>
      </c>
      <c r="H756" s="3">
        <v>20</v>
      </c>
      <c r="I756" s="3"/>
      <c r="J756" s="3">
        <v>3.53</v>
      </c>
      <c r="K756" s="3">
        <v>1.76</v>
      </c>
      <c r="L756" s="3">
        <v>0.59</v>
      </c>
      <c r="M756" s="3">
        <v>11.76</v>
      </c>
      <c r="N756" s="3"/>
      <c r="O756" s="3"/>
      <c r="P756" s="3"/>
      <c r="Q756" s="3"/>
      <c r="R756" s="3">
        <v>76.47</v>
      </c>
      <c r="S756" s="3"/>
      <c r="T756" s="3"/>
      <c r="U756" s="3"/>
      <c r="V756" s="3"/>
      <c r="W756" s="3"/>
    </row>
    <row r="757" spans="1:23" x14ac:dyDescent="0.25">
      <c r="A757" s="3" t="s">
        <v>2033</v>
      </c>
      <c r="B757" s="3" t="s">
        <v>1490</v>
      </c>
      <c r="C757" s="3"/>
      <c r="D757" s="3" t="s">
        <v>1491</v>
      </c>
      <c r="E757" s="3">
        <v>297.89</v>
      </c>
      <c r="F757" s="3">
        <v>3.16</v>
      </c>
      <c r="G757" s="3">
        <v>20</v>
      </c>
      <c r="H757" s="3">
        <v>26.32</v>
      </c>
      <c r="I757" s="3"/>
      <c r="J757" s="3">
        <v>11.58</v>
      </c>
      <c r="K757" s="3">
        <v>7.37</v>
      </c>
      <c r="L757" s="3">
        <v>1.05</v>
      </c>
      <c r="M757" s="3">
        <v>13.68</v>
      </c>
      <c r="N757" s="3"/>
      <c r="O757" s="3"/>
      <c r="P757" s="3"/>
      <c r="Q757" s="3"/>
      <c r="R757" s="3">
        <v>73.680000000000007</v>
      </c>
      <c r="S757" s="3"/>
      <c r="T757" s="3"/>
      <c r="U757" s="3"/>
      <c r="V757" s="3"/>
      <c r="W757" s="3"/>
    </row>
    <row r="758" spans="1:23" x14ac:dyDescent="0.25">
      <c r="A758" s="3" t="s">
        <v>2033</v>
      </c>
      <c r="B758" s="3" t="s">
        <v>1492</v>
      </c>
      <c r="C758" s="3"/>
      <c r="D758" s="3" t="s">
        <v>1493</v>
      </c>
      <c r="E758" s="3">
        <v>248.18</v>
      </c>
      <c r="F758" s="3">
        <v>1.82</v>
      </c>
      <c r="G758" s="3">
        <v>19.09</v>
      </c>
      <c r="H758" s="3">
        <v>17.27</v>
      </c>
      <c r="I758" s="3"/>
      <c r="J758" s="3">
        <v>15.45</v>
      </c>
      <c r="K758" s="3">
        <v>3.64</v>
      </c>
      <c r="L758" s="3">
        <v>0</v>
      </c>
      <c r="M758" s="3">
        <v>11.82</v>
      </c>
      <c r="N758" s="3"/>
      <c r="O758" s="3"/>
      <c r="P758" s="3"/>
      <c r="Q758" s="3"/>
      <c r="R758" s="3">
        <v>31.82</v>
      </c>
      <c r="S758" s="3"/>
      <c r="T758" s="3"/>
      <c r="U758" s="3"/>
      <c r="V758" s="3"/>
      <c r="W758" s="3"/>
    </row>
    <row r="759" spans="1:23" x14ac:dyDescent="0.25">
      <c r="A759" s="3" t="s">
        <v>2033</v>
      </c>
      <c r="B759" s="3" t="s">
        <v>1494</v>
      </c>
      <c r="C759" s="3"/>
      <c r="D759" s="3" t="s">
        <v>1495</v>
      </c>
      <c r="E759" s="3">
        <v>64.62</v>
      </c>
      <c r="F759" s="3">
        <v>1.54</v>
      </c>
      <c r="G759" s="3">
        <v>3.08</v>
      </c>
      <c r="H759" s="3">
        <v>7.69</v>
      </c>
      <c r="I759" s="3"/>
      <c r="J759" s="3">
        <v>2.31</v>
      </c>
      <c r="K759" s="3">
        <v>0.77</v>
      </c>
      <c r="L759" s="3">
        <v>0</v>
      </c>
      <c r="M759" s="3">
        <v>6.15</v>
      </c>
      <c r="N759" s="3"/>
      <c r="O759" s="3"/>
      <c r="P759" s="3"/>
      <c r="Q759" s="3"/>
      <c r="R759" s="3">
        <v>26.92</v>
      </c>
      <c r="S759" s="3"/>
      <c r="T759" s="3"/>
      <c r="U759" s="3"/>
      <c r="V759" s="3"/>
      <c r="W759" s="3"/>
    </row>
    <row r="760" spans="1:23" x14ac:dyDescent="0.25">
      <c r="A760" s="3" t="s">
        <v>2033</v>
      </c>
      <c r="B760" s="3" t="s">
        <v>1496</v>
      </c>
      <c r="C760" s="3"/>
      <c r="D760" s="3" t="s">
        <v>1497</v>
      </c>
      <c r="E760" s="3">
        <v>201.67</v>
      </c>
      <c r="F760" s="3">
        <v>0</v>
      </c>
      <c r="G760" s="3">
        <v>15</v>
      </c>
      <c r="H760" s="3">
        <v>16.670000000000002</v>
      </c>
      <c r="I760" s="3"/>
      <c r="J760" s="3">
        <v>8.33</v>
      </c>
      <c r="K760" s="3">
        <v>5</v>
      </c>
      <c r="L760" s="3">
        <v>1.67</v>
      </c>
      <c r="M760" s="3">
        <v>10</v>
      </c>
      <c r="N760" s="3"/>
      <c r="O760" s="3"/>
      <c r="P760" s="3"/>
      <c r="Q760" s="3"/>
      <c r="R760" s="3">
        <v>23.33</v>
      </c>
      <c r="S760" s="3"/>
      <c r="T760" s="3"/>
      <c r="U760" s="3"/>
      <c r="V760" s="3"/>
      <c r="W760" s="3"/>
    </row>
    <row r="761" spans="1:23" x14ac:dyDescent="0.25">
      <c r="A761" s="3" t="s">
        <v>2033</v>
      </c>
      <c r="B761" s="3" t="s">
        <v>1498</v>
      </c>
      <c r="C761" s="3"/>
      <c r="D761" s="3" t="s">
        <v>1499</v>
      </c>
      <c r="E761" s="3">
        <v>244.8</v>
      </c>
      <c r="F761" s="3">
        <v>3.2</v>
      </c>
      <c r="G761" s="3">
        <v>14.4</v>
      </c>
      <c r="H761" s="3">
        <v>25.6</v>
      </c>
      <c r="I761" s="3"/>
      <c r="J761" s="3">
        <v>8.8000000000000007</v>
      </c>
      <c r="K761" s="3">
        <v>4.8</v>
      </c>
      <c r="L761" s="3">
        <v>0.8</v>
      </c>
      <c r="M761" s="3">
        <v>9.6</v>
      </c>
      <c r="N761" s="3"/>
      <c r="O761" s="3"/>
      <c r="P761" s="3"/>
      <c r="Q761" s="3"/>
      <c r="R761" s="3">
        <v>36</v>
      </c>
      <c r="S761" s="3"/>
      <c r="T761" s="3"/>
      <c r="U761" s="3"/>
      <c r="V761" s="3"/>
      <c r="W761" s="3"/>
    </row>
    <row r="762" spans="1:23" x14ac:dyDescent="0.25">
      <c r="A762" s="3" t="s">
        <v>2033</v>
      </c>
      <c r="B762" s="3" t="s">
        <v>1500</v>
      </c>
      <c r="C762" s="3"/>
      <c r="D762" s="3" t="s">
        <v>1501</v>
      </c>
      <c r="E762" s="3">
        <v>280</v>
      </c>
      <c r="F762" s="3">
        <v>2.5</v>
      </c>
      <c r="G762" s="3">
        <v>20</v>
      </c>
      <c r="H762" s="3">
        <v>22.5</v>
      </c>
      <c r="I762" s="3"/>
      <c r="J762" s="3">
        <v>12.5</v>
      </c>
      <c r="K762" s="3">
        <v>6.25</v>
      </c>
      <c r="L762" s="3">
        <v>1.25</v>
      </c>
      <c r="M762" s="3">
        <v>11.25</v>
      </c>
      <c r="N762" s="3"/>
      <c r="O762" s="3"/>
      <c r="P762" s="3"/>
      <c r="Q762" s="3"/>
      <c r="R762" s="3">
        <v>50</v>
      </c>
      <c r="S762" s="3"/>
      <c r="T762" s="3"/>
      <c r="U762" s="3"/>
      <c r="V762" s="3"/>
      <c r="W762" s="3"/>
    </row>
    <row r="763" spans="1:23" x14ac:dyDescent="0.25">
      <c r="A763" s="3" t="s">
        <v>2033</v>
      </c>
      <c r="B763" s="3" t="s">
        <v>1502</v>
      </c>
      <c r="C763" s="3"/>
      <c r="D763" s="3" t="s">
        <v>1503</v>
      </c>
      <c r="E763" s="3">
        <v>168.64</v>
      </c>
      <c r="F763" s="3">
        <v>3.39</v>
      </c>
      <c r="G763" s="3">
        <v>5.93</v>
      </c>
      <c r="H763" s="3">
        <v>25.42</v>
      </c>
      <c r="I763" s="3"/>
      <c r="J763" s="3">
        <v>4.24</v>
      </c>
      <c r="K763" s="3">
        <v>1.69</v>
      </c>
      <c r="L763" s="3">
        <v>0</v>
      </c>
      <c r="M763" s="3">
        <v>12.71</v>
      </c>
      <c r="N763" s="3"/>
      <c r="O763" s="3"/>
      <c r="P763" s="3"/>
      <c r="Q763" s="3"/>
      <c r="R763" s="3">
        <v>127.12</v>
      </c>
      <c r="S763" s="3"/>
      <c r="T763" s="3"/>
      <c r="U763" s="3"/>
      <c r="V763" s="3"/>
      <c r="W763" s="3"/>
    </row>
    <row r="764" spans="1:23" x14ac:dyDescent="0.25">
      <c r="A764" s="3" t="s">
        <v>2033</v>
      </c>
      <c r="B764" s="3" t="s">
        <v>1504</v>
      </c>
      <c r="C764" s="3"/>
      <c r="D764" s="3" t="s">
        <v>1505</v>
      </c>
      <c r="E764" s="3">
        <v>190.91</v>
      </c>
      <c r="F764" s="3">
        <v>2.73</v>
      </c>
      <c r="G764" s="3">
        <v>5.45</v>
      </c>
      <c r="H764" s="3">
        <v>32.729999999999997</v>
      </c>
      <c r="I764" s="3">
        <v>1.82</v>
      </c>
      <c r="J764" s="3">
        <v>3.64</v>
      </c>
      <c r="K764" s="3">
        <v>1.82</v>
      </c>
      <c r="L764" s="3">
        <v>0</v>
      </c>
      <c r="M764" s="3">
        <v>31.82</v>
      </c>
      <c r="N764" s="3"/>
      <c r="O764" s="3"/>
      <c r="P764" s="3"/>
      <c r="Q764" s="3"/>
      <c r="R764" s="3">
        <v>31.82</v>
      </c>
      <c r="S764" s="3"/>
      <c r="T764" s="3"/>
      <c r="U764" s="3"/>
      <c r="V764" s="3"/>
      <c r="W764" s="3"/>
    </row>
    <row r="765" spans="1:23" x14ac:dyDescent="0.25">
      <c r="A765" s="3" t="s">
        <v>2033</v>
      </c>
      <c r="B765" s="3" t="s">
        <v>1506</v>
      </c>
      <c r="C765" s="3"/>
      <c r="D765" s="3" t="s">
        <v>1507</v>
      </c>
      <c r="E765" s="3">
        <v>105</v>
      </c>
      <c r="F765" s="3">
        <v>2</v>
      </c>
      <c r="G765" s="3">
        <v>5</v>
      </c>
      <c r="H765" s="3">
        <v>13</v>
      </c>
      <c r="I765" s="3"/>
      <c r="J765" s="3">
        <v>4</v>
      </c>
      <c r="K765" s="3">
        <v>1</v>
      </c>
      <c r="L765" s="3">
        <v>0</v>
      </c>
      <c r="M765" s="3">
        <v>12</v>
      </c>
      <c r="N765" s="3"/>
      <c r="O765" s="3"/>
      <c r="P765" s="3"/>
      <c r="Q765" s="3"/>
      <c r="R765" s="3">
        <v>30</v>
      </c>
      <c r="S765" s="3"/>
      <c r="T765" s="3"/>
      <c r="U765" s="3"/>
      <c r="V765" s="3"/>
      <c r="W765" s="3"/>
    </row>
    <row r="766" spans="1:23" x14ac:dyDescent="0.25">
      <c r="A766" s="3" t="s">
        <v>2033</v>
      </c>
      <c r="B766" s="3" t="s">
        <v>1508</v>
      </c>
      <c r="C766" s="3"/>
      <c r="D766" s="3" t="s">
        <v>1509</v>
      </c>
      <c r="E766" s="3">
        <v>279.05</v>
      </c>
      <c r="F766" s="3">
        <v>3.81</v>
      </c>
      <c r="G766" s="3">
        <v>20</v>
      </c>
      <c r="H766" s="3">
        <v>20.95</v>
      </c>
      <c r="I766" s="3"/>
      <c r="J766" s="3">
        <v>10.48</v>
      </c>
      <c r="K766" s="3">
        <v>7.62</v>
      </c>
      <c r="L766" s="3">
        <v>1.9</v>
      </c>
      <c r="M766" s="3">
        <v>55.24</v>
      </c>
      <c r="N766" s="3"/>
      <c r="O766" s="3"/>
      <c r="P766" s="3"/>
      <c r="Q766" s="3"/>
      <c r="R766" s="3">
        <v>55.24</v>
      </c>
      <c r="S766" s="3"/>
      <c r="T766" s="3"/>
      <c r="U766" s="3"/>
      <c r="V766" s="3"/>
      <c r="W766" s="3"/>
    </row>
    <row r="767" spans="1:23" x14ac:dyDescent="0.25">
      <c r="A767" s="3" t="s">
        <v>2033</v>
      </c>
      <c r="B767" s="3" t="s">
        <v>1510</v>
      </c>
      <c r="C767" s="3"/>
      <c r="D767" s="3" t="s">
        <v>1511</v>
      </c>
      <c r="E767" s="3">
        <v>7.0000000000000007E-2</v>
      </c>
      <c r="F767" s="3">
        <v>0</v>
      </c>
      <c r="G767" s="3">
        <v>0</v>
      </c>
      <c r="H767" s="3">
        <v>0.02</v>
      </c>
      <c r="I767" s="3">
        <v>0</v>
      </c>
      <c r="J767" s="3">
        <v>0</v>
      </c>
      <c r="K767" s="3">
        <v>0.42</v>
      </c>
      <c r="L767" s="3">
        <v>0</v>
      </c>
      <c r="M767" s="3">
        <v>16.670000000000002</v>
      </c>
      <c r="N767" s="3"/>
      <c r="O767" s="3"/>
      <c r="P767" s="3"/>
      <c r="Q767" s="3"/>
      <c r="R767" s="3">
        <v>8.33</v>
      </c>
      <c r="S767" s="3"/>
      <c r="T767" s="3"/>
      <c r="U767" s="3"/>
      <c r="V767" s="3"/>
      <c r="W767" s="3"/>
    </row>
    <row r="768" spans="1:23" x14ac:dyDescent="0.25">
      <c r="A768" s="3" t="s">
        <v>2033</v>
      </c>
      <c r="B768" s="3" t="s">
        <v>1512</v>
      </c>
      <c r="C768" s="3"/>
      <c r="D768" s="3" t="s">
        <v>1513</v>
      </c>
      <c r="E768" s="3">
        <v>118.57</v>
      </c>
      <c r="F768" s="3">
        <v>2.86</v>
      </c>
      <c r="G768" s="3">
        <v>4.29</v>
      </c>
      <c r="H768" s="3">
        <v>17.14</v>
      </c>
      <c r="I768" s="3"/>
      <c r="J768" s="3">
        <v>2.86</v>
      </c>
      <c r="K768" s="3">
        <v>1.43</v>
      </c>
      <c r="L768" s="3">
        <v>0</v>
      </c>
      <c r="M768" s="3"/>
      <c r="N768" s="3"/>
      <c r="O768" s="3"/>
      <c r="P768" s="3"/>
      <c r="Q768" s="3"/>
      <c r="R768" s="3">
        <v>42.86</v>
      </c>
      <c r="S768" s="3"/>
      <c r="T768" s="3"/>
      <c r="U768" s="3"/>
      <c r="V768" s="3"/>
      <c r="W768" s="3"/>
    </row>
    <row r="769" spans="1:23" x14ac:dyDescent="0.25">
      <c r="A769" s="3" t="s">
        <v>2033</v>
      </c>
      <c r="B769" s="3" t="s">
        <v>1514</v>
      </c>
      <c r="C769" s="3"/>
      <c r="D769" s="3" t="s">
        <v>1515</v>
      </c>
      <c r="E769" s="3">
        <v>230.95</v>
      </c>
      <c r="F769" s="3">
        <v>4.76</v>
      </c>
      <c r="G769" s="3">
        <v>11.9</v>
      </c>
      <c r="H769" s="3">
        <v>26.19</v>
      </c>
      <c r="I769" s="3"/>
      <c r="J769" s="3">
        <v>9.52</v>
      </c>
      <c r="K769" s="3">
        <v>2.38</v>
      </c>
      <c r="L769" s="3">
        <v>0</v>
      </c>
      <c r="M769" s="3">
        <v>52.38</v>
      </c>
      <c r="N769" s="3"/>
      <c r="O769" s="3"/>
      <c r="P769" s="3"/>
      <c r="Q769" s="3"/>
      <c r="R769" s="3">
        <v>59.52</v>
      </c>
      <c r="S769" s="3"/>
      <c r="T769" s="3"/>
      <c r="U769" s="3"/>
      <c r="V769" s="3"/>
      <c r="W769" s="3"/>
    </row>
    <row r="770" spans="1:23" x14ac:dyDescent="0.25">
      <c r="A770" s="3" t="s">
        <v>2033</v>
      </c>
      <c r="B770" s="3" t="s">
        <v>1516</v>
      </c>
      <c r="C770" s="3"/>
      <c r="D770" s="3" t="s">
        <v>1517</v>
      </c>
      <c r="E770" s="3">
        <v>97.79</v>
      </c>
      <c r="F770" s="3">
        <v>1.47</v>
      </c>
      <c r="G770" s="3">
        <v>3.68</v>
      </c>
      <c r="H770" s="3">
        <v>14.71</v>
      </c>
      <c r="I770" s="3"/>
      <c r="J770" s="3">
        <v>2.94</v>
      </c>
      <c r="K770" s="3">
        <v>0.74</v>
      </c>
      <c r="L770" s="3">
        <v>0</v>
      </c>
      <c r="M770" s="3">
        <v>11.76</v>
      </c>
      <c r="N770" s="3"/>
      <c r="O770" s="3"/>
      <c r="P770" s="3"/>
      <c r="Q770" s="3"/>
      <c r="R770" s="3">
        <v>29.41</v>
      </c>
      <c r="S770" s="3"/>
      <c r="T770" s="3"/>
      <c r="U770" s="3"/>
      <c r="V770" s="3"/>
      <c r="W770" s="3"/>
    </row>
    <row r="771" spans="1:23" x14ac:dyDescent="0.25">
      <c r="A771" s="3" t="s">
        <v>2033</v>
      </c>
      <c r="B771" s="3" t="s">
        <v>1518</v>
      </c>
      <c r="C771" s="3"/>
      <c r="D771" s="3" t="s">
        <v>1519</v>
      </c>
      <c r="E771" s="3">
        <v>266.67</v>
      </c>
      <c r="F771" s="3">
        <v>0</v>
      </c>
      <c r="G771" s="3">
        <v>0</v>
      </c>
      <c r="H771" s="3">
        <v>66.67</v>
      </c>
      <c r="I771" s="3">
        <v>0</v>
      </c>
      <c r="J771" s="3">
        <v>0</v>
      </c>
      <c r="K771" s="3"/>
      <c r="L771" s="3"/>
      <c r="M771" s="3">
        <v>0</v>
      </c>
      <c r="N771" s="3"/>
      <c r="O771" s="3"/>
      <c r="P771" s="3"/>
      <c r="Q771" s="3"/>
      <c r="R771" s="3">
        <v>50</v>
      </c>
      <c r="S771" s="3"/>
      <c r="T771" s="3"/>
      <c r="U771" s="3"/>
      <c r="V771" s="3"/>
      <c r="W771" s="3"/>
    </row>
    <row r="772" spans="1:23" x14ac:dyDescent="0.25">
      <c r="A772" s="3" t="s">
        <v>2033</v>
      </c>
      <c r="B772" s="3" t="s">
        <v>1520</v>
      </c>
      <c r="C772" s="3"/>
      <c r="D772" s="3" t="s">
        <v>1521</v>
      </c>
      <c r="E772" s="3">
        <v>400</v>
      </c>
      <c r="F772" s="3">
        <v>0</v>
      </c>
      <c r="G772" s="3">
        <v>0</v>
      </c>
      <c r="H772" s="3">
        <v>100</v>
      </c>
      <c r="I772" s="3">
        <v>0</v>
      </c>
      <c r="J772" s="3">
        <v>0</v>
      </c>
      <c r="K772" s="3"/>
      <c r="L772" s="3"/>
      <c r="M772" s="3">
        <v>0</v>
      </c>
      <c r="N772" s="3"/>
      <c r="O772" s="3"/>
      <c r="P772" s="3"/>
      <c r="Q772" s="3"/>
      <c r="R772" s="3">
        <v>0</v>
      </c>
      <c r="S772" s="3"/>
      <c r="T772" s="3"/>
      <c r="U772" s="3"/>
      <c r="V772" s="3"/>
      <c r="W772" s="3"/>
    </row>
    <row r="773" spans="1:23" x14ac:dyDescent="0.25">
      <c r="A773" s="3" t="s">
        <v>2033</v>
      </c>
      <c r="B773" s="3" t="s">
        <v>1522</v>
      </c>
      <c r="C773" s="3"/>
      <c r="D773" s="3" t="s">
        <v>1523</v>
      </c>
      <c r="E773" s="3">
        <v>263.41000000000003</v>
      </c>
      <c r="F773" s="3">
        <v>0</v>
      </c>
      <c r="G773" s="3">
        <v>0</v>
      </c>
      <c r="H773" s="3">
        <v>65.849999999999994</v>
      </c>
      <c r="I773" s="3">
        <v>0</v>
      </c>
      <c r="J773" s="3">
        <v>0</v>
      </c>
      <c r="K773" s="3"/>
      <c r="L773" s="3"/>
      <c r="M773" s="3">
        <v>0</v>
      </c>
      <c r="N773" s="3"/>
      <c r="O773" s="3"/>
      <c r="P773" s="3"/>
      <c r="Q773" s="3"/>
      <c r="R773" s="3">
        <v>304.88</v>
      </c>
      <c r="S773" s="3"/>
      <c r="T773" s="3"/>
      <c r="U773" s="3"/>
      <c r="V773" s="3"/>
      <c r="W773" s="3"/>
    </row>
    <row r="774" spans="1:23" x14ac:dyDescent="0.25">
      <c r="A774" s="3" t="s">
        <v>2033</v>
      </c>
      <c r="B774" s="3" t="s">
        <v>1524</v>
      </c>
      <c r="C774" s="3"/>
      <c r="D774" s="3" t="s">
        <v>1525</v>
      </c>
      <c r="E774" s="3">
        <v>288.89</v>
      </c>
      <c r="F774" s="3">
        <v>0</v>
      </c>
      <c r="G774" s="3">
        <v>0</v>
      </c>
      <c r="H774" s="3">
        <v>72.22</v>
      </c>
      <c r="I774" s="3"/>
      <c r="J774" s="3">
        <v>0</v>
      </c>
      <c r="K774" s="3"/>
      <c r="L774" s="3"/>
      <c r="M774" s="3">
        <v>0</v>
      </c>
      <c r="N774" s="3"/>
      <c r="O774" s="3"/>
      <c r="P774" s="3"/>
      <c r="Q774" s="3"/>
      <c r="R774" s="3">
        <v>27.78</v>
      </c>
      <c r="S774" s="3"/>
      <c r="T774" s="3"/>
      <c r="U774" s="3"/>
      <c r="V774" s="3"/>
      <c r="W774" s="3"/>
    </row>
    <row r="775" spans="1:23" x14ac:dyDescent="0.25">
      <c r="A775" s="3" t="s">
        <v>2033</v>
      </c>
      <c r="B775" s="3" t="s">
        <v>1526</v>
      </c>
      <c r="C775" s="3"/>
      <c r="D775" s="3" t="s">
        <v>1527</v>
      </c>
      <c r="E775" s="3">
        <v>266.67</v>
      </c>
      <c r="F775" s="3">
        <v>0</v>
      </c>
      <c r="G775" s="3">
        <v>0</v>
      </c>
      <c r="H775" s="3">
        <v>66.67</v>
      </c>
      <c r="I775" s="3">
        <v>0</v>
      </c>
      <c r="J775" s="3">
        <v>0</v>
      </c>
      <c r="K775" s="3"/>
      <c r="L775" s="3"/>
      <c r="M775" s="3">
        <v>0</v>
      </c>
      <c r="N775" s="3"/>
      <c r="O775" s="3"/>
      <c r="P775" s="3"/>
      <c r="Q775" s="3"/>
      <c r="R775" s="3">
        <v>0</v>
      </c>
      <c r="S775" s="3"/>
      <c r="T775" s="3"/>
      <c r="U775" s="3"/>
      <c r="V775" s="3"/>
      <c r="W775" s="3"/>
    </row>
    <row r="776" spans="1:23" x14ac:dyDescent="0.25">
      <c r="A776" s="3" t="s">
        <v>2033</v>
      </c>
      <c r="B776" s="3" t="s">
        <v>1528</v>
      </c>
      <c r="C776" s="3"/>
      <c r="D776" s="3" t="s">
        <v>1529</v>
      </c>
      <c r="E776" s="3">
        <v>327.54000000000002</v>
      </c>
      <c r="F776" s="3">
        <v>7.91</v>
      </c>
      <c r="G776" s="3">
        <v>8.6999999999999993</v>
      </c>
      <c r="H776" s="3">
        <v>54.4</v>
      </c>
      <c r="I776" s="3">
        <v>0</v>
      </c>
      <c r="J776" s="3">
        <v>5.49</v>
      </c>
      <c r="K776" s="3">
        <v>2.4300000000000002</v>
      </c>
      <c r="L776" s="3">
        <v>0.34</v>
      </c>
      <c r="M776" s="3">
        <v>34</v>
      </c>
      <c r="N776" s="3">
        <v>284</v>
      </c>
      <c r="O776" s="3">
        <v>253</v>
      </c>
      <c r="P776" s="3">
        <v>0.19</v>
      </c>
      <c r="Q776" s="3">
        <v>371</v>
      </c>
      <c r="R776" s="3">
        <v>127</v>
      </c>
      <c r="S776" s="3">
        <v>0.94</v>
      </c>
      <c r="T776" s="3">
        <v>3</v>
      </c>
      <c r="U776" s="3">
        <v>74</v>
      </c>
      <c r="V776" s="3">
        <v>11</v>
      </c>
      <c r="W776" s="3">
        <v>0.44</v>
      </c>
    </row>
    <row r="777" spans="1:23" x14ac:dyDescent="0.25">
      <c r="A777" s="3" t="s">
        <v>2033</v>
      </c>
      <c r="B777" s="3" t="s">
        <v>1530</v>
      </c>
      <c r="C777" s="3"/>
      <c r="D777" s="3" t="s">
        <v>1531</v>
      </c>
      <c r="E777" s="3">
        <v>176</v>
      </c>
      <c r="F777" s="3">
        <v>0</v>
      </c>
      <c r="G777" s="3">
        <v>0</v>
      </c>
      <c r="H777" s="3">
        <v>44</v>
      </c>
      <c r="I777" s="3"/>
      <c r="J777" s="3">
        <v>0</v>
      </c>
      <c r="K777" s="3"/>
      <c r="L777" s="3"/>
      <c r="M777" s="3">
        <v>0</v>
      </c>
      <c r="N777" s="3"/>
      <c r="O777" s="3"/>
      <c r="P777" s="3"/>
      <c r="Q777" s="3"/>
      <c r="R777" s="3">
        <v>0</v>
      </c>
      <c r="S777" s="3"/>
      <c r="T777" s="3"/>
      <c r="U777" s="3"/>
      <c r="V777" s="3"/>
      <c r="W777" s="3"/>
    </row>
    <row r="778" spans="1:23" x14ac:dyDescent="0.25">
      <c r="A778" s="3" t="s">
        <v>2033</v>
      </c>
      <c r="B778" s="3" t="s">
        <v>1532</v>
      </c>
      <c r="C778" s="3"/>
      <c r="D778" s="3" t="s">
        <v>1533</v>
      </c>
      <c r="E778" s="3">
        <v>240</v>
      </c>
      <c r="F778" s="3">
        <v>0</v>
      </c>
      <c r="G778" s="3">
        <v>0</v>
      </c>
      <c r="H778" s="3">
        <v>60</v>
      </c>
      <c r="I778" s="3">
        <v>0</v>
      </c>
      <c r="J778" s="3">
        <v>0</v>
      </c>
      <c r="K778" s="3"/>
      <c r="L778" s="3"/>
      <c r="M778" s="3">
        <v>0</v>
      </c>
      <c r="N778" s="3"/>
      <c r="O778" s="3"/>
      <c r="P778" s="3"/>
      <c r="Q778" s="3"/>
      <c r="R778" s="3">
        <v>0</v>
      </c>
      <c r="S778" s="3"/>
      <c r="T778" s="3"/>
      <c r="U778" s="3"/>
      <c r="V778" s="3"/>
      <c r="W778" s="3"/>
    </row>
    <row r="779" spans="1:23" x14ac:dyDescent="0.25">
      <c r="A779" s="3" t="s">
        <v>2033</v>
      </c>
      <c r="B779" s="3" t="s">
        <v>1534</v>
      </c>
      <c r="C779" s="3"/>
      <c r="D779" s="3" t="s">
        <v>1535</v>
      </c>
      <c r="E779" s="3">
        <v>186.67</v>
      </c>
      <c r="F779" s="3"/>
      <c r="G779" s="3"/>
      <c r="H779" s="3">
        <v>46.67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x14ac:dyDescent="0.25">
      <c r="A780" s="3" t="s">
        <v>2033</v>
      </c>
      <c r="B780" s="3" t="s">
        <v>1536</v>
      </c>
      <c r="C780" s="3"/>
      <c r="D780" s="3" t="s">
        <v>1537</v>
      </c>
      <c r="E780" s="3">
        <v>294.74</v>
      </c>
      <c r="F780" s="3">
        <v>0</v>
      </c>
      <c r="G780" s="3">
        <v>0</v>
      </c>
      <c r="H780" s="3">
        <v>73.680000000000007</v>
      </c>
      <c r="I780" s="3"/>
      <c r="J780" s="3">
        <v>0</v>
      </c>
      <c r="K780" s="3"/>
      <c r="L780" s="3"/>
      <c r="M780" s="3">
        <v>0</v>
      </c>
      <c r="N780" s="3"/>
      <c r="O780" s="3"/>
      <c r="P780" s="3"/>
      <c r="Q780" s="3"/>
      <c r="R780" s="3">
        <v>0</v>
      </c>
      <c r="S780" s="3"/>
      <c r="T780" s="3"/>
      <c r="U780" s="3"/>
      <c r="V780" s="3"/>
      <c r="W780" s="3"/>
    </row>
    <row r="781" spans="1:23" x14ac:dyDescent="0.25">
      <c r="A781" s="3" t="s">
        <v>2033</v>
      </c>
      <c r="B781" s="3" t="s">
        <v>1538</v>
      </c>
      <c r="C781" s="3"/>
      <c r="D781" s="3" t="s">
        <v>1539</v>
      </c>
      <c r="E781" s="3">
        <v>211.76</v>
      </c>
      <c r="F781" s="3">
        <v>0</v>
      </c>
      <c r="G781" s="3">
        <v>0</v>
      </c>
      <c r="H781" s="3">
        <v>52.94</v>
      </c>
      <c r="I781" s="3">
        <v>0</v>
      </c>
      <c r="J781" s="3">
        <v>0</v>
      </c>
      <c r="K781" s="3"/>
      <c r="L781" s="3"/>
      <c r="M781" s="3">
        <v>0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x14ac:dyDescent="0.25">
      <c r="A782" s="3" t="s">
        <v>2033</v>
      </c>
      <c r="B782" s="3" t="s">
        <v>1540</v>
      </c>
      <c r="C782" s="3"/>
      <c r="D782" s="3" t="s">
        <v>1541</v>
      </c>
      <c r="E782" s="3">
        <v>260</v>
      </c>
      <c r="F782" s="3">
        <v>0</v>
      </c>
      <c r="G782" s="3">
        <v>0</v>
      </c>
      <c r="H782" s="3">
        <v>65</v>
      </c>
      <c r="I782" s="3">
        <v>0</v>
      </c>
      <c r="J782" s="3">
        <v>0</v>
      </c>
      <c r="K782" s="3"/>
      <c r="L782" s="3"/>
      <c r="M782" s="3">
        <v>0</v>
      </c>
      <c r="N782" s="3"/>
      <c r="O782" s="3"/>
      <c r="P782" s="3"/>
      <c r="Q782" s="3"/>
      <c r="R782" s="3">
        <v>0</v>
      </c>
      <c r="S782" s="3"/>
      <c r="T782" s="3"/>
      <c r="U782" s="3"/>
      <c r="V782" s="3"/>
      <c r="W782" s="3"/>
    </row>
    <row r="783" spans="1:23" x14ac:dyDescent="0.25">
      <c r="A783" s="3" t="s">
        <v>2033</v>
      </c>
      <c r="B783" s="3" t="s">
        <v>1542</v>
      </c>
      <c r="C783" s="3"/>
      <c r="D783" s="3" t="s">
        <v>1543</v>
      </c>
      <c r="E783" s="3">
        <v>266.67</v>
      </c>
      <c r="F783" s="3">
        <v>0</v>
      </c>
      <c r="G783" s="3">
        <v>0</v>
      </c>
      <c r="H783" s="3">
        <v>66.67</v>
      </c>
      <c r="I783" s="3"/>
      <c r="J783" s="3">
        <v>0</v>
      </c>
      <c r="K783" s="3"/>
      <c r="L783" s="3"/>
      <c r="M783" s="3">
        <v>0</v>
      </c>
      <c r="N783" s="3"/>
      <c r="O783" s="3"/>
      <c r="P783" s="3"/>
      <c r="Q783" s="3"/>
      <c r="R783" s="3">
        <v>0</v>
      </c>
      <c r="S783" s="3"/>
      <c r="T783" s="3"/>
      <c r="U783" s="3"/>
      <c r="V783" s="3"/>
      <c r="W783" s="3"/>
    </row>
    <row r="784" spans="1:23" x14ac:dyDescent="0.25">
      <c r="A784" s="3" t="s">
        <v>2033</v>
      </c>
      <c r="B784" s="3" t="s">
        <v>1544</v>
      </c>
      <c r="C784" s="3"/>
      <c r="D784" s="3" t="s">
        <v>1545</v>
      </c>
      <c r="E784" s="3">
        <v>176</v>
      </c>
      <c r="F784" s="3">
        <v>0</v>
      </c>
      <c r="G784" s="3">
        <v>0</v>
      </c>
      <c r="H784" s="3">
        <v>44</v>
      </c>
      <c r="I784" s="3">
        <v>4</v>
      </c>
      <c r="J784" s="3">
        <v>0</v>
      </c>
      <c r="K784" s="3"/>
      <c r="L784" s="3"/>
      <c r="M784" s="3">
        <v>0</v>
      </c>
      <c r="N784" s="3"/>
      <c r="O784" s="3"/>
      <c r="P784" s="3"/>
      <c r="Q784" s="3"/>
      <c r="R784" s="3">
        <v>100</v>
      </c>
      <c r="S784" s="3"/>
      <c r="T784" s="3"/>
      <c r="U784" s="3"/>
      <c r="V784" s="3"/>
      <c r="W784" s="3"/>
    </row>
    <row r="785" spans="1:23" x14ac:dyDescent="0.25">
      <c r="A785" s="3" t="s">
        <v>2033</v>
      </c>
      <c r="B785" s="3" t="s">
        <v>1546</v>
      </c>
      <c r="C785" s="3"/>
      <c r="D785" s="3" t="s">
        <v>1547</v>
      </c>
      <c r="E785" s="3">
        <v>266.39999999999998</v>
      </c>
      <c r="F785" s="3">
        <v>0.3</v>
      </c>
      <c r="G785" s="3">
        <v>0</v>
      </c>
      <c r="H785" s="3">
        <v>66.3</v>
      </c>
      <c r="I785" s="3">
        <v>0.7</v>
      </c>
      <c r="J785" s="3">
        <v>0</v>
      </c>
      <c r="K785" s="3">
        <v>0</v>
      </c>
      <c r="L785" s="3">
        <v>0</v>
      </c>
      <c r="M785" s="3">
        <v>0</v>
      </c>
      <c r="N785" s="3">
        <v>38</v>
      </c>
      <c r="O785" s="3">
        <v>4</v>
      </c>
      <c r="P785" s="3">
        <v>0.15</v>
      </c>
      <c r="Q785" s="3">
        <v>37</v>
      </c>
      <c r="R785" s="3">
        <v>56</v>
      </c>
      <c r="S785" s="3">
        <v>0.04</v>
      </c>
      <c r="T785" s="3">
        <v>5</v>
      </c>
      <c r="U785" s="3">
        <v>3</v>
      </c>
      <c r="V785" s="3">
        <v>9</v>
      </c>
      <c r="W785" s="3">
        <v>0</v>
      </c>
    </row>
    <row r="786" spans="1:23" x14ac:dyDescent="0.25">
      <c r="A786" s="3" t="s">
        <v>2033</v>
      </c>
      <c r="B786" s="3" t="s">
        <v>1548</v>
      </c>
      <c r="C786" s="3"/>
      <c r="D786" s="3" t="s">
        <v>1549</v>
      </c>
      <c r="E786" s="3">
        <v>400</v>
      </c>
      <c r="F786" s="3">
        <v>0</v>
      </c>
      <c r="G786" s="3">
        <v>0</v>
      </c>
      <c r="H786" s="3">
        <v>100</v>
      </c>
      <c r="I786" s="3">
        <v>0</v>
      </c>
      <c r="J786" s="3">
        <v>0</v>
      </c>
      <c r="K786" s="3"/>
      <c r="L786" s="3"/>
      <c r="M786" s="3">
        <v>0</v>
      </c>
      <c r="N786" s="3"/>
      <c r="O786" s="3"/>
      <c r="P786" s="3"/>
      <c r="Q786" s="3"/>
      <c r="R786" s="3">
        <v>0</v>
      </c>
      <c r="S786" s="3"/>
      <c r="T786" s="3"/>
      <c r="U786" s="3"/>
      <c r="V786" s="3"/>
      <c r="W786" s="3"/>
    </row>
    <row r="787" spans="1:23" x14ac:dyDescent="0.25">
      <c r="A787" s="3" t="s">
        <v>2033</v>
      </c>
      <c r="B787" s="3" t="s">
        <v>1550</v>
      </c>
      <c r="C787" s="3"/>
      <c r="D787" s="3" t="s">
        <v>1551</v>
      </c>
      <c r="E787" s="3">
        <v>330.8</v>
      </c>
      <c r="F787" s="3">
        <v>0.3</v>
      </c>
      <c r="G787" s="3">
        <v>0</v>
      </c>
      <c r="H787" s="3">
        <v>82.4</v>
      </c>
      <c r="I787" s="3">
        <v>0.2</v>
      </c>
      <c r="J787" s="3">
        <v>0</v>
      </c>
      <c r="K787" s="3">
        <v>0</v>
      </c>
      <c r="L787" s="3">
        <v>0</v>
      </c>
      <c r="M787" s="3">
        <v>0</v>
      </c>
      <c r="N787" s="3">
        <v>6</v>
      </c>
      <c r="O787" s="3">
        <v>4</v>
      </c>
      <c r="P787" s="3">
        <v>0.42</v>
      </c>
      <c r="Q787" s="3">
        <v>52</v>
      </c>
      <c r="R787" s="3">
        <v>4</v>
      </c>
      <c r="S787" s="3">
        <v>0.22</v>
      </c>
      <c r="T787" s="3">
        <v>1</v>
      </c>
      <c r="U787" s="3">
        <v>0</v>
      </c>
      <c r="V787" s="3">
        <v>2</v>
      </c>
      <c r="W787" s="3">
        <v>0</v>
      </c>
    </row>
    <row r="788" spans="1:23" x14ac:dyDescent="0.25">
      <c r="A788" s="3" t="s">
        <v>2033</v>
      </c>
      <c r="B788" s="3" t="s">
        <v>1552</v>
      </c>
      <c r="C788" s="3"/>
      <c r="D788" s="3" t="s">
        <v>1553</v>
      </c>
      <c r="E788" s="3">
        <v>346.67</v>
      </c>
      <c r="F788" s="3">
        <v>0</v>
      </c>
      <c r="G788" s="3">
        <v>0</v>
      </c>
      <c r="H788" s="3">
        <v>86.67</v>
      </c>
      <c r="I788" s="3">
        <v>0</v>
      </c>
      <c r="J788" s="3"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x14ac:dyDescent="0.25">
      <c r="A789" s="3" t="s">
        <v>2033</v>
      </c>
      <c r="B789" s="3" t="s">
        <v>1554</v>
      </c>
      <c r="C789" s="3"/>
      <c r="D789" s="3" t="s">
        <v>1555</v>
      </c>
      <c r="E789" s="3">
        <v>280</v>
      </c>
      <c r="F789" s="3">
        <v>0</v>
      </c>
      <c r="G789" s="3">
        <v>0</v>
      </c>
      <c r="H789" s="3">
        <v>70</v>
      </c>
      <c r="I789" s="3"/>
      <c r="J789" s="3">
        <v>0</v>
      </c>
      <c r="K789" s="3"/>
      <c r="L789" s="3"/>
      <c r="M789" s="3">
        <v>0</v>
      </c>
      <c r="N789" s="3"/>
      <c r="O789" s="3"/>
      <c r="P789" s="3"/>
      <c r="Q789" s="3"/>
      <c r="R789" s="3">
        <v>0</v>
      </c>
      <c r="S789" s="3"/>
      <c r="T789" s="3"/>
      <c r="U789" s="3"/>
      <c r="V789" s="3"/>
      <c r="W789" s="3"/>
    </row>
    <row r="790" spans="1:23" x14ac:dyDescent="0.25">
      <c r="A790" s="3" t="s">
        <v>2033</v>
      </c>
      <c r="B790" s="3" t="s">
        <v>1556</v>
      </c>
      <c r="C790" s="3"/>
      <c r="D790" s="3" t="s">
        <v>1557</v>
      </c>
      <c r="E790" s="3">
        <v>279.3</v>
      </c>
      <c r="F790" s="3">
        <v>0</v>
      </c>
      <c r="G790" s="3">
        <v>0.1</v>
      </c>
      <c r="H790" s="3">
        <v>69.599999999999994</v>
      </c>
      <c r="I790" s="3">
        <v>0</v>
      </c>
      <c r="J790" s="3">
        <v>0.02</v>
      </c>
      <c r="K790" s="3">
        <v>0.03</v>
      </c>
      <c r="L790" s="3">
        <v>0.05</v>
      </c>
      <c r="M790" s="3">
        <v>0</v>
      </c>
      <c r="N790" s="3">
        <v>5</v>
      </c>
      <c r="O790" s="3">
        <v>10</v>
      </c>
      <c r="P790" s="3">
        <v>7.0000000000000007E-2</v>
      </c>
      <c r="Q790" s="3">
        <v>6</v>
      </c>
      <c r="R790" s="3">
        <v>61</v>
      </c>
      <c r="S790" s="3">
        <v>0.23</v>
      </c>
      <c r="T790" s="3">
        <v>0</v>
      </c>
      <c r="U790" s="3">
        <v>0</v>
      </c>
      <c r="V790" s="3">
        <v>0</v>
      </c>
      <c r="W790" s="3">
        <v>0</v>
      </c>
    </row>
    <row r="791" spans="1:23" x14ac:dyDescent="0.25">
      <c r="A791" s="3" t="s">
        <v>2033</v>
      </c>
      <c r="B791" s="3" t="s">
        <v>1558</v>
      </c>
      <c r="C791" s="3"/>
      <c r="D791" s="3" t="s">
        <v>1559</v>
      </c>
      <c r="E791" s="3">
        <v>280</v>
      </c>
      <c r="F791" s="3">
        <v>0</v>
      </c>
      <c r="G791" s="3">
        <v>0</v>
      </c>
      <c r="H791" s="3">
        <v>70</v>
      </c>
      <c r="I791" s="3"/>
      <c r="J791" s="3">
        <v>0</v>
      </c>
      <c r="K791" s="3"/>
      <c r="L791" s="3"/>
      <c r="M791" s="3">
        <v>0</v>
      </c>
      <c r="N791" s="3"/>
      <c r="O791" s="3"/>
      <c r="P791" s="3"/>
      <c r="Q791" s="3"/>
      <c r="R791" s="3">
        <v>16.670000000000002</v>
      </c>
      <c r="S791" s="3"/>
      <c r="T791" s="3"/>
      <c r="U791" s="3"/>
      <c r="V791" s="3"/>
      <c r="W791" s="3"/>
    </row>
    <row r="792" spans="1:23" x14ac:dyDescent="0.25">
      <c r="A792" s="3" t="s">
        <v>2033</v>
      </c>
      <c r="B792" s="3" t="s">
        <v>1560</v>
      </c>
      <c r="C792" s="3"/>
      <c r="D792" s="3" t="s">
        <v>1561</v>
      </c>
      <c r="E792" s="3">
        <v>368.5</v>
      </c>
      <c r="F792" s="3">
        <v>0.4</v>
      </c>
      <c r="G792" s="3">
        <v>0.5</v>
      </c>
      <c r="H792" s="3">
        <v>90.6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51</v>
      </c>
      <c r="O792" s="3">
        <v>44</v>
      </c>
      <c r="P792" s="3">
        <v>4.2</v>
      </c>
      <c r="Q792" s="3">
        <v>346</v>
      </c>
      <c r="R792" s="3">
        <v>39</v>
      </c>
      <c r="S792" s="3">
        <v>0.18</v>
      </c>
      <c r="T792" s="3">
        <v>2</v>
      </c>
      <c r="U792" s="3">
        <v>0</v>
      </c>
      <c r="V792" s="3">
        <v>1</v>
      </c>
      <c r="W792" s="3">
        <v>0</v>
      </c>
    </row>
    <row r="793" spans="1:23" x14ac:dyDescent="0.25">
      <c r="A793" s="3" t="s">
        <v>2033</v>
      </c>
      <c r="B793" s="3" t="s">
        <v>1562</v>
      </c>
      <c r="C793" s="3"/>
      <c r="D793" s="3" t="s">
        <v>1563</v>
      </c>
      <c r="E793" s="3">
        <v>400</v>
      </c>
      <c r="F793" s="3">
        <v>0</v>
      </c>
      <c r="G793" s="3">
        <v>0</v>
      </c>
      <c r="H793" s="3">
        <v>100</v>
      </c>
      <c r="I793" s="3">
        <v>0</v>
      </c>
      <c r="J793" s="3">
        <v>0</v>
      </c>
      <c r="K793" s="3"/>
      <c r="L793" s="3"/>
      <c r="M793" s="3">
        <v>0</v>
      </c>
      <c r="N793" s="3"/>
      <c r="O793" s="3"/>
      <c r="P793" s="3"/>
      <c r="Q793" s="3"/>
      <c r="R793" s="3">
        <v>0</v>
      </c>
      <c r="S793" s="3"/>
      <c r="T793" s="3"/>
      <c r="U793" s="3"/>
      <c r="V793" s="3"/>
      <c r="W793" s="3"/>
    </row>
    <row r="794" spans="1:23" x14ac:dyDescent="0.25">
      <c r="A794" s="3" t="s">
        <v>2033</v>
      </c>
      <c r="B794" s="3" t="s">
        <v>1564</v>
      </c>
      <c r="C794" s="3"/>
      <c r="D794" s="3" t="s">
        <v>1565</v>
      </c>
      <c r="E794" s="3">
        <v>400</v>
      </c>
      <c r="F794" s="3">
        <v>0</v>
      </c>
      <c r="G794" s="3">
        <v>0</v>
      </c>
      <c r="H794" s="3">
        <v>100</v>
      </c>
      <c r="I794" s="3">
        <v>0</v>
      </c>
      <c r="J794" s="3">
        <v>0</v>
      </c>
      <c r="K794" s="3"/>
      <c r="L794" s="3"/>
      <c r="M794" s="3">
        <v>0</v>
      </c>
      <c r="N794" s="3"/>
      <c r="O794" s="3"/>
      <c r="P794" s="3"/>
      <c r="Q794" s="3"/>
      <c r="R794" s="3">
        <v>0</v>
      </c>
      <c r="S794" s="3"/>
      <c r="T794" s="3"/>
      <c r="U794" s="3"/>
      <c r="V794" s="3"/>
      <c r="W794" s="3"/>
    </row>
    <row r="795" spans="1:23" x14ac:dyDescent="0.25">
      <c r="A795" s="3" t="s">
        <v>2033</v>
      </c>
      <c r="B795" s="3" t="s">
        <v>1566</v>
      </c>
      <c r="C795" s="3"/>
      <c r="D795" s="3" t="s">
        <v>1567</v>
      </c>
      <c r="E795" s="3">
        <v>375.58</v>
      </c>
      <c r="F795" s="3">
        <v>4.6500000000000004</v>
      </c>
      <c r="G795" s="3">
        <v>3.49</v>
      </c>
      <c r="H795" s="3">
        <v>81.400000000000006</v>
      </c>
      <c r="I795" s="3">
        <v>0</v>
      </c>
      <c r="J795" s="3">
        <v>2.33</v>
      </c>
      <c r="K795" s="3"/>
      <c r="L795" s="3"/>
      <c r="M795" s="3">
        <v>0</v>
      </c>
      <c r="N795" s="3">
        <v>232.56</v>
      </c>
      <c r="O795" s="3"/>
      <c r="P795" s="3">
        <v>2.09</v>
      </c>
      <c r="Q795" s="3"/>
      <c r="R795" s="3">
        <v>720.93</v>
      </c>
      <c r="S795" s="3"/>
      <c r="T795" s="3"/>
      <c r="U795" s="3"/>
      <c r="V795" s="3"/>
      <c r="W795" s="3"/>
    </row>
    <row r="796" spans="1:23" x14ac:dyDescent="0.25">
      <c r="A796" s="3" t="s">
        <v>2033</v>
      </c>
      <c r="B796" s="3" t="s">
        <v>1568</v>
      </c>
      <c r="C796" s="3"/>
      <c r="D796" s="3" t="s">
        <v>1569</v>
      </c>
      <c r="E796" s="3">
        <v>455</v>
      </c>
      <c r="F796" s="3">
        <v>0</v>
      </c>
      <c r="G796" s="3">
        <v>15</v>
      </c>
      <c r="H796" s="3">
        <v>80</v>
      </c>
      <c r="I796" s="3"/>
      <c r="J796" s="3">
        <v>15</v>
      </c>
      <c r="K796" s="3"/>
      <c r="L796" s="3"/>
      <c r="M796" s="3"/>
      <c r="N796" s="3"/>
      <c r="O796" s="3"/>
      <c r="P796" s="3"/>
      <c r="Q796" s="3"/>
      <c r="R796" s="3">
        <v>150</v>
      </c>
      <c r="S796" s="3"/>
      <c r="T796" s="3"/>
      <c r="U796" s="3"/>
      <c r="V796" s="3"/>
      <c r="W796" s="3"/>
    </row>
    <row r="797" spans="1:23" x14ac:dyDescent="0.25">
      <c r="A797" s="3" t="s">
        <v>2033</v>
      </c>
      <c r="B797" s="3" t="s">
        <v>1570</v>
      </c>
      <c r="C797" s="3"/>
      <c r="D797" s="3" t="s">
        <v>1571</v>
      </c>
      <c r="E797" s="3">
        <v>469</v>
      </c>
      <c r="F797" s="3">
        <v>3</v>
      </c>
      <c r="G797" s="3">
        <v>17</v>
      </c>
      <c r="H797" s="3">
        <v>76</v>
      </c>
      <c r="I797" s="3"/>
      <c r="J797" s="3">
        <v>16</v>
      </c>
      <c r="K797" s="3">
        <v>1.5</v>
      </c>
      <c r="L797" s="3">
        <v>0</v>
      </c>
      <c r="M797" s="3">
        <v>15</v>
      </c>
      <c r="N797" s="3"/>
      <c r="O797" s="3"/>
      <c r="P797" s="3"/>
      <c r="Q797" s="3"/>
      <c r="R797" s="3">
        <v>330</v>
      </c>
      <c r="S797" s="3"/>
      <c r="T797" s="3"/>
      <c r="U797" s="3"/>
      <c r="V797" s="3"/>
      <c r="W797" s="3"/>
    </row>
    <row r="798" spans="1:23" x14ac:dyDescent="0.25">
      <c r="A798" s="3" t="s">
        <v>2033</v>
      </c>
      <c r="B798" s="3" t="s">
        <v>1572</v>
      </c>
      <c r="C798" s="3"/>
      <c r="D798" s="3" t="s">
        <v>1573</v>
      </c>
      <c r="E798" s="3">
        <v>428.1</v>
      </c>
      <c r="F798" s="3">
        <v>4.5</v>
      </c>
      <c r="G798" s="3">
        <v>10.9</v>
      </c>
      <c r="H798" s="3">
        <v>78</v>
      </c>
      <c r="I798" s="3">
        <v>0.9</v>
      </c>
      <c r="J798" s="3">
        <v>1.64</v>
      </c>
      <c r="K798" s="3">
        <v>4.59</v>
      </c>
      <c r="L798" s="3">
        <v>4.0999999999999996</v>
      </c>
      <c r="M798" s="3">
        <v>0</v>
      </c>
      <c r="N798" s="3">
        <v>192</v>
      </c>
      <c r="O798" s="3">
        <v>337</v>
      </c>
      <c r="P798" s="3">
        <v>1.39</v>
      </c>
      <c r="Q798" s="3">
        <v>117</v>
      </c>
      <c r="R798" s="3">
        <v>664</v>
      </c>
      <c r="S798" s="3">
        <v>0.46</v>
      </c>
      <c r="T798" s="3">
        <v>0</v>
      </c>
      <c r="U798" s="3">
        <v>0</v>
      </c>
      <c r="V798" s="3">
        <v>147</v>
      </c>
      <c r="W798" s="3">
        <v>0.18</v>
      </c>
    </row>
    <row r="799" spans="1:23" x14ac:dyDescent="0.25">
      <c r="A799" s="3" t="s">
        <v>2033</v>
      </c>
      <c r="B799" s="3" t="s">
        <v>1574</v>
      </c>
      <c r="C799" s="3"/>
      <c r="D799" s="3" t="s">
        <v>1575</v>
      </c>
      <c r="E799" s="3">
        <v>384.44</v>
      </c>
      <c r="F799" s="3">
        <v>6.67</v>
      </c>
      <c r="G799" s="3">
        <v>2.2200000000000002</v>
      </c>
      <c r="H799" s="3">
        <v>84.44</v>
      </c>
      <c r="I799" s="3"/>
      <c r="J799" s="3">
        <v>2.2200000000000002</v>
      </c>
      <c r="K799" s="3"/>
      <c r="L799" s="3"/>
      <c r="M799" s="3">
        <v>11.11</v>
      </c>
      <c r="N799" s="3"/>
      <c r="O799" s="3"/>
      <c r="P799" s="3"/>
      <c r="Q799" s="3"/>
      <c r="R799" s="3">
        <v>777.78</v>
      </c>
      <c r="S799" s="3"/>
      <c r="T799" s="3"/>
      <c r="U799" s="3"/>
      <c r="V799" s="3"/>
      <c r="W799" s="3"/>
    </row>
    <row r="800" spans="1:23" x14ac:dyDescent="0.25">
      <c r="A800" s="3" t="s">
        <v>2033</v>
      </c>
      <c r="B800" s="3" t="s">
        <v>1576</v>
      </c>
      <c r="C800" s="3"/>
      <c r="D800" s="3" t="s">
        <v>1577</v>
      </c>
      <c r="E800" s="3">
        <v>535.14</v>
      </c>
      <c r="F800" s="3">
        <v>7.65</v>
      </c>
      <c r="G800" s="3">
        <v>29.66</v>
      </c>
      <c r="H800" s="3">
        <v>59.4</v>
      </c>
      <c r="I800" s="3">
        <v>3.4</v>
      </c>
      <c r="J800" s="3">
        <v>14.23</v>
      </c>
      <c r="K800" s="3">
        <v>13.21</v>
      </c>
      <c r="L800" s="3">
        <v>0.85</v>
      </c>
      <c r="M800" s="3">
        <v>23</v>
      </c>
      <c r="N800" s="3">
        <v>189</v>
      </c>
      <c r="O800" s="3">
        <v>208</v>
      </c>
      <c r="P800" s="3">
        <v>2.35</v>
      </c>
      <c r="Q800" s="3">
        <v>372</v>
      </c>
      <c r="R800" s="3">
        <v>79</v>
      </c>
      <c r="S800" s="3">
        <v>2.0099999999999998</v>
      </c>
      <c r="T800" s="3">
        <v>0</v>
      </c>
      <c r="U800" s="3">
        <v>49</v>
      </c>
      <c r="V800" s="3">
        <v>11</v>
      </c>
      <c r="W800" s="3">
        <v>0.62</v>
      </c>
    </row>
    <row r="801" spans="1:23" x14ac:dyDescent="0.25">
      <c r="A801" s="3" t="s">
        <v>2033</v>
      </c>
      <c r="B801" s="3" t="s">
        <v>1578</v>
      </c>
      <c r="C801" s="3"/>
      <c r="D801" s="3" t="s">
        <v>1579</v>
      </c>
      <c r="E801" s="3">
        <v>382.4</v>
      </c>
      <c r="F801" s="3">
        <v>4.0999999999999996</v>
      </c>
      <c r="G801" s="3">
        <v>16.399999999999999</v>
      </c>
      <c r="H801" s="3">
        <v>54.6</v>
      </c>
      <c r="I801" s="3">
        <v>2.8</v>
      </c>
      <c r="J801" s="3">
        <v>4.7699999999999996</v>
      </c>
      <c r="K801" s="3">
        <v>8.76</v>
      </c>
      <c r="L801" s="3">
        <v>1.85</v>
      </c>
      <c r="M801" s="3">
        <v>42</v>
      </c>
      <c r="N801" s="3">
        <v>43</v>
      </c>
      <c r="O801" s="3">
        <v>122</v>
      </c>
      <c r="P801" s="3">
        <v>2.2000000000000002</v>
      </c>
      <c r="Q801" s="3">
        <v>200</v>
      </c>
      <c r="R801" s="3">
        <v>334</v>
      </c>
      <c r="S801" s="3">
        <v>0.69</v>
      </c>
      <c r="T801" s="3">
        <v>0</v>
      </c>
      <c r="U801" s="3">
        <v>26</v>
      </c>
      <c r="V801" s="3">
        <v>23</v>
      </c>
      <c r="W801" s="3">
        <v>0.14000000000000001</v>
      </c>
    </row>
    <row r="802" spans="1:23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 spans="1:23" x14ac:dyDescent="0.25">
      <c r="A803" s="3" t="s">
        <v>2034</v>
      </c>
      <c r="B803" s="3" t="s">
        <v>1580</v>
      </c>
      <c r="C803" s="3"/>
      <c r="D803" s="3" t="s">
        <v>1581</v>
      </c>
      <c r="E803" s="3">
        <v>480.95</v>
      </c>
      <c r="F803" s="3">
        <v>4.76</v>
      </c>
      <c r="G803" s="3">
        <v>23.81</v>
      </c>
      <c r="H803" s="3">
        <v>61.9</v>
      </c>
      <c r="I803" s="3"/>
      <c r="J803" s="3">
        <v>7.14</v>
      </c>
      <c r="K803" s="3">
        <v>14.29</v>
      </c>
      <c r="L803" s="3">
        <v>4.76</v>
      </c>
      <c r="M803" s="3">
        <v>0</v>
      </c>
      <c r="N803" s="3"/>
      <c r="O803" s="3"/>
      <c r="P803" s="3"/>
      <c r="Q803" s="3"/>
      <c r="R803" s="3">
        <v>904.76</v>
      </c>
      <c r="S803" s="3"/>
      <c r="T803" s="3"/>
      <c r="U803" s="3"/>
      <c r="V803" s="3"/>
      <c r="W803" s="3"/>
    </row>
    <row r="804" spans="1:23" x14ac:dyDescent="0.25">
      <c r="A804" s="3" t="s">
        <v>2034</v>
      </c>
      <c r="B804" s="3" t="s">
        <v>1582</v>
      </c>
      <c r="C804" s="3"/>
      <c r="D804" s="3" t="s">
        <v>1583</v>
      </c>
      <c r="E804" s="3">
        <v>505</v>
      </c>
      <c r="F804" s="3">
        <v>10</v>
      </c>
      <c r="G804" s="3">
        <v>25</v>
      </c>
      <c r="H804" s="3">
        <v>60</v>
      </c>
      <c r="I804" s="3"/>
      <c r="J804" s="3">
        <v>10</v>
      </c>
      <c r="K804" s="3">
        <v>10</v>
      </c>
      <c r="L804" s="3">
        <v>2.5</v>
      </c>
      <c r="M804" s="3">
        <v>50</v>
      </c>
      <c r="N804" s="3"/>
      <c r="O804" s="3"/>
      <c r="P804" s="3"/>
      <c r="Q804" s="3"/>
      <c r="R804" s="3">
        <v>1650</v>
      </c>
      <c r="S804" s="3"/>
      <c r="T804" s="3"/>
      <c r="U804" s="3"/>
      <c r="V804" s="3"/>
      <c r="W804" s="3"/>
    </row>
    <row r="805" spans="1:23" x14ac:dyDescent="0.25">
      <c r="A805" s="3" t="s">
        <v>2034</v>
      </c>
      <c r="B805" s="3" t="s">
        <v>1584</v>
      </c>
      <c r="C805" s="3"/>
      <c r="D805" s="3" t="s">
        <v>1585</v>
      </c>
      <c r="E805" s="3">
        <v>506.67</v>
      </c>
      <c r="F805" s="3">
        <v>6.67</v>
      </c>
      <c r="G805" s="3">
        <v>26.67</v>
      </c>
      <c r="H805" s="3">
        <v>60</v>
      </c>
      <c r="I805" s="3">
        <v>0</v>
      </c>
      <c r="J805" s="3">
        <v>10</v>
      </c>
      <c r="K805" s="3">
        <v>10</v>
      </c>
      <c r="L805" s="3">
        <v>3.33</v>
      </c>
      <c r="M805" s="3">
        <v>0</v>
      </c>
      <c r="N805" s="3"/>
      <c r="O805" s="3"/>
      <c r="P805" s="3"/>
      <c r="Q805" s="3"/>
      <c r="R805" s="3">
        <v>316.67</v>
      </c>
      <c r="S805" s="3"/>
      <c r="T805" s="3"/>
      <c r="U805" s="3"/>
      <c r="V805" s="3"/>
      <c r="W805" s="3"/>
    </row>
    <row r="806" spans="1:23" x14ac:dyDescent="0.25">
      <c r="A806" s="3" t="s">
        <v>2034</v>
      </c>
      <c r="B806" s="3" t="s">
        <v>1586</v>
      </c>
      <c r="C806" s="3"/>
      <c r="D806" s="3" t="s">
        <v>1587</v>
      </c>
      <c r="E806" s="3">
        <v>486.67</v>
      </c>
      <c r="F806" s="3">
        <v>10</v>
      </c>
      <c r="G806" s="3">
        <v>20</v>
      </c>
      <c r="H806" s="3">
        <v>66.67</v>
      </c>
      <c r="I806" s="3">
        <v>0</v>
      </c>
      <c r="J806" s="3">
        <v>3.33</v>
      </c>
      <c r="K806" s="3"/>
      <c r="L806" s="3"/>
      <c r="M806" s="3">
        <v>0</v>
      </c>
      <c r="N806" s="3"/>
      <c r="O806" s="3"/>
      <c r="P806" s="3"/>
      <c r="Q806" s="3"/>
      <c r="R806" s="3">
        <v>200</v>
      </c>
      <c r="S806" s="3"/>
      <c r="T806" s="3"/>
      <c r="U806" s="3"/>
      <c r="V806" s="3"/>
      <c r="W806" s="3"/>
    </row>
    <row r="807" spans="1:23" x14ac:dyDescent="0.25">
      <c r="A807" s="3" t="s">
        <v>2034</v>
      </c>
      <c r="B807" s="3" t="s">
        <v>1588</v>
      </c>
      <c r="C807" s="3"/>
      <c r="D807" s="3" t="s">
        <v>1589</v>
      </c>
      <c r="E807" s="3">
        <v>486.67</v>
      </c>
      <c r="F807" s="3">
        <v>10</v>
      </c>
      <c r="G807" s="3">
        <v>20</v>
      </c>
      <c r="H807" s="3">
        <v>66.67</v>
      </c>
      <c r="I807" s="3">
        <v>0</v>
      </c>
      <c r="J807" s="3">
        <v>3.33</v>
      </c>
      <c r="K807" s="3"/>
      <c r="L807" s="3"/>
      <c r="M807" s="3">
        <v>0</v>
      </c>
      <c r="N807" s="3"/>
      <c r="O807" s="3"/>
      <c r="P807" s="3"/>
      <c r="Q807" s="3"/>
      <c r="R807" s="3">
        <v>200</v>
      </c>
      <c r="S807" s="3"/>
      <c r="T807" s="3"/>
      <c r="U807" s="3"/>
      <c r="V807" s="3"/>
      <c r="W807" s="3"/>
    </row>
    <row r="808" spans="1:23" x14ac:dyDescent="0.25">
      <c r="A808" s="3" t="s">
        <v>2034</v>
      </c>
      <c r="B808" s="3" t="s">
        <v>1590</v>
      </c>
      <c r="C808" s="3"/>
      <c r="D808" s="3" t="s">
        <v>1591</v>
      </c>
      <c r="E808" s="3">
        <v>486.67</v>
      </c>
      <c r="F808" s="3">
        <v>10</v>
      </c>
      <c r="G808" s="3">
        <v>20</v>
      </c>
      <c r="H808" s="3">
        <v>66.67</v>
      </c>
      <c r="I808" s="3">
        <v>0</v>
      </c>
      <c r="J808" s="3">
        <v>3.33</v>
      </c>
      <c r="K808" s="3"/>
      <c r="L808" s="3"/>
      <c r="M808" s="3">
        <v>0</v>
      </c>
      <c r="N808" s="3"/>
      <c r="O808" s="3"/>
      <c r="P808" s="3"/>
      <c r="Q808" s="3"/>
      <c r="R808" s="3">
        <v>200</v>
      </c>
      <c r="S808" s="3"/>
      <c r="T808" s="3"/>
      <c r="U808" s="3"/>
      <c r="V808" s="3"/>
      <c r="W808" s="3"/>
    </row>
    <row r="809" spans="1:23" x14ac:dyDescent="0.25">
      <c r="A809" s="3" t="s">
        <v>2034</v>
      </c>
      <c r="B809" s="3" t="s">
        <v>1592</v>
      </c>
      <c r="C809" s="3"/>
      <c r="D809" s="3" t="s">
        <v>1593</v>
      </c>
      <c r="E809" s="3">
        <v>506.67</v>
      </c>
      <c r="F809" s="3">
        <v>6.67</v>
      </c>
      <c r="G809" s="3">
        <v>26.67</v>
      </c>
      <c r="H809" s="3">
        <v>60</v>
      </c>
      <c r="I809" s="3">
        <v>0</v>
      </c>
      <c r="J809" s="3">
        <v>10</v>
      </c>
      <c r="K809" s="3">
        <v>10</v>
      </c>
      <c r="L809" s="3">
        <v>3.33</v>
      </c>
      <c r="M809" s="3">
        <v>0</v>
      </c>
      <c r="N809" s="3"/>
      <c r="O809" s="3"/>
      <c r="P809" s="3"/>
      <c r="Q809" s="3"/>
      <c r="R809" s="3">
        <v>766.67</v>
      </c>
      <c r="S809" s="3"/>
      <c r="T809" s="3"/>
      <c r="U809" s="3"/>
      <c r="V809" s="3"/>
      <c r="W809" s="3"/>
    </row>
    <row r="810" spans="1:23" x14ac:dyDescent="0.25">
      <c r="A810" s="3" t="s">
        <v>2034</v>
      </c>
      <c r="B810" s="3" t="s">
        <v>1594</v>
      </c>
      <c r="C810" s="3"/>
      <c r="D810" s="3" t="s">
        <v>1595</v>
      </c>
      <c r="E810" s="3">
        <v>470</v>
      </c>
      <c r="F810" s="3">
        <v>10</v>
      </c>
      <c r="G810" s="3">
        <v>16.670000000000002</v>
      </c>
      <c r="H810" s="3">
        <v>70</v>
      </c>
      <c r="I810" s="3"/>
      <c r="J810" s="3">
        <v>6.67</v>
      </c>
      <c r="K810" s="3">
        <v>6.67</v>
      </c>
      <c r="L810" s="3">
        <v>3.33</v>
      </c>
      <c r="M810" s="3">
        <v>0</v>
      </c>
      <c r="N810" s="3"/>
      <c r="O810" s="3"/>
      <c r="P810" s="3"/>
      <c r="Q810" s="3"/>
      <c r="R810" s="3">
        <v>1266.67</v>
      </c>
      <c r="S810" s="3"/>
      <c r="T810" s="3"/>
      <c r="U810" s="3"/>
      <c r="V810" s="3"/>
      <c r="W810" s="3"/>
    </row>
    <row r="811" spans="1:23" x14ac:dyDescent="0.25">
      <c r="A811" s="3" t="s">
        <v>2034</v>
      </c>
      <c r="B811" s="3" t="s">
        <v>1596</v>
      </c>
      <c r="C811" s="3"/>
      <c r="D811" s="3" t="s">
        <v>1597</v>
      </c>
      <c r="E811" s="3">
        <v>426.67</v>
      </c>
      <c r="F811" s="3">
        <v>10</v>
      </c>
      <c r="G811" s="3">
        <v>13.33</v>
      </c>
      <c r="H811" s="3">
        <v>66.67</v>
      </c>
      <c r="I811" s="3">
        <v>3.33</v>
      </c>
      <c r="J811" s="3">
        <v>1.67</v>
      </c>
      <c r="K811" s="3">
        <v>6.67</v>
      </c>
      <c r="L811" s="3">
        <v>6.67</v>
      </c>
      <c r="M811" s="3">
        <v>0</v>
      </c>
      <c r="N811" s="3"/>
      <c r="O811" s="3"/>
      <c r="P811" s="3"/>
      <c r="Q811" s="3"/>
      <c r="R811" s="3">
        <v>416.67</v>
      </c>
      <c r="S811" s="3"/>
      <c r="T811" s="3"/>
      <c r="U811" s="3"/>
      <c r="V811" s="3"/>
      <c r="W811" s="3"/>
    </row>
    <row r="812" spans="1:23" x14ac:dyDescent="0.25">
      <c r="A812" s="3" t="s">
        <v>2034</v>
      </c>
      <c r="B812" s="3" t="s">
        <v>1598</v>
      </c>
      <c r="C812" s="3"/>
      <c r="D812" s="3" t="s">
        <v>1599</v>
      </c>
      <c r="E812" s="3">
        <v>423.33</v>
      </c>
      <c r="F812" s="3">
        <v>10</v>
      </c>
      <c r="G812" s="3">
        <v>10</v>
      </c>
      <c r="H812" s="3">
        <v>73.33</v>
      </c>
      <c r="I812" s="3">
        <v>0</v>
      </c>
      <c r="J812" s="3">
        <v>8.33</v>
      </c>
      <c r="K812" s="3">
        <v>1.67</v>
      </c>
      <c r="L812" s="3">
        <v>1.67</v>
      </c>
      <c r="M812" s="3">
        <v>0</v>
      </c>
      <c r="N812" s="3"/>
      <c r="O812" s="3"/>
      <c r="P812" s="3"/>
      <c r="Q812" s="3"/>
      <c r="R812" s="3">
        <v>33.33</v>
      </c>
      <c r="S812" s="3"/>
      <c r="T812" s="3"/>
      <c r="U812" s="3"/>
      <c r="V812" s="3"/>
      <c r="W812" s="3"/>
    </row>
    <row r="813" spans="1:23" x14ac:dyDescent="0.25">
      <c r="A813" s="3" t="s">
        <v>2034</v>
      </c>
      <c r="B813" s="3" t="s">
        <v>1600</v>
      </c>
      <c r="C813" s="3"/>
      <c r="D813" s="3" t="s">
        <v>1601</v>
      </c>
      <c r="E813" s="3">
        <v>406.67</v>
      </c>
      <c r="F813" s="3">
        <v>0</v>
      </c>
      <c r="G813" s="3">
        <v>6.67</v>
      </c>
      <c r="H813" s="3">
        <v>86.67</v>
      </c>
      <c r="I813" s="3"/>
      <c r="J813" s="3">
        <v>3.33</v>
      </c>
      <c r="K813" s="3">
        <v>3.33</v>
      </c>
      <c r="L813" s="3">
        <v>0</v>
      </c>
      <c r="M813" s="3">
        <v>0</v>
      </c>
      <c r="N813" s="3"/>
      <c r="O813" s="3"/>
      <c r="P813" s="3"/>
      <c r="Q813" s="3"/>
      <c r="R813" s="3">
        <v>266.67</v>
      </c>
      <c r="S813" s="3"/>
      <c r="T813" s="3"/>
      <c r="U813" s="3"/>
      <c r="V813" s="3"/>
      <c r="W813" s="3"/>
    </row>
    <row r="814" spans="1:23" x14ac:dyDescent="0.25">
      <c r="A814" s="3" t="s">
        <v>2034</v>
      </c>
      <c r="B814" s="3" t="s">
        <v>1602</v>
      </c>
      <c r="C814" s="3"/>
      <c r="D814" s="3" t="s">
        <v>1603</v>
      </c>
      <c r="E814" s="3">
        <v>108.33</v>
      </c>
      <c r="F814" s="3">
        <v>10</v>
      </c>
      <c r="G814" s="3">
        <v>1.67</v>
      </c>
      <c r="H814" s="3">
        <v>13.33</v>
      </c>
      <c r="I814" s="3"/>
      <c r="J814" s="3">
        <v>0</v>
      </c>
      <c r="K814" s="3">
        <v>0</v>
      </c>
      <c r="L814" s="3">
        <v>0</v>
      </c>
      <c r="M814" s="3">
        <v>0</v>
      </c>
      <c r="N814" s="3"/>
      <c r="O814" s="3"/>
      <c r="P814" s="3"/>
      <c r="Q814" s="3"/>
      <c r="R814" s="3">
        <v>50</v>
      </c>
      <c r="S814" s="3"/>
      <c r="T814" s="3"/>
      <c r="U814" s="3"/>
      <c r="V814" s="3"/>
      <c r="W814" s="3"/>
    </row>
    <row r="815" spans="1:23" x14ac:dyDescent="0.25">
      <c r="A815" s="3" t="s">
        <v>2034</v>
      </c>
      <c r="B815" s="3" t="s">
        <v>1604</v>
      </c>
      <c r="C815" s="3"/>
      <c r="D815" s="3" t="s">
        <v>1605</v>
      </c>
      <c r="E815" s="3">
        <v>524.14</v>
      </c>
      <c r="F815" s="3">
        <v>6.9</v>
      </c>
      <c r="G815" s="3">
        <v>27.59</v>
      </c>
      <c r="H815" s="3">
        <v>62.07</v>
      </c>
      <c r="I815" s="3">
        <v>0</v>
      </c>
      <c r="J815" s="3">
        <v>13.79</v>
      </c>
      <c r="K815" s="3">
        <v>10.34</v>
      </c>
      <c r="L815" s="3">
        <v>3.45</v>
      </c>
      <c r="M815" s="3">
        <v>0</v>
      </c>
      <c r="N815" s="3"/>
      <c r="O815" s="3"/>
      <c r="P815" s="3"/>
      <c r="Q815" s="3"/>
      <c r="R815" s="3">
        <v>517.24</v>
      </c>
      <c r="S815" s="3"/>
      <c r="T815" s="3"/>
      <c r="U815" s="3"/>
      <c r="V815" s="3"/>
      <c r="W815" s="3"/>
    </row>
    <row r="816" spans="1:23" x14ac:dyDescent="0.25">
      <c r="A816" s="3" t="s">
        <v>2034</v>
      </c>
      <c r="B816" s="3" t="s">
        <v>1606</v>
      </c>
      <c r="C816" s="3"/>
      <c r="D816" s="3" t="s">
        <v>1607</v>
      </c>
      <c r="E816" s="3">
        <v>506.67</v>
      </c>
      <c r="F816" s="3">
        <v>0</v>
      </c>
      <c r="G816" s="3">
        <v>26.67</v>
      </c>
      <c r="H816" s="3">
        <v>66.67</v>
      </c>
      <c r="I816" s="3">
        <v>0</v>
      </c>
      <c r="J816" s="3">
        <v>13.33</v>
      </c>
      <c r="K816" s="3">
        <v>10</v>
      </c>
      <c r="L816" s="3">
        <v>0</v>
      </c>
      <c r="M816" s="3">
        <v>0</v>
      </c>
      <c r="N816" s="3"/>
      <c r="O816" s="3"/>
      <c r="P816" s="3"/>
      <c r="Q816" s="3"/>
      <c r="R816" s="3">
        <v>833.33</v>
      </c>
      <c r="S816" s="3"/>
      <c r="T816" s="3"/>
      <c r="U816" s="3"/>
      <c r="V816" s="3"/>
      <c r="W816" s="3"/>
    </row>
    <row r="817" spans="1:23" x14ac:dyDescent="0.25">
      <c r="A817" s="3" t="s">
        <v>2034</v>
      </c>
      <c r="B817" s="3" t="s">
        <v>1608</v>
      </c>
      <c r="C817" s="3"/>
      <c r="D817" s="3" t="s">
        <v>1609</v>
      </c>
      <c r="E817" s="3">
        <v>160</v>
      </c>
      <c r="F817" s="3">
        <v>10</v>
      </c>
      <c r="G817" s="3">
        <v>13.33</v>
      </c>
      <c r="H817" s="3">
        <v>0</v>
      </c>
      <c r="I817" s="3"/>
      <c r="J817" s="3">
        <v>5</v>
      </c>
      <c r="K817" s="3">
        <v>6.67</v>
      </c>
      <c r="L817" s="3">
        <v>0</v>
      </c>
      <c r="M817" s="3">
        <v>0</v>
      </c>
      <c r="N817" s="3"/>
      <c r="O817" s="3"/>
      <c r="P817" s="3"/>
      <c r="Q817" s="3"/>
      <c r="R817" s="3">
        <v>566.66999999999996</v>
      </c>
      <c r="S817" s="3"/>
      <c r="T817" s="3"/>
      <c r="U817" s="3"/>
      <c r="V817" s="3"/>
      <c r="W817" s="3"/>
    </row>
    <row r="818" spans="1:23" x14ac:dyDescent="0.25">
      <c r="A818" s="3" t="s">
        <v>2034</v>
      </c>
      <c r="B818" s="3" t="s">
        <v>1610</v>
      </c>
      <c r="C818" s="3"/>
      <c r="D818" s="3" t="s">
        <v>1611</v>
      </c>
      <c r="E818" s="3">
        <v>533.33000000000004</v>
      </c>
      <c r="F818" s="3">
        <v>6.67</v>
      </c>
      <c r="G818" s="3">
        <v>26.67</v>
      </c>
      <c r="H818" s="3">
        <v>66.67</v>
      </c>
      <c r="I818" s="3">
        <v>0</v>
      </c>
      <c r="J818" s="3">
        <v>13.33</v>
      </c>
      <c r="K818" s="3">
        <v>10</v>
      </c>
      <c r="L818" s="3">
        <v>0</v>
      </c>
      <c r="M818" s="3">
        <v>0</v>
      </c>
      <c r="N818" s="3"/>
      <c r="O818" s="3"/>
      <c r="P818" s="3"/>
      <c r="Q818" s="3"/>
      <c r="R818" s="3">
        <v>866.67</v>
      </c>
      <c r="S818" s="3"/>
      <c r="T818" s="3"/>
      <c r="U818" s="3"/>
      <c r="V818" s="3"/>
      <c r="W818" s="3"/>
    </row>
    <row r="819" spans="1:23" x14ac:dyDescent="0.25">
      <c r="A819" s="3" t="s">
        <v>2034</v>
      </c>
      <c r="B819" s="3" t="s">
        <v>1612</v>
      </c>
      <c r="C819" s="3"/>
      <c r="D819" s="3" t="s">
        <v>1613</v>
      </c>
      <c r="E819" s="3">
        <v>503.33</v>
      </c>
      <c r="F819" s="3">
        <v>6.67</v>
      </c>
      <c r="G819" s="3">
        <v>23.33</v>
      </c>
      <c r="H819" s="3">
        <v>66.67</v>
      </c>
      <c r="I819" s="3">
        <v>0</v>
      </c>
      <c r="J819" s="3">
        <v>10</v>
      </c>
      <c r="K819" s="3">
        <v>10</v>
      </c>
      <c r="L819" s="3">
        <v>3.33</v>
      </c>
      <c r="M819" s="3">
        <v>0</v>
      </c>
      <c r="N819" s="3"/>
      <c r="O819" s="3"/>
      <c r="P819" s="3"/>
      <c r="Q819" s="3"/>
      <c r="R819" s="3">
        <v>733.33</v>
      </c>
      <c r="S819" s="3"/>
      <c r="T819" s="3"/>
      <c r="U819" s="3"/>
      <c r="V819" s="3"/>
      <c r="W819" s="3"/>
    </row>
    <row r="820" spans="1:23" x14ac:dyDescent="0.25">
      <c r="A820" s="3" t="s">
        <v>2034</v>
      </c>
      <c r="B820" s="3" t="s">
        <v>1614</v>
      </c>
      <c r="C820" s="3"/>
      <c r="D820" s="3" t="s">
        <v>1615</v>
      </c>
      <c r="E820" s="3">
        <v>540</v>
      </c>
      <c r="F820" s="3">
        <v>4</v>
      </c>
      <c r="G820" s="3">
        <v>28</v>
      </c>
      <c r="H820" s="3">
        <v>68</v>
      </c>
      <c r="I820" s="3">
        <v>0</v>
      </c>
      <c r="J820" s="3">
        <v>12</v>
      </c>
      <c r="K820" s="3">
        <v>12</v>
      </c>
      <c r="L820" s="3">
        <v>4</v>
      </c>
      <c r="M820" s="3">
        <v>0</v>
      </c>
      <c r="N820" s="3"/>
      <c r="O820" s="3"/>
      <c r="P820" s="3"/>
      <c r="Q820" s="3"/>
      <c r="R820" s="3">
        <v>0</v>
      </c>
      <c r="S820" s="3"/>
      <c r="T820" s="3"/>
      <c r="U820" s="3"/>
      <c r="V820" s="3"/>
      <c r="W820" s="3"/>
    </row>
    <row r="821" spans="1:23" x14ac:dyDescent="0.25">
      <c r="A821" s="3" t="s">
        <v>2034</v>
      </c>
      <c r="B821" s="3" t="s">
        <v>1616</v>
      </c>
      <c r="C821" s="3"/>
      <c r="D821" s="3" t="s">
        <v>1617</v>
      </c>
      <c r="E821" s="3">
        <v>486</v>
      </c>
      <c r="F821" s="3">
        <v>6</v>
      </c>
      <c r="G821" s="3">
        <v>22</v>
      </c>
      <c r="H821" s="3">
        <v>66</v>
      </c>
      <c r="I821" s="3"/>
      <c r="J821" s="3">
        <v>8</v>
      </c>
      <c r="K821" s="3">
        <v>10</v>
      </c>
      <c r="L821" s="3">
        <v>4</v>
      </c>
      <c r="M821" s="3">
        <v>0</v>
      </c>
      <c r="N821" s="3"/>
      <c r="O821" s="3"/>
      <c r="P821" s="3"/>
      <c r="Q821" s="3"/>
      <c r="R821" s="3">
        <v>300</v>
      </c>
      <c r="S821" s="3"/>
      <c r="T821" s="3"/>
      <c r="U821" s="3"/>
      <c r="V821" s="3"/>
      <c r="W821" s="3"/>
    </row>
    <row r="822" spans="1:23" x14ac:dyDescent="0.25">
      <c r="A822" s="3" t="s">
        <v>2034</v>
      </c>
      <c r="B822" s="3" t="s">
        <v>1618</v>
      </c>
      <c r="C822" s="3"/>
      <c r="D822" s="3" t="s">
        <v>1619</v>
      </c>
      <c r="E822" s="3">
        <v>514</v>
      </c>
      <c r="F822" s="3">
        <v>6</v>
      </c>
      <c r="G822" s="3">
        <v>26</v>
      </c>
      <c r="H822" s="3">
        <v>64</v>
      </c>
      <c r="I822" s="3"/>
      <c r="J822" s="3">
        <v>12</v>
      </c>
      <c r="K822" s="3">
        <v>10</v>
      </c>
      <c r="L822" s="3">
        <v>4</v>
      </c>
      <c r="M822" s="3">
        <v>0</v>
      </c>
      <c r="N822" s="3"/>
      <c r="O822" s="3"/>
      <c r="P822" s="3"/>
      <c r="Q822" s="3"/>
      <c r="R822" s="3">
        <v>660</v>
      </c>
      <c r="S822" s="3"/>
      <c r="T822" s="3"/>
      <c r="U822" s="3"/>
      <c r="V822" s="3"/>
      <c r="W822" s="3"/>
    </row>
    <row r="823" spans="1:23" x14ac:dyDescent="0.25">
      <c r="A823" s="3" t="s">
        <v>2034</v>
      </c>
      <c r="B823" s="3" t="s">
        <v>1620</v>
      </c>
      <c r="C823" s="3"/>
      <c r="D823" s="3" t="s">
        <v>1621</v>
      </c>
      <c r="E823" s="3">
        <v>490</v>
      </c>
      <c r="F823" s="3">
        <v>6.67</v>
      </c>
      <c r="G823" s="3">
        <v>23.33</v>
      </c>
      <c r="H823" s="3">
        <v>63.33</v>
      </c>
      <c r="I823" s="3"/>
      <c r="J823" s="3">
        <v>8.33</v>
      </c>
      <c r="K823" s="3">
        <v>10</v>
      </c>
      <c r="L823" s="3">
        <v>5</v>
      </c>
      <c r="M823" s="3">
        <v>0</v>
      </c>
      <c r="N823" s="3"/>
      <c r="O823" s="3"/>
      <c r="P823" s="3"/>
      <c r="Q823" s="3"/>
      <c r="R823" s="3">
        <v>966.67</v>
      </c>
      <c r="S823" s="3"/>
      <c r="T823" s="3"/>
      <c r="U823" s="3"/>
      <c r="V823" s="3"/>
      <c r="W823" s="3"/>
    </row>
    <row r="824" spans="1:23" x14ac:dyDescent="0.25">
      <c r="A824" s="3" t="s">
        <v>2034</v>
      </c>
      <c r="B824" s="3" t="s">
        <v>1622</v>
      </c>
      <c r="C824" s="3"/>
      <c r="D824" s="3" t="s">
        <v>1623</v>
      </c>
      <c r="E824" s="3">
        <v>495</v>
      </c>
      <c r="F824" s="3">
        <v>5</v>
      </c>
      <c r="G824" s="3">
        <v>25</v>
      </c>
      <c r="H824" s="3">
        <v>62.5</v>
      </c>
      <c r="I824" s="3"/>
      <c r="J824" s="3">
        <v>10</v>
      </c>
      <c r="K824" s="3">
        <v>12.5</v>
      </c>
      <c r="L824" s="3">
        <v>2.5</v>
      </c>
      <c r="M824" s="3">
        <v>0</v>
      </c>
      <c r="N824" s="3"/>
      <c r="O824" s="3"/>
      <c r="P824" s="3"/>
      <c r="Q824" s="3"/>
      <c r="R824" s="3">
        <v>1925</v>
      </c>
      <c r="S824" s="3"/>
      <c r="T824" s="3"/>
      <c r="U824" s="3"/>
      <c r="V824" s="3"/>
      <c r="W824" s="3"/>
    </row>
    <row r="825" spans="1:23" x14ac:dyDescent="0.25">
      <c r="A825" s="3" t="s">
        <v>2034</v>
      </c>
      <c r="B825" s="3" t="s">
        <v>1624</v>
      </c>
      <c r="C825" s="3"/>
      <c r="D825" s="3" t="s">
        <v>1625</v>
      </c>
      <c r="E825" s="3">
        <v>503.33</v>
      </c>
      <c r="F825" s="3">
        <v>6.67</v>
      </c>
      <c r="G825" s="3">
        <v>23.33</v>
      </c>
      <c r="H825" s="3">
        <v>66.67</v>
      </c>
      <c r="I825" s="3">
        <v>0</v>
      </c>
      <c r="J825" s="3">
        <v>10</v>
      </c>
      <c r="K825" s="3">
        <v>10</v>
      </c>
      <c r="L825" s="3">
        <v>3.33</v>
      </c>
      <c r="M825" s="3">
        <v>0</v>
      </c>
      <c r="N825" s="3"/>
      <c r="O825" s="3"/>
      <c r="P825" s="3"/>
      <c r="Q825" s="3"/>
      <c r="R825" s="3">
        <v>733.33</v>
      </c>
      <c r="S825" s="3"/>
      <c r="T825" s="3"/>
      <c r="U825" s="3"/>
      <c r="V825" s="3"/>
      <c r="W825" s="3"/>
    </row>
    <row r="826" spans="1:23" x14ac:dyDescent="0.25">
      <c r="A826" s="3" t="s">
        <v>2034</v>
      </c>
      <c r="B826" s="3" t="s">
        <v>1626</v>
      </c>
      <c r="C826" s="3"/>
      <c r="D826" s="3" t="s">
        <v>1627</v>
      </c>
      <c r="E826" s="3">
        <v>493.33</v>
      </c>
      <c r="F826" s="3">
        <v>6.67</v>
      </c>
      <c r="G826" s="3">
        <v>22.22</v>
      </c>
      <c r="H826" s="3">
        <v>66.67</v>
      </c>
      <c r="I826" s="3"/>
      <c r="J826" s="3">
        <v>8.89</v>
      </c>
      <c r="K826" s="3">
        <v>8.89</v>
      </c>
      <c r="L826" s="3">
        <v>4.4400000000000004</v>
      </c>
      <c r="M826" s="3">
        <v>0</v>
      </c>
      <c r="N826" s="3"/>
      <c r="O826" s="3"/>
      <c r="P826" s="3"/>
      <c r="Q826" s="3"/>
      <c r="R826" s="3">
        <v>288.89</v>
      </c>
      <c r="S826" s="3"/>
      <c r="T826" s="3"/>
      <c r="U826" s="3"/>
      <c r="V826" s="3"/>
      <c r="W826" s="3"/>
    </row>
    <row r="827" spans="1:23" x14ac:dyDescent="0.25">
      <c r="A827" s="3" t="s">
        <v>2034</v>
      </c>
      <c r="B827" s="3" t="s">
        <v>1628</v>
      </c>
      <c r="C827" s="3"/>
      <c r="D827" s="3" t="s">
        <v>1629</v>
      </c>
      <c r="E827" s="3">
        <v>504.44</v>
      </c>
      <c r="F827" s="3">
        <v>6.67</v>
      </c>
      <c r="G827" s="3">
        <v>24.44</v>
      </c>
      <c r="H827" s="3">
        <v>64.44</v>
      </c>
      <c r="I827" s="3"/>
      <c r="J827" s="3">
        <v>8.89</v>
      </c>
      <c r="K827" s="3">
        <v>8.89</v>
      </c>
      <c r="L827" s="3">
        <v>4.4400000000000004</v>
      </c>
      <c r="M827" s="3">
        <v>0</v>
      </c>
      <c r="N827" s="3"/>
      <c r="O827" s="3"/>
      <c r="P827" s="3"/>
      <c r="Q827" s="3"/>
      <c r="R827" s="3">
        <v>511.11</v>
      </c>
      <c r="S827" s="3"/>
      <c r="T827" s="3"/>
      <c r="U827" s="3"/>
      <c r="V827" s="3"/>
      <c r="W827" s="3"/>
    </row>
    <row r="828" spans="1:23" x14ac:dyDescent="0.25">
      <c r="A828" s="3" t="s">
        <v>2034</v>
      </c>
      <c r="B828" s="3" t="s">
        <v>1630</v>
      </c>
      <c r="C828" s="3"/>
      <c r="D828" s="3" t="s">
        <v>1631</v>
      </c>
      <c r="E828" s="3">
        <v>483.33</v>
      </c>
      <c r="F828" s="3">
        <v>10</v>
      </c>
      <c r="G828" s="3">
        <v>16.670000000000002</v>
      </c>
      <c r="H828" s="3">
        <v>73.33</v>
      </c>
      <c r="I828" s="3"/>
      <c r="J828" s="3">
        <v>5</v>
      </c>
      <c r="K828" s="3">
        <v>6.67</v>
      </c>
      <c r="L828" s="3">
        <v>5</v>
      </c>
      <c r="M828" s="3">
        <v>0</v>
      </c>
      <c r="N828" s="3"/>
      <c r="O828" s="3"/>
      <c r="P828" s="3"/>
      <c r="Q828" s="3"/>
      <c r="R828" s="3">
        <v>40</v>
      </c>
      <c r="S828" s="3"/>
      <c r="T828" s="3"/>
      <c r="U828" s="3"/>
      <c r="V828" s="3"/>
      <c r="W828" s="3"/>
    </row>
    <row r="829" spans="1:23" x14ac:dyDescent="0.25">
      <c r="A829" s="3" t="s">
        <v>2034</v>
      </c>
      <c r="B829" s="3" t="s">
        <v>1632</v>
      </c>
      <c r="C829" s="3"/>
      <c r="D829" s="3" t="s">
        <v>1633</v>
      </c>
      <c r="E829" s="3">
        <v>476.67</v>
      </c>
      <c r="F829" s="3">
        <v>6.67</v>
      </c>
      <c r="G829" s="3">
        <v>23.33</v>
      </c>
      <c r="H829" s="3">
        <v>60</v>
      </c>
      <c r="I829" s="3"/>
      <c r="J829" s="3">
        <v>13.33</v>
      </c>
      <c r="K829" s="3">
        <v>8.33</v>
      </c>
      <c r="L829" s="3">
        <v>1.67</v>
      </c>
      <c r="M829" s="3">
        <v>0</v>
      </c>
      <c r="N829" s="3"/>
      <c r="O829" s="3"/>
      <c r="P829" s="3"/>
      <c r="Q829" s="3"/>
      <c r="R829" s="3">
        <v>966.67</v>
      </c>
      <c r="S829" s="3"/>
      <c r="T829" s="3"/>
      <c r="U829" s="3"/>
      <c r="V829" s="3"/>
      <c r="W829" s="3"/>
    </row>
    <row r="830" spans="1:23" x14ac:dyDescent="0.25">
      <c r="A830" s="3" t="s">
        <v>2034</v>
      </c>
      <c r="B830" s="3" t="s">
        <v>1634</v>
      </c>
      <c r="C830" s="3"/>
      <c r="D830" s="3" t="s">
        <v>1635</v>
      </c>
      <c r="E830" s="3">
        <v>560</v>
      </c>
      <c r="F830" s="3">
        <v>50</v>
      </c>
      <c r="G830" s="3">
        <v>40</v>
      </c>
      <c r="H830" s="3">
        <v>0</v>
      </c>
      <c r="I830" s="3"/>
      <c r="J830" s="3">
        <v>16.670000000000002</v>
      </c>
      <c r="K830" s="3">
        <v>13.33</v>
      </c>
      <c r="L830" s="3">
        <v>10</v>
      </c>
      <c r="M830" s="3">
        <v>16.670000000000002</v>
      </c>
      <c r="N830" s="3"/>
      <c r="O830" s="3"/>
      <c r="P830" s="3"/>
      <c r="Q830" s="3"/>
      <c r="R830" s="3">
        <v>1966.67</v>
      </c>
      <c r="S830" s="3"/>
      <c r="T830" s="3"/>
      <c r="U830" s="3"/>
      <c r="V830" s="3"/>
      <c r="W830" s="3"/>
    </row>
    <row r="831" spans="1:23" x14ac:dyDescent="0.25">
      <c r="A831" s="3" t="s">
        <v>2034</v>
      </c>
      <c r="B831" s="3" t="s">
        <v>1636</v>
      </c>
      <c r="C831" s="3"/>
      <c r="D831" s="3" t="s">
        <v>1637</v>
      </c>
      <c r="E831" s="3">
        <v>553.33000000000004</v>
      </c>
      <c r="F831" s="3">
        <v>63.33</v>
      </c>
      <c r="G831" s="3">
        <v>33.33</v>
      </c>
      <c r="H831" s="3">
        <v>0</v>
      </c>
      <c r="I831" s="3">
        <v>0</v>
      </c>
      <c r="J831" s="3">
        <v>13.33</v>
      </c>
      <c r="K831" s="3">
        <v>16.670000000000002</v>
      </c>
      <c r="L831" s="3">
        <v>3.33</v>
      </c>
      <c r="M831" s="3">
        <v>96.67</v>
      </c>
      <c r="N831" s="3"/>
      <c r="O831" s="3"/>
      <c r="P831" s="3"/>
      <c r="Q831" s="3"/>
      <c r="R831" s="3">
        <v>1600</v>
      </c>
      <c r="S831" s="3"/>
      <c r="T831" s="3"/>
      <c r="U831" s="3"/>
      <c r="V831" s="3"/>
      <c r="W831" s="3"/>
    </row>
    <row r="832" spans="1:23" x14ac:dyDescent="0.25">
      <c r="A832" s="3" t="s">
        <v>2034</v>
      </c>
      <c r="B832" s="3" t="s">
        <v>1638</v>
      </c>
      <c r="C832" s="3"/>
      <c r="D832" s="3" t="s">
        <v>1639</v>
      </c>
      <c r="E832" s="3">
        <v>540</v>
      </c>
      <c r="F832" s="3">
        <v>60</v>
      </c>
      <c r="G832" s="3">
        <v>33.33</v>
      </c>
      <c r="H832" s="3">
        <v>0</v>
      </c>
      <c r="I832" s="3"/>
      <c r="J832" s="3">
        <v>13.33</v>
      </c>
      <c r="K832" s="3">
        <v>13.33</v>
      </c>
      <c r="L832" s="3">
        <v>0</v>
      </c>
      <c r="M832" s="3">
        <v>80</v>
      </c>
      <c r="N832" s="3"/>
      <c r="O832" s="3"/>
      <c r="P832" s="3"/>
      <c r="Q832" s="3"/>
      <c r="R832" s="3">
        <v>1600</v>
      </c>
      <c r="S832" s="3"/>
      <c r="T832" s="3"/>
      <c r="U832" s="3"/>
      <c r="V832" s="3"/>
      <c r="W832" s="3"/>
    </row>
    <row r="833" spans="1:23" x14ac:dyDescent="0.25">
      <c r="A833" s="3" t="s">
        <v>2034</v>
      </c>
      <c r="B833" s="3" t="s">
        <v>1640</v>
      </c>
      <c r="C833" s="3"/>
      <c r="D833" s="3" t="s">
        <v>1641</v>
      </c>
      <c r="E833" s="3">
        <v>540</v>
      </c>
      <c r="F833" s="3">
        <v>60</v>
      </c>
      <c r="G833" s="3">
        <v>33.33</v>
      </c>
      <c r="H833" s="3">
        <v>0</v>
      </c>
      <c r="I833" s="3"/>
      <c r="J833" s="3">
        <v>13.33</v>
      </c>
      <c r="K833" s="3">
        <v>16.670000000000002</v>
      </c>
      <c r="L833" s="3">
        <v>3.33</v>
      </c>
      <c r="M833" s="3">
        <v>93.33</v>
      </c>
      <c r="N833" s="3"/>
      <c r="O833" s="3"/>
      <c r="P833" s="3"/>
      <c r="Q833" s="3"/>
      <c r="R833" s="3">
        <v>1896.67</v>
      </c>
      <c r="S833" s="3"/>
      <c r="T833" s="3"/>
      <c r="U833" s="3"/>
      <c r="V833" s="3"/>
      <c r="W833" s="3"/>
    </row>
    <row r="834" spans="1:23" x14ac:dyDescent="0.25">
      <c r="A834" s="3" t="s">
        <v>2034</v>
      </c>
      <c r="B834" s="3" t="s">
        <v>1642</v>
      </c>
      <c r="C834" s="3"/>
      <c r="D834" s="3" t="s">
        <v>1643</v>
      </c>
      <c r="E834" s="3">
        <v>540</v>
      </c>
      <c r="F834" s="3">
        <v>60</v>
      </c>
      <c r="G834" s="3">
        <v>33.33</v>
      </c>
      <c r="H834" s="3">
        <v>0</v>
      </c>
      <c r="I834" s="3">
        <v>0</v>
      </c>
      <c r="J834" s="3">
        <v>16.670000000000002</v>
      </c>
      <c r="K834" s="3">
        <v>13.33</v>
      </c>
      <c r="L834" s="3">
        <v>3.33</v>
      </c>
      <c r="M834" s="3">
        <v>86.67</v>
      </c>
      <c r="N834" s="3"/>
      <c r="O834" s="3"/>
      <c r="P834" s="3"/>
      <c r="Q834" s="3"/>
      <c r="R834" s="3">
        <v>1600</v>
      </c>
      <c r="S834" s="3"/>
      <c r="T834" s="3"/>
      <c r="U834" s="3"/>
      <c r="V834" s="3"/>
      <c r="W834" s="3"/>
    </row>
    <row r="835" spans="1:23" x14ac:dyDescent="0.25">
      <c r="A835" s="3" t="s">
        <v>2034</v>
      </c>
      <c r="B835" s="3" t="s">
        <v>1644</v>
      </c>
      <c r="C835" s="3"/>
      <c r="D835" s="3" t="s">
        <v>1645</v>
      </c>
      <c r="E835" s="3">
        <v>548</v>
      </c>
      <c r="F835" s="3">
        <v>4</v>
      </c>
      <c r="G835" s="3">
        <v>36</v>
      </c>
      <c r="H835" s="3">
        <v>52</v>
      </c>
      <c r="I835" s="3">
        <v>4</v>
      </c>
      <c r="J835" s="3">
        <v>8</v>
      </c>
      <c r="K835" s="3"/>
      <c r="L835" s="3"/>
      <c r="M835" s="3">
        <v>0</v>
      </c>
      <c r="N835" s="3"/>
      <c r="O835" s="3"/>
      <c r="P835" s="3"/>
      <c r="Q835" s="3"/>
      <c r="R835" s="3">
        <v>792</v>
      </c>
      <c r="S835" s="3"/>
      <c r="T835" s="3"/>
      <c r="U835" s="3"/>
      <c r="V835" s="3"/>
      <c r="W835" s="3"/>
    </row>
    <row r="836" spans="1:23" x14ac:dyDescent="0.25">
      <c r="A836" s="3" t="s">
        <v>2034</v>
      </c>
      <c r="B836" s="3" t="s">
        <v>1646</v>
      </c>
      <c r="C836" s="3"/>
      <c r="D836" s="3" t="s">
        <v>1647</v>
      </c>
      <c r="E836" s="3">
        <v>536.66999999999996</v>
      </c>
      <c r="F836" s="3">
        <v>3.33</v>
      </c>
      <c r="G836" s="3">
        <v>30</v>
      </c>
      <c r="H836" s="3">
        <v>63.33</v>
      </c>
      <c r="I836" s="3"/>
      <c r="J836" s="3">
        <v>10</v>
      </c>
      <c r="K836" s="3">
        <v>13.33</v>
      </c>
      <c r="L836" s="3">
        <v>10</v>
      </c>
      <c r="M836" s="3">
        <v>0</v>
      </c>
      <c r="N836" s="3"/>
      <c r="O836" s="3"/>
      <c r="P836" s="3"/>
      <c r="Q836" s="3"/>
      <c r="R836" s="3">
        <v>50</v>
      </c>
      <c r="S836" s="3"/>
      <c r="T836" s="3"/>
      <c r="U836" s="3"/>
      <c r="V836" s="3"/>
      <c r="W836" s="3"/>
    </row>
    <row r="837" spans="1:23" x14ac:dyDescent="0.25">
      <c r="A837" s="3" t="s">
        <v>2034</v>
      </c>
      <c r="B837" s="3" t="s">
        <v>1648</v>
      </c>
      <c r="C837" s="3"/>
      <c r="D837" s="3" t="s">
        <v>1649</v>
      </c>
      <c r="E837" s="3">
        <v>515.55999999999995</v>
      </c>
      <c r="F837" s="3">
        <v>0</v>
      </c>
      <c r="G837" s="3">
        <v>26.67</v>
      </c>
      <c r="H837" s="3">
        <v>68.89</v>
      </c>
      <c r="I837" s="3"/>
      <c r="J837" s="3">
        <v>11.11</v>
      </c>
      <c r="K837" s="3">
        <v>11.11</v>
      </c>
      <c r="L837" s="3">
        <v>4.4400000000000004</v>
      </c>
      <c r="M837" s="3">
        <v>0</v>
      </c>
      <c r="N837" s="3"/>
      <c r="O837" s="3"/>
      <c r="P837" s="3"/>
      <c r="Q837" s="3"/>
      <c r="R837" s="3">
        <v>33.33</v>
      </c>
      <c r="S837" s="3"/>
      <c r="T837" s="3"/>
      <c r="U837" s="3"/>
      <c r="V837" s="3"/>
      <c r="W837" s="3"/>
    </row>
    <row r="838" spans="1:23" x14ac:dyDescent="0.25">
      <c r="A838" s="3" t="s">
        <v>2034</v>
      </c>
      <c r="B838" s="3" t="s">
        <v>1650</v>
      </c>
      <c r="C838" s="3"/>
      <c r="D838" s="3" t="s">
        <v>1651</v>
      </c>
      <c r="E838" s="3">
        <v>451.11</v>
      </c>
      <c r="F838" s="3">
        <v>8.89</v>
      </c>
      <c r="G838" s="3">
        <v>15.56</v>
      </c>
      <c r="H838" s="3">
        <v>68.89</v>
      </c>
      <c r="I838" s="3"/>
      <c r="J838" s="3">
        <v>5.56</v>
      </c>
      <c r="K838" s="3">
        <v>6.67</v>
      </c>
      <c r="L838" s="3">
        <v>5.56</v>
      </c>
      <c r="M838" s="3">
        <v>0</v>
      </c>
      <c r="N838" s="3"/>
      <c r="O838" s="3"/>
      <c r="P838" s="3"/>
      <c r="Q838" s="3"/>
      <c r="R838" s="3">
        <v>600</v>
      </c>
      <c r="S838" s="3"/>
      <c r="T838" s="3"/>
      <c r="U838" s="3"/>
      <c r="V838" s="3"/>
      <c r="W838" s="3"/>
    </row>
    <row r="839" spans="1:23" x14ac:dyDescent="0.25">
      <c r="A839" s="3" t="s">
        <v>2034</v>
      </c>
      <c r="B839" s="3" t="s">
        <v>1652</v>
      </c>
      <c r="C839" s="3"/>
      <c r="D839" s="3" t="s">
        <v>1653</v>
      </c>
      <c r="E839" s="3">
        <v>451.11</v>
      </c>
      <c r="F839" s="3">
        <v>8.89</v>
      </c>
      <c r="G839" s="3">
        <v>15.56</v>
      </c>
      <c r="H839" s="3">
        <v>68.89</v>
      </c>
      <c r="I839" s="3"/>
      <c r="J839" s="3">
        <v>5.56</v>
      </c>
      <c r="K839" s="3">
        <v>6.67</v>
      </c>
      <c r="L839" s="3">
        <v>5.56</v>
      </c>
      <c r="M839" s="3">
        <v>0</v>
      </c>
      <c r="N839" s="3"/>
      <c r="O839" s="3"/>
      <c r="P839" s="3"/>
      <c r="Q839" s="3"/>
      <c r="R839" s="3">
        <v>577.78</v>
      </c>
      <c r="S839" s="3"/>
      <c r="T839" s="3"/>
      <c r="U839" s="3"/>
      <c r="V839" s="3"/>
      <c r="W839" s="3"/>
    </row>
    <row r="840" spans="1:23" x14ac:dyDescent="0.25">
      <c r="A840" s="3" t="s">
        <v>2034</v>
      </c>
      <c r="B840" s="3" t="s">
        <v>1654</v>
      </c>
      <c r="C840" s="3"/>
      <c r="D840" s="3" t="s">
        <v>1655</v>
      </c>
      <c r="E840" s="3">
        <v>207</v>
      </c>
      <c r="F840" s="3">
        <v>4</v>
      </c>
      <c r="G840" s="3">
        <v>7</v>
      </c>
      <c r="H840" s="3">
        <v>32</v>
      </c>
      <c r="I840" s="3"/>
      <c r="J840" s="3">
        <v>2</v>
      </c>
      <c r="K840" s="3">
        <v>1.5</v>
      </c>
      <c r="L840" s="3">
        <v>3</v>
      </c>
      <c r="M840" s="3">
        <v>0</v>
      </c>
      <c r="N840" s="3"/>
      <c r="O840" s="3"/>
      <c r="P840" s="3"/>
      <c r="Q840" s="3"/>
      <c r="R840" s="3">
        <v>240</v>
      </c>
      <c r="S840" s="3"/>
      <c r="T840" s="3"/>
      <c r="U840" s="3"/>
      <c r="V840" s="3"/>
      <c r="W840" s="3"/>
    </row>
    <row r="841" spans="1:23" x14ac:dyDescent="0.25">
      <c r="A841" s="3" t="s">
        <v>2034</v>
      </c>
      <c r="B841" s="3" t="s">
        <v>1656</v>
      </c>
      <c r="C841" s="3"/>
      <c r="D841" s="3" t="s">
        <v>1657</v>
      </c>
      <c r="E841" s="3">
        <v>549.4</v>
      </c>
      <c r="F841" s="3">
        <v>8.5</v>
      </c>
      <c r="G841" s="3">
        <v>33</v>
      </c>
      <c r="H841" s="3">
        <v>54.6</v>
      </c>
      <c r="I841" s="3">
        <v>1.6</v>
      </c>
      <c r="J841" s="3">
        <v>20.5</v>
      </c>
      <c r="K841" s="3">
        <v>10.5</v>
      </c>
      <c r="L841" s="3">
        <v>1.4</v>
      </c>
      <c r="M841" s="3">
        <v>19.8</v>
      </c>
      <c r="N841" s="3"/>
      <c r="O841" s="3"/>
      <c r="P841" s="3"/>
      <c r="Q841" s="3"/>
      <c r="R841" s="3">
        <v>115.3</v>
      </c>
      <c r="S841" s="3"/>
      <c r="T841" s="3"/>
      <c r="U841" s="3"/>
      <c r="V841" s="3"/>
      <c r="W841" s="3"/>
    </row>
    <row r="842" spans="1:23" x14ac:dyDescent="0.25">
      <c r="A842" s="3" t="s">
        <v>2034</v>
      </c>
      <c r="B842" s="3" t="s">
        <v>1658</v>
      </c>
      <c r="C842" s="3"/>
      <c r="D842" s="3" t="s">
        <v>1659</v>
      </c>
      <c r="E842" s="3">
        <v>564.29</v>
      </c>
      <c r="F842" s="3">
        <v>10.71</v>
      </c>
      <c r="G842" s="3">
        <v>35.71</v>
      </c>
      <c r="H842" s="3">
        <v>50</v>
      </c>
      <c r="I842" s="3">
        <v>0</v>
      </c>
      <c r="J842" s="3">
        <v>17.86</v>
      </c>
      <c r="K842" s="3">
        <v>14.29</v>
      </c>
      <c r="L842" s="3">
        <v>3.57</v>
      </c>
      <c r="M842" s="3">
        <v>21.43</v>
      </c>
      <c r="N842" s="3"/>
      <c r="O842" s="3"/>
      <c r="P842" s="3"/>
      <c r="Q842" s="3"/>
      <c r="R842" s="3">
        <v>89.29</v>
      </c>
      <c r="S842" s="3"/>
      <c r="T842" s="3"/>
      <c r="U842" s="3"/>
      <c r="V842" s="3"/>
      <c r="W842" s="3"/>
    </row>
    <row r="843" spans="1:23" x14ac:dyDescent="0.25">
      <c r="A843" s="3" t="s">
        <v>2034</v>
      </c>
      <c r="B843" s="3" t="s">
        <v>1660</v>
      </c>
      <c r="C843" s="3"/>
      <c r="D843" s="3" t="s">
        <v>1661</v>
      </c>
      <c r="E843" s="3">
        <v>588</v>
      </c>
      <c r="F843" s="3">
        <v>16</v>
      </c>
      <c r="G843" s="3">
        <v>44</v>
      </c>
      <c r="H843" s="3">
        <v>32</v>
      </c>
      <c r="I843" s="3"/>
      <c r="J843" s="3">
        <v>12</v>
      </c>
      <c r="K843" s="3">
        <v>8</v>
      </c>
      <c r="L843" s="3">
        <v>24</v>
      </c>
      <c r="M843" s="3">
        <v>0</v>
      </c>
      <c r="N843" s="3"/>
      <c r="O843" s="3"/>
      <c r="P843" s="3"/>
      <c r="Q843" s="3"/>
      <c r="R843" s="3">
        <v>80</v>
      </c>
      <c r="S843" s="3"/>
      <c r="T843" s="3"/>
      <c r="U843" s="3"/>
      <c r="V843" s="3"/>
      <c r="W843" s="3"/>
    </row>
    <row r="844" spans="1:23" x14ac:dyDescent="0.25">
      <c r="A844" s="3" t="s">
        <v>2034</v>
      </c>
      <c r="B844" s="3" t="s">
        <v>1662</v>
      </c>
      <c r="C844" s="3"/>
      <c r="D844" s="3" t="s">
        <v>1663</v>
      </c>
      <c r="E844" s="3">
        <v>426.65</v>
      </c>
      <c r="F844" s="3">
        <v>20</v>
      </c>
      <c r="G844" s="3">
        <v>13.33</v>
      </c>
      <c r="H844" s="3">
        <v>56.67</v>
      </c>
      <c r="I844" s="3">
        <v>3.33</v>
      </c>
      <c r="J844" s="3">
        <v>3.33</v>
      </c>
      <c r="K844" s="3">
        <v>3.33</v>
      </c>
      <c r="L844" s="3">
        <v>6.67</v>
      </c>
      <c r="M844" s="3">
        <v>0</v>
      </c>
      <c r="N844" s="3"/>
      <c r="O844" s="3"/>
      <c r="P844" s="3"/>
      <c r="Q844" s="3"/>
      <c r="R844" s="3">
        <v>316.67</v>
      </c>
      <c r="S844" s="3"/>
      <c r="T844" s="3"/>
      <c r="U844" s="3"/>
      <c r="V844" s="3"/>
      <c r="W844" s="3"/>
    </row>
    <row r="845" spans="1:23" x14ac:dyDescent="0.25">
      <c r="A845" s="3" t="s">
        <v>2034</v>
      </c>
      <c r="B845" s="3" t="s">
        <v>1664</v>
      </c>
      <c r="C845" s="3"/>
      <c r="D845" s="3" t="s">
        <v>1665</v>
      </c>
      <c r="E845" s="3">
        <v>443.35</v>
      </c>
      <c r="F845" s="3">
        <v>20</v>
      </c>
      <c r="G845" s="3">
        <v>16.670000000000002</v>
      </c>
      <c r="H845" s="3">
        <v>53.33</v>
      </c>
      <c r="I845" s="3">
        <v>3.33</v>
      </c>
      <c r="J845" s="3">
        <v>3.33</v>
      </c>
      <c r="K845" s="3">
        <v>6.67</v>
      </c>
      <c r="L845" s="3">
        <v>6.67</v>
      </c>
      <c r="M845" s="3">
        <v>0</v>
      </c>
      <c r="N845" s="3"/>
      <c r="O845" s="3"/>
      <c r="P845" s="3"/>
      <c r="Q845" s="3"/>
      <c r="R845" s="3">
        <v>200</v>
      </c>
      <c r="S845" s="3"/>
      <c r="T845" s="3"/>
      <c r="U845" s="3"/>
      <c r="V845" s="3"/>
      <c r="W845" s="3"/>
    </row>
    <row r="846" spans="1:23" x14ac:dyDescent="0.25">
      <c r="A846" s="3" t="s">
        <v>2034</v>
      </c>
      <c r="B846" s="3" t="s">
        <v>1666</v>
      </c>
      <c r="C846" s="3"/>
      <c r="D846" s="3" t="s">
        <v>1667</v>
      </c>
      <c r="E846" s="3">
        <v>443.35</v>
      </c>
      <c r="F846" s="3">
        <v>20</v>
      </c>
      <c r="G846" s="3">
        <v>16.670000000000002</v>
      </c>
      <c r="H846" s="3">
        <v>53.33</v>
      </c>
      <c r="I846" s="3">
        <v>3.33</v>
      </c>
      <c r="J846" s="3">
        <v>3.33</v>
      </c>
      <c r="K846" s="3">
        <v>6.67</v>
      </c>
      <c r="L846" s="3">
        <v>6.67</v>
      </c>
      <c r="M846" s="3">
        <v>0</v>
      </c>
      <c r="N846" s="3"/>
      <c r="O846" s="3"/>
      <c r="P846" s="3"/>
      <c r="Q846" s="3"/>
      <c r="R846" s="3">
        <v>200</v>
      </c>
      <c r="S846" s="3"/>
      <c r="T846" s="3"/>
      <c r="U846" s="3"/>
      <c r="V846" s="3"/>
      <c r="W846" s="3"/>
    </row>
    <row r="847" spans="1:23" x14ac:dyDescent="0.25">
      <c r="A847" s="3" t="s">
        <v>2034</v>
      </c>
      <c r="B847" s="3" t="s">
        <v>1668</v>
      </c>
      <c r="C847" s="3"/>
      <c r="D847" s="3" t="s">
        <v>1669</v>
      </c>
      <c r="E847" s="3">
        <v>430</v>
      </c>
      <c r="F847" s="3">
        <v>25</v>
      </c>
      <c r="G847" s="3">
        <v>10</v>
      </c>
      <c r="H847" s="3">
        <v>60</v>
      </c>
      <c r="I847" s="3">
        <v>0</v>
      </c>
      <c r="J847" s="3">
        <v>2.5</v>
      </c>
      <c r="K847" s="3">
        <v>2.5</v>
      </c>
      <c r="L847" s="3">
        <v>5</v>
      </c>
      <c r="M847" s="3">
        <v>0</v>
      </c>
      <c r="N847" s="3"/>
      <c r="O847" s="3"/>
      <c r="P847" s="3"/>
      <c r="Q847" s="3"/>
      <c r="R847" s="3">
        <v>400</v>
      </c>
      <c r="S847" s="3"/>
      <c r="T847" s="3"/>
      <c r="U847" s="3"/>
      <c r="V847" s="3"/>
      <c r="W847" s="3"/>
    </row>
    <row r="848" spans="1:23" x14ac:dyDescent="0.25">
      <c r="A848" s="3" t="s">
        <v>2034</v>
      </c>
      <c r="B848" s="3" t="s">
        <v>1670</v>
      </c>
      <c r="C848" s="3"/>
      <c r="D848" s="3" t="s">
        <v>1671</v>
      </c>
      <c r="E848" s="3">
        <v>553.33000000000004</v>
      </c>
      <c r="F848" s="3">
        <v>6.67</v>
      </c>
      <c r="G848" s="3">
        <v>33.33</v>
      </c>
      <c r="H848" s="3">
        <v>56.67</v>
      </c>
      <c r="I848" s="3">
        <v>0</v>
      </c>
      <c r="J848" s="3">
        <v>13.33</v>
      </c>
      <c r="K848" s="3">
        <v>16.670000000000002</v>
      </c>
      <c r="L848" s="3">
        <v>5</v>
      </c>
      <c r="M848" s="3">
        <v>0</v>
      </c>
      <c r="N848" s="3"/>
      <c r="O848" s="3"/>
      <c r="P848" s="3"/>
      <c r="Q848" s="3"/>
      <c r="R848" s="3">
        <v>800</v>
      </c>
      <c r="S848" s="3"/>
      <c r="T848" s="3"/>
      <c r="U848" s="3"/>
      <c r="V848" s="3"/>
      <c r="W848" s="3"/>
    </row>
    <row r="849" spans="1:23" x14ac:dyDescent="0.25">
      <c r="A849" s="3" t="s">
        <v>2034</v>
      </c>
      <c r="B849" s="3" t="s">
        <v>1672</v>
      </c>
      <c r="C849" s="3"/>
      <c r="D849" s="3" t="s">
        <v>1673</v>
      </c>
      <c r="E849" s="3">
        <v>492.86</v>
      </c>
      <c r="F849" s="3">
        <v>21.43</v>
      </c>
      <c r="G849" s="3">
        <v>21.43</v>
      </c>
      <c r="H849" s="3">
        <v>53.57</v>
      </c>
      <c r="I849" s="3">
        <v>0</v>
      </c>
      <c r="J849" s="3">
        <v>0</v>
      </c>
      <c r="K849" s="3">
        <v>14.29</v>
      </c>
      <c r="L849" s="3">
        <v>5.36</v>
      </c>
      <c r="M849" s="3">
        <v>0</v>
      </c>
      <c r="N849" s="3"/>
      <c r="O849" s="3"/>
      <c r="P849" s="3"/>
      <c r="Q849" s="3"/>
      <c r="R849" s="3">
        <v>607.14</v>
      </c>
      <c r="S849" s="3"/>
      <c r="T849" s="3"/>
      <c r="U849" s="3"/>
      <c r="V849" s="3"/>
      <c r="W849" s="3"/>
    </row>
    <row r="850" spans="1:23" x14ac:dyDescent="0.25">
      <c r="A850" s="3" t="s">
        <v>2034</v>
      </c>
      <c r="B850" s="3" t="s">
        <v>1674</v>
      </c>
      <c r="C850" s="3"/>
      <c r="D850" s="3" t="s">
        <v>1675</v>
      </c>
      <c r="E850" s="3">
        <v>523.33000000000004</v>
      </c>
      <c r="F850" s="3">
        <v>26.67</v>
      </c>
      <c r="G850" s="3">
        <v>30</v>
      </c>
      <c r="H850" s="3">
        <v>36.67</v>
      </c>
      <c r="I850" s="3">
        <v>0</v>
      </c>
      <c r="J850" s="3">
        <v>13.33</v>
      </c>
      <c r="K850" s="3">
        <v>13.33</v>
      </c>
      <c r="L850" s="3">
        <v>3.33</v>
      </c>
      <c r="M850" s="3">
        <v>30</v>
      </c>
      <c r="N850" s="3"/>
      <c r="O850" s="3"/>
      <c r="P850" s="3"/>
      <c r="Q850" s="3"/>
      <c r="R850" s="3">
        <v>900</v>
      </c>
      <c r="S850" s="3"/>
      <c r="T850" s="3"/>
      <c r="U850" s="3"/>
      <c r="V850" s="3"/>
      <c r="W850" s="3"/>
    </row>
    <row r="851" spans="1:23" x14ac:dyDescent="0.25">
      <c r="A851" s="3" t="s">
        <v>2034</v>
      </c>
      <c r="B851" s="3" t="s">
        <v>1676</v>
      </c>
      <c r="C851" s="3"/>
      <c r="D851" s="3" t="s">
        <v>1677</v>
      </c>
      <c r="E851" s="3">
        <v>553.33000000000004</v>
      </c>
      <c r="F851" s="3">
        <v>10</v>
      </c>
      <c r="G851" s="3">
        <v>33.33</v>
      </c>
      <c r="H851" s="3">
        <v>53.33</v>
      </c>
      <c r="I851" s="3">
        <v>0</v>
      </c>
      <c r="J851" s="3">
        <v>13.33</v>
      </c>
      <c r="K851" s="3">
        <v>13.33</v>
      </c>
      <c r="L851" s="3">
        <v>6.67</v>
      </c>
      <c r="M851" s="3">
        <v>0</v>
      </c>
      <c r="N851" s="3"/>
      <c r="O851" s="3"/>
      <c r="P851" s="3"/>
      <c r="Q851" s="3"/>
      <c r="R851" s="3">
        <v>233.33</v>
      </c>
      <c r="S851" s="3"/>
      <c r="T851" s="3"/>
      <c r="U851" s="3"/>
      <c r="V851" s="3"/>
      <c r="W851" s="3"/>
    </row>
    <row r="852" spans="1:23" x14ac:dyDescent="0.25">
      <c r="A852" s="3" t="s">
        <v>2034</v>
      </c>
      <c r="B852" s="3" t="s">
        <v>1678</v>
      </c>
      <c r="C852" s="3"/>
      <c r="D852" s="3" t="s">
        <v>1679</v>
      </c>
      <c r="E852" s="3">
        <v>570</v>
      </c>
      <c r="F852" s="3">
        <v>33.33</v>
      </c>
      <c r="G852" s="3">
        <v>36.67</v>
      </c>
      <c r="H852" s="3">
        <v>26.67</v>
      </c>
      <c r="I852" s="3">
        <v>1</v>
      </c>
      <c r="J852" s="3">
        <v>6.67</v>
      </c>
      <c r="K852" s="3"/>
      <c r="L852" s="3"/>
      <c r="M852" s="3">
        <v>0</v>
      </c>
      <c r="N852" s="3"/>
      <c r="O852" s="3"/>
      <c r="P852" s="3"/>
      <c r="Q852" s="3"/>
      <c r="R852" s="3">
        <v>1066.67</v>
      </c>
      <c r="S852" s="3"/>
      <c r="T852" s="3"/>
      <c r="U852" s="3"/>
      <c r="V852" s="3"/>
      <c r="W852" s="3"/>
    </row>
    <row r="853" spans="1:23" x14ac:dyDescent="0.25">
      <c r="A853" s="3" t="s">
        <v>2034</v>
      </c>
      <c r="B853" s="3" t="s">
        <v>1680</v>
      </c>
      <c r="C853" s="3"/>
      <c r="D853" s="3" t="s">
        <v>1681</v>
      </c>
      <c r="E853" s="3">
        <v>526.66999999999996</v>
      </c>
      <c r="F853" s="3">
        <v>6.67</v>
      </c>
      <c r="G853" s="3">
        <v>28.89</v>
      </c>
      <c r="H853" s="3">
        <v>60</v>
      </c>
      <c r="I853" s="3">
        <v>0</v>
      </c>
      <c r="J853" s="3">
        <v>13.33</v>
      </c>
      <c r="K853" s="3">
        <v>11.11</v>
      </c>
      <c r="L853" s="3">
        <v>3.33</v>
      </c>
      <c r="M853" s="3">
        <v>0</v>
      </c>
      <c r="N853" s="3"/>
      <c r="O853" s="3"/>
      <c r="P853" s="3"/>
      <c r="Q853" s="3"/>
      <c r="R853" s="3">
        <v>777.78</v>
      </c>
      <c r="S853" s="3"/>
      <c r="T853" s="3"/>
      <c r="U853" s="3"/>
      <c r="V853" s="3"/>
      <c r="W853" s="3"/>
    </row>
    <row r="854" spans="1:23" x14ac:dyDescent="0.25">
      <c r="A854" s="3" t="s">
        <v>2034</v>
      </c>
      <c r="B854" s="3" t="s">
        <v>1682</v>
      </c>
      <c r="C854" s="3"/>
      <c r="D854" s="3" t="s">
        <v>1683</v>
      </c>
      <c r="E854" s="3">
        <v>455</v>
      </c>
      <c r="F854" s="3">
        <v>10</v>
      </c>
      <c r="G854" s="3">
        <v>15</v>
      </c>
      <c r="H854" s="3">
        <v>70</v>
      </c>
      <c r="I854" s="3">
        <v>5</v>
      </c>
      <c r="J854" s="3">
        <v>3.75</v>
      </c>
      <c r="K854" s="3">
        <v>3.75</v>
      </c>
      <c r="L854" s="3">
        <v>7.5</v>
      </c>
      <c r="M854" s="3">
        <v>0</v>
      </c>
      <c r="N854" s="3"/>
      <c r="O854" s="3"/>
      <c r="P854" s="3"/>
      <c r="Q854" s="3">
        <v>450</v>
      </c>
      <c r="R854" s="3">
        <v>312.5</v>
      </c>
      <c r="S854" s="3"/>
      <c r="T854" s="3"/>
      <c r="U854" s="3"/>
      <c r="V854" s="3"/>
      <c r="W854" s="3"/>
    </row>
    <row r="855" spans="1:23" x14ac:dyDescent="0.25">
      <c r="A855" s="3" t="s">
        <v>2034</v>
      </c>
      <c r="B855" s="3" t="s">
        <v>1684</v>
      </c>
      <c r="C855" s="3"/>
      <c r="D855" s="3" t="s">
        <v>1685</v>
      </c>
      <c r="E855" s="3">
        <v>455</v>
      </c>
      <c r="F855" s="3">
        <v>10</v>
      </c>
      <c r="G855" s="3">
        <v>15</v>
      </c>
      <c r="H855" s="3">
        <v>70</v>
      </c>
      <c r="I855" s="3">
        <v>5</v>
      </c>
      <c r="J855" s="3">
        <v>3.75</v>
      </c>
      <c r="K855" s="3">
        <v>3.75</v>
      </c>
      <c r="L855" s="3">
        <v>7.5</v>
      </c>
      <c r="M855" s="3">
        <v>0</v>
      </c>
      <c r="N855" s="3"/>
      <c r="O855" s="3"/>
      <c r="P855" s="3"/>
      <c r="Q855" s="3">
        <v>350</v>
      </c>
      <c r="R855" s="3">
        <v>450</v>
      </c>
      <c r="S855" s="3"/>
      <c r="T855" s="3"/>
      <c r="U855" s="3"/>
      <c r="V855" s="3"/>
      <c r="W855" s="3"/>
    </row>
    <row r="856" spans="1:23" x14ac:dyDescent="0.25">
      <c r="A856" s="3" t="s">
        <v>2034</v>
      </c>
      <c r="B856" s="3" t="s">
        <v>1686</v>
      </c>
      <c r="C856" s="3"/>
      <c r="D856" s="3" t="s">
        <v>1687</v>
      </c>
      <c r="E856" s="3">
        <v>520</v>
      </c>
      <c r="F856" s="3">
        <v>3.33</v>
      </c>
      <c r="G856" s="3">
        <v>26.67</v>
      </c>
      <c r="H856" s="3">
        <v>66.67</v>
      </c>
      <c r="I856" s="3">
        <v>6.67</v>
      </c>
      <c r="J856" s="3">
        <v>10</v>
      </c>
      <c r="K856" s="3">
        <v>13.33</v>
      </c>
      <c r="L856" s="3">
        <v>3.33</v>
      </c>
      <c r="M856" s="3">
        <v>0</v>
      </c>
      <c r="N856" s="3"/>
      <c r="O856" s="3"/>
      <c r="P856" s="3"/>
      <c r="Q856" s="3"/>
      <c r="R856" s="3">
        <v>233.33</v>
      </c>
      <c r="S856" s="3"/>
      <c r="T856" s="3"/>
      <c r="U856" s="3"/>
      <c r="V856" s="3"/>
      <c r="W856" s="3"/>
    </row>
    <row r="857" spans="1:23" x14ac:dyDescent="0.25">
      <c r="A857" s="3" t="s">
        <v>2034</v>
      </c>
      <c r="B857" s="3" t="s">
        <v>1688</v>
      </c>
      <c r="C857" s="3"/>
      <c r="D857" s="3" t="s">
        <v>1689</v>
      </c>
      <c r="E857" s="3">
        <v>520</v>
      </c>
      <c r="F857" s="3">
        <v>6.67</v>
      </c>
      <c r="G857" s="3">
        <v>26.67</v>
      </c>
      <c r="H857" s="3">
        <v>63.33</v>
      </c>
      <c r="I857" s="3"/>
      <c r="J857" s="3">
        <v>8.33</v>
      </c>
      <c r="K857" s="3">
        <v>13.33</v>
      </c>
      <c r="L857" s="3">
        <v>3.33</v>
      </c>
      <c r="M857" s="3">
        <v>0</v>
      </c>
      <c r="N857" s="3"/>
      <c r="O857" s="3"/>
      <c r="P857" s="3"/>
      <c r="Q857" s="3"/>
      <c r="R857" s="3">
        <v>533.33000000000004</v>
      </c>
      <c r="S857" s="3"/>
      <c r="T857" s="3"/>
      <c r="U857" s="3"/>
      <c r="V857" s="3"/>
      <c r="W857" s="3"/>
    </row>
    <row r="858" spans="1:23" x14ac:dyDescent="0.25">
      <c r="A858" s="3" t="s">
        <v>2034</v>
      </c>
      <c r="B858" s="3" t="s">
        <v>1690</v>
      </c>
      <c r="C858" s="3"/>
      <c r="D858" s="3" t="s">
        <v>1691</v>
      </c>
      <c r="E858" s="3">
        <v>482.22</v>
      </c>
      <c r="F858" s="3">
        <v>6.67</v>
      </c>
      <c r="G858" s="3">
        <v>20</v>
      </c>
      <c r="H858" s="3">
        <v>68.89</v>
      </c>
      <c r="I858" s="3"/>
      <c r="J858" s="3">
        <v>6.67</v>
      </c>
      <c r="K858" s="3">
        <v>8.89</v>
      </c>
      <c r="L858" s="3">
        <v>4.4400000000000004</v>
      </c>
      <c r="M858" s="3">
        <v>0</v>
      </c>
      <c r="N858" s="3"/>
      <c r="O858" s="3"/>
      <c r="P858" s="3"/>
      <c r="Q858" s="3"/>
      <c r="R858" s="3">
        <v>422.22</v>
      </c>
      <c r="S858" s="3"/>
      <c r="T858" s="3"/>
      <c r="U858" s="3"/>
      <c r="V858" s="3"/>
      <c r="W858" s="3"/>
    </row>
    <row r="859" spans="1:23" x14ac:dyDescent="0.25">
      <c r="A859" s="3" t="s">
        <v>2034</v>
      </c>
      <c r="B859" s="3" t="s">
        <v>1692</v>
      </c>
      <c r="C859" s="3"/>
      <c r="D859" s="3" t="s">
        <v>1693</v>
      </c>
      <c r="E859" s="3">
        <v>536.66999999999996</v>
      </c>
      <c r="F859" s="3">
        <v>6.67</v>
      </c>
      <c r="G859" s="3">
        <v>30</v>
      </c>
      <c r="H859" s="3">
        <v>60</v>
      </c>
      <c r="I859" s="3">
        <v>0</v>
      </c>
      <c r="J859" s="3">
        <v>16.670000000000002</v>
      </c>
      <c r="K859" s="3">
        <v>13.33</v>
      </c>
      <c r="L859" s="3">
        <v>3.33</v>
      </c>
      <c r="M859" s="3">
        <v>0</v>
      </c>
      <c r="N859" s="3"/>
      <c r="O859" s="3"/>
      <c r="P859" s="3"/>
      <c r="Q859" s="3"/>
      <c r="R859" s="3">
        <v>866.67</v>
      </c>
      <c r="S859" s="3"/>
      <c r="T859" s="3"/>
      <c r="U859" s="3"/>
      <c r="V859" s="3"/>
      <c r="W859" s="3"/>
    </row>
    <row r="860" spans="1:23" x14ac:dyDescent="0.25">
      <c r="A860" s="3" t="s">
        <v>2034</v>
      </c>
      <c r="B860" s="3" t="s">
        <v>1694</v>
      </c>
      <c r="C860" s="3"/>
      <c r="D860" s="3" t="s">
        <v>1695</v>
      </c>
      <c r="E860" s="3">
        <v>484.38</v>
      </c>
      <c r="F860" s="3">
        <v>6.25</v>
      </c>
      <c r="G860" s="3">
        <v>21.88</v>
      </c>
      <c r="H860" s="3">
        <v>65.63</v>
      </c>
      <c r="I860" s="3"/>
      <c r="J860" s="3">
        <v>9.3800000000000008</v>
      </c>
      <c r="K860" s="3">
        <v>9.3800000000000008</v>
      </c>
      <c r="L860" s="3">
        <v>3.13</v>
      </c>
      <c r="M860" s="3">
        <v>0</v>
      </c>
      <c r="N860" s="3"/>
      <c r="O860" s="3"/>
      <c r="P860" s="3"/>
      <c r="Q860" s="3"/>
      <c r="R860" s="3">
        <v>1031.25</v>
      </c>
      <c r="S860" s="3"/>
      <c r="T860" s="3"/>
      <c r="U860" s="3"/>
      <c r="V860" s="3"/>
      <c r="W860" s="3"/>
    </row>
    <row r="861" spans="1:23" x14ac:dyDescent="0.25">
      <c r="A861" s="3" t="s">
        <v>2034</v>
      </c>
      <c r="B861" s="3" t="s">
        <v>1696</v>
      </c>
      <c r="C861" s="3"/>
      <c r="D861" s="3" t="s">
        <v>1697</v>
      </c>
      <c r="E861" s="3">
        <v>391.67</v>
      </c>
      <c r="F861" s="3">
        <v>0</v>
      </c>
      <c r="G861" s="3">
        <v>5</v>
      </c>
      <c r="H861" s="3">
        <v>86.67</v>
      </c>
      <c r="I861" s="3"/>
      <c r="J861" s="3">
        <v>1.67</v>
      </c>
      <c r="K861" s="3">
        <v>1.67</v>
      </c>
      <c r="L861" s="3">
        <v>0</v>
      </c>
      <c r="M861" s="3">
        <v>0</v>
      </c>
      <c r="N861" s="3"/>
      <c r="O861" s="3"/>
      <c r="P861" s="3"/>
      <c r="Q861" s="3"/>
      <c r="R861" s="3">
        <v>733.33</v>
      </c>
      <c r="S861" s="3"/>
      <c r="T861" s="3"/>
      <c r="U861" s="3"/>
      <c r="V861" s="3"/>
      <c r="W861" s="3"/>
    </row>
    <row r="862" spans="1:23" x14ac:dyDescent="0.25">
      <c r="A862" s="3" t="s">
        <v>2034</v>
      </c>
      <c r="B862" s="3" t="s">
        <v>1698</v>
      </c>
      <c r="C862" s="3"/>
      <c r="D862" s="3" t="s">
        <v>1699</v>
      </c>
      <c r="E862" s="3">
        <v>505</v>
      </c>
      <c r="F862" s="3">
        <v>10</v>
      </c>
      <c r="G862" s="3">
        <v>25</v>
      </c>
      <c r="H862" s="3">
        <v>60</v>
      </c>
      <c r="I862" s="3"/>
      <c r="J862" s="3">
        <v>10</v>
      </c>
      <c r="K862" s="3">
        <v>12.5</v>
      </c>
      <c r="L862" s="3">
        <v>5</v>
      </c>
      <c r="M862" s="3">
        <v>0</v>
      </c>
      <c r="N862" s="3"/>
      <c r="O862" s="3"/>
      <c r="P862" s="3"/>
      <c r="Q862" s="3"/>
      <c r="R862" s="3">
        <v>750</v>
      </c>
      <c r="S862" s="3"/>
      <c r="T862" s="3"/>
      <c r="U862" s="3"/>
      <c r="V862" s="3"/>
      <c r="W862" s="3"/>
    </row>
    <row r="863" spans="1:23" x14ac:dyDescent="0.25">
      <c r="A863" s="3" t="s">
        <v>2034</v>
      </c>
      <c r="B863" s="3" t="s">
        <v>1700</v>
      </c>
      <c r="C863" s="3"/>
      <c r="D863" s="3" t="s">
        <v>1701</v>
      </c>
      <c r="E863" s="3">
        <v>530</v>
      </c>
      <c r="F863" s="3">
        <v>10</v>
      </c>
      <c r="G863" s="3">
        <v>30</v>
      </c>
      <c r="H863" s="3">
        <v>55</v>
      </c>
      <c r="I863" s="3"/>
      <c r="J863" s="3">
        <v>12.5</v>
      </c>
      <c r="K863" s="3">
        <v>12.5</v>
      </c>
      <c r="L863" s="3">
        <v>2.5</v>
      </c>
      <c r="M863" s="3">
        <v>40</v>
      </c>
      <c r="N863" s="3"/>
      <c r="O863" s="3"/>
      <c r="P863" s="3"/>
      <c r="Q863" s="3"/>
      <c r="R863" s="3">
        <v>900</v>
      </c>
      <c r="S863" s="3"/>
      <c r="T863" s="3"/>
      <c r="U863" s="3"/>
      <c r="V863" s="3"/>
      <c r="W863" s="3"/>
    </row>
    <row r="864" spans="1:23" x14ac:dyDescent="0.25">
      <c r="A864" s="3" t="s">
        <v>2034</v>
      </c>
      <c r="B864" s="3" t="s">
        <v>1702</v>
      </c>
      <c r="C864" s="3"/>
      <c r="D864" s="3" t="s">
        <v>1703</v>
      </c>
      <c r="E864" s="3">
        <v>466.67</v>
      </c>
      <c r="F864" s="3">
        <v>7.41</v>
      </c>
      <c r="G864" s="3">
        <v>22.22</v>
      </c>
      <c r="H864" s="3">
        <v>59.26</v>
      </c>
      <c r="I864" s="3">
        <v>11.11</v>
      </c>
      <c r="J864" s="3">
        <v>1.85</v>
      </c>
      <c r="K864" s="3">
        <v>14.81</v>
      </c>
      <c r="L864" s="3">
        <v>9.26</v>
      </c>
      <c r="M864" s="3">
        <v>0</v>
      </c>
      <c r="N864" s="3"/>
      <c r="O864" s="3"/>
      <c r="P864" s="3"/>
      <c r="Q864" s="3"/>
      <c r="R864" s="3">
        <v>666.67</v>
      </c>
      <c r="S864" s="3"/>
      <c r="T864" s="3"/>
      <c r="U864" s="3"/>
      <c r="V864" s="3"/>
      <c r="W864" s="3"/>
    </row>
    <row r="865" spans="1:23" x14ac:dyDescent="0.25">
      <c r="A865" s="3" t="s">
        <v>2034</v>
      </c>
      <c r="B865" s="3" t="s">
        <v>1704</v>
      </c>
      <c r="C865" s="3"/>
      <c r="D865" s="3" t="s">
        <v>1705</v>
      </c>
      <c r="E865" s="3">
        <v>537.5</v>
      </c>
      <c r="F865" s="3">
        <v>9.3800000000000008</v>
      </c>
      <c r="G865" s="3">
        <v>25</v>
      </c>
      <c r="H865" s="3">
        <v>68.75</v>
      </c>
      <c r="I865" s="3">
        <v>9.3800000000000008</v>
      </c>
      <c r="J865" s="3">
        <v>3.13</v>
      </c>
      <c r="K865" s="3">
        <v>15.63</v>
      </c>
      <c r="L865" s="3">
        <v>4.6900000000000004</v>
      </c>
      <c r="M865" s="3">
        <v>0</v>
      </c>
      <c r="N865" s="3"/>
      <c r="O865" s="3"/>
      <c r="P865" s="3"/>
      <c r="Q865" s="3"/>
      <c r="R865" s="3">
        <v>968.75</v>
      </c>
      <c r="S865" s="3"/>
      <c r="T865" s="3"/>
      <c r="U865" s="3"/>
      <c r="V865" s="3"/>
      <c r="W865" s="3"/>
    </row>
    <row r="866" spans="1:23" x14ac:dyDescent="0.25">
      <c r="A866" s="3" t="s">
        <v>2034</v>
      </c>
      <c r="B866" s="3" t="s">
        <v>1706</v>
      </c>
      <c r="C866" s="3"/>
      <c r="D866" s="3" t="s">
        <v>1707</v>
      </c>
      <c r="E866" s="3">
        <v>481.48</v>
      </c>
      <c r="F866" s="3">
        <v>7.41</v>
      </c>
      <c r="G866" s="3">
        <v>22.22</v>
      </c>
      <c r="H866" s="3">
        <v>62.96</v>
      </c>
      <c r="I866" s="3">
        <v>14.81</v>
      </c>
      <c r="J866" s="3">
        <v>1.85</v>
      </c>
      <c r="K866" s="3">
        <v>11.11</v>
      </c>
      <c r="L866" s="3">
        <v>9.26</v>
      </c>
      <c r="M866" s="3">
        <v>0</v>
      </c>
      <c r="N866" s="3"/>
      <c r="O866" s="3"/>
      <c r="P866" s="3"/>
      <c r="Q866" s="3"/>
      <c r="R866" s="3">
        <v>703.7</v>
      </c>
      <c r="S866" s="3"/>
      <c r="T866" s="3"/>
      <c r="U866" s="3"/>
      <c r="V866" s="3"/>
      <c r="W866" s="3"/>
    </row>
    <row r="867" spans="1:23" x14ac:dyDescent="0.25">
      <c r="A867" s="3" t="s">
        <v>2034</v>
      </c>
      <c r="B867" s="3" t="s">
        <v>1708</v>
      </c>
      <c r="C867" s="3"/>
      <c r="D867" s="3" t="s">
        <v>1709</v>
      </c>
      <c r="E867" s="3">
        <v>540</v>
      </c>
      <c r="F867" s="3">
        <v>8</v>
      </c>
      <c r="G867" s="3">
        <v>28</v>
      </c>
      <c r="H867" s="3">
        <v>64</v>
      </c>
      <c r="I867" s="3">
        <v>4</v>
      </c>
      <c r="J867" s="3">
        <v>4</v>
      </c>
      <c r="K867" s="3">
        <v>20</v>
      </c>
      <c r="L867" s="3">
        <v>4</v>
      </c>
      <c r="M867" s="3">
        <v>0</v>
      </c>
      <c r="N867" s="3"/>
      <c r="O867" s="3"/>
      <c r="P867" s="3"/>
      <c r="Q867" s="3"/>
      <c r="R867" s="3">
        <v>300</v>
      </c>
      <c r="S867" s="3"/>
      <c r="T867" s="3"/>
      <c r="U867" s="3"/>
      <c r="V867" s="3"/>
      <c r="W867" s="3"/>
    </row>
    <row r="868" spans="1:23" x14ac:dyDescent="0.25">
      <c r="A868" s="3" t="s">
        <v>2034</v>
      </c>
      <c r="B868" s="3" t="s">
        <v>1710</v>
      </c>
      <c r="C868" s="3"/>
      <c r="D868" s="3" t="s">
        <v>1711</v>
      </c>
      <c r="E868" s="3">
        <v>512</v>
      </c>
      <c r="F868" s="3">
        <v>4</v>
      </c>
      <c r="G868" s="3">
        <v>32</v>
      </c>
      <c r="H868" s="3">
        <v>52</v>
      </c>
      <c r="I868" s="3">
        <v>0</v>
      </c>
      <c r="J868" s="3">
        <v>8</v>
      </c>
      <c r="K868" s="3"/>
      <c r="L868" s="3"/>
      <c r="M868" s="3">
        <v>0</v>
      </c>
      <c r="N868" s="3"/>
      <c r="O868" s="3"/>
      <c r="P868" s="3"/>
      <c r="Q868" s="3"/>
      <c r="R868" s="3">
        <v>832</v>
      </c>
      <c r="S868" s="3"/>
      <c r="T868" s="3"/>
      <c r="U868" s="3"/>
      <c r="V868" s="3"/>
      <c r="W868" s="3"/>
    </row>
    <row r="869" spans="1:23" x14ac:dyDescent="0.25">
      <c r="A869" s="3" t="s">
        <v>2034</v>
      </c>
      <c r="B869" s="3" t="s">
        <v>1712</v>
      </c>
      <c r="C869" s="3"/>
      <c r="D869" s="3" t="s">
        <v>1713</v>
      </c>
      <c r="E869" s="3">
        <v>550</v>
      </c>
      <c r="F869" s="3">
        <v>6.67</v>
      </c>
      <c r="G869" s="3">
        <v>30</v>
      </c>
      <c r="H869" s="3">
        <v>63.33</v>
      </c>
      <c r="I869" s="3"/>
      <c r="J869" s="3">
        <v>8.33</v>
      </c>
      <c r="K869" s="3">
        <v>8.33</v>
      </c>
      <c r="L869" s="3">
        <v>13.33</v>
      </c>
      <c r="M869" s="3">
        <v>0</v>
      </c>
      <c r="N869" s="3"/>
      <c r="O869" s="3"/>
      <c r="P869" s="3"/>
      <c r="Q869" s="3"/>
      <c r="R869" s="3">
        <v>766.67</v>
      </c>
      <c r="S869" s="3"/>
      <c r="T869" s="3"/>
      <c r="U869" s="3"/>
      <c r="V869" s="3"/>
      <c r="W869" s="3"/>
    </row>
    <row r="870" spans="1:23" x14ac:dyDescent="0.25">
      <c r="A870" s="3" t="s">
        <v>2034</v>
      </c>
      <c r="B870" s="3" t="s">
        <v>1714</v>
      </c>
      <c r="C870" s="3"/>
      <c r="D870" s="3" t="s">
        <v>1715</v>
      </c>
      <c r="E870" s="3">
        <v>536.66999999999996</v>
      </c>
      <c r="F870" s="3">
        <v>6.67</v>
      </c>
      <c r="G870" s="3">
        <v>30</v>
      </c>
      <c r="H870" s="3">
        <v>60</v>
      </c>
      <c r="I870" s="3"/>
      <c r="J870" s="3">
        <v>16.670000000000002</v>
      </c>
      <c r="K870" s="3">
        <v>10</v>
      </c>
      <c r="L870" s="3">
        <v>3.33</v>
      </c>
      <c r="M870" s="3">
        <v>0</v>
      </c>
      <c r="N870" s="3"/>
      <c r="O870" s="3"/>
      <c r="P870" s="3"/>
      <c r="Q870" s="3"/>
      <c r="R870" s="3">
        <v>566.66999999999996</v>
      </c>
      <c r="S870" s="3"/>
      <c r="T870" s="3"/>
      <c r="U870" s="3"/>
      <c r="V870" s="3"/>
      <c r="W870" s="3"/>
    </row>
    <row r="871" spans="1:23" x14ac:dyDescent="0.25">
      <c r="A871" s="3" t="s">
        <v>2034</v>
      </c>
      <c r="B871" s="3" t="s">
        <v>1716</v>
      </c>
      <c r="C871" s="3"/>
      <c r="D871" s="3" t="s">
        <v>1717</v>
      </c>
      <c r="E871" s="3">
        <v>523.33000000000004</v>
      </c>
      <c r="F871" s="3">
        <v>6.67</v>
      </c>
      <c r="G871" s="3">
        <v>30</v>
      </c>
      <c r="H871" s="3">
        <v>56.67</v>
      </c>
      <c r="I871" s="3">
        <v>0</v>
      </c>
      <c r="J871" s="3">
        <v>13.33</v>
      </c>
      <c r="K871" s="3">
        <v>13.33</v>
      </c>
      <c r="L871" s="3">
        <v>3.33</v>
      </c>
      <c r="M871" s="3">
        <v>0</v>
      </c>
      <c r="N871" s="3"/>
      <c r="O871" s="3"/>
      <c r="P871" s="3"/>
      <c r="Q871" s="3"/>
      <c r="R871" s="3">
        <v>600</v>
      </c>
      <c r="S871" s="3"/>
      <c r="T871" s="3"/>
      <c r="U871" s="3"/>
      <c r="V871" s="3"/>
      <c r="W871" s="3"/>
    </row>
    <row r="872" spans="1:23" x14ac:dyDescent="0.25">
      <c r="A872" s="3" t="s">
        <v>2034</v>
      </c>
      <c r="B872" s="3" t="s">
        <v>1718</v>
      </c>
      <c r="C872" s="3"/>
      <c r="D872" s="3" t="s">
        <v>1719</v>
      </c>
      <c r="E872" s="3">
        <v>553.33000000000004</v>
      </c>
      <c r="F872" s="3">
        <v>10</v>
      </c>
      <c r="G872" s="3">
        <v>33.33</v>
      </c>
      <c r="H872" s="3">
        <v>53.33</v>
      </c>
      <c r="I872" s="3"/>
      <c r="J872" s="3">
        <v>13.33</v>
      </c>
      <c r="K872" s="3">
        <v>13.33</v>
      </c>
      <c r="L872" s="3">
        <v>3.33</v>
      </c>
      <c r="M872" s="3">
        <v>0</v>
      </c>
      <c r="N872" s="3"/>
      <c r="O872" s="3"/>
      <c r="P872" s="3"/>
      <c r="Q872" s="3"/>
      <c r="R872" s="3">
        <v>400</v>
      </c>
      <c r="S872" s="3"/>
      <c r="T872" s="3"/>
      <c r="U872" s="3"/>
      <c r="V872" s="3"/>
      <c r="W872" s="3"/>
    </row>
    <row r="873" spans="1:23" x14ac:dyDescent="0.25">
      <c r="A873" s="3" t="s">
        <v>2034</v>
      </c>
      <c r="B873" s="3" t="s">
        <v>1720</v>
      </c>
      <c r="C873" s="3"/>
      <c r="D873" s="3" t="s">
        <v>1721</v>
      </c>
      <c r="E873" s="3">
        <v>531.82000000000005</v>
      </c>
      <c r="F873" s="3">
        <v>6.82</v>
      </c>
      <c r="G873" s="3">
        <v>31.82</v>
      </c>
      <c r="H873" s="3">
        <v>54.55</v>
      </c>
      <c r="I873" s="3">
        <v>2.27</v>
      </c>
      <c r="J873" s="3">
        <v>15.91</v>
      </c>
      <c r="K873" s="3">
        <v>13.64</v>
      </c>
      <c r="L873" s="3">
        <v>3.41</v>
      </c>
      <c r="M873" s="3">
        <v>0</v>
      </c>
      <c r="N873" s="3"/>
      <c r="O873" s="3"/>
      <c r="P873" s="3"/>
      <c r="Q873" s="3"/>
      <c r="R873" s="3">
        <v>704.55</v>
      </c>
      <c r="S873" s="3"/>
      <c r="T873" s="3"/>
      <c r="U873" s="3"/>
      <c r="V873" s="3"/>
      <c r="W873" s="3"/>
    </row>
    <row r="874" spans="1:23" x14ac:dyDescent="0.25">
      <c r="A874" s="3" t="s">
        <v>2034</v>
      </c>
      <c r="B874" s="3" t="s">
        <v>1722</v>
      </c>
      <c r="C874" s="3"/>
      <c r="D874" s="3" t="s">
        <v>1723</v>
      </c>
      <c r="E874" s="3">
        <v>540</v>
      </c>
      <c r="F874" s="3">
        <v>5</v>
      </c>
      <c r="G874" s="3">
        <v>30</v>
      </c>
      <c r="H874" s="3">
        <v>62.5</v>
      </c>
      <c r="I874" s="3">
        <v>5</v>
      </c>
      <c r="J874" s="3">
        <v>7.5</v>
      </c>
      <c r="K874" s="3">
        <v>5</v>
      </c>
      <c r="L874" s="3">
        <v>17.5</v>
      </c>
      <c r="M874" s="3">
        <v>0</v>
      </c>
      <c r="N874" s="3"/>
      <c r="O874" s="3"/>
      <c r="P874" s="3"/>
      <c r="Q874" s="3"/>
      <c r="R874" s="3">
        <v>400</v>
      </c>
      <c r="S874" s="3"/>
      <c r="T874" s="3"/>
      <c r="U874" s="3"/>
      <c r="V874" s="3"/>
      <c r="W874" s="3"/>
    </row>
    <row r="875" spans="1:23" x14ac:dyDescent="0.25">
      <c r="A875" s="3" t="s">
        <v>2034</v>
      </c>
      <c r="B875" s="3" t="s">
        <v>1724</v>
      </c>
      <c r="C875" s="3"/>
      <c r="D875" s="3" t="s">
        <v>1725</v>
      </c>
      <c r="E875" s="3">
        <v>220.79</v>
      </c>
      <c r="F875" s="3">
        <v>3.4</v>
      </c>
      <c r="G875" s="3">
        <v>10.19</v>
      </c>
      <c r="H875" s="3">
        <v>28.87</v>
      </c>
      <c r="I875" s="3">
        <v>0</v>
      </c>
      <c r="J875" s="3">
        <v>5.0999999999999996</v>
      </c>
      <c r="K875" s="3">
        <v>2.5499999999999998</v>
      </c>
      <c r="L875" s="3">
        <v>0.85</v>
      </c>
      <c r="M875" s="3">
        <v>0</v>
      </c>
      <c r="N875" s="3"/>
      <c r="O875" s="3"/>
      <c r="P875" s="3"/>
      <c r="Q875" s="3"/>
      <c r="R875" s="3">
        <v>76.430000000000007</v>
      </c>
      <c r="S875" s="3"/>
      <c r="T875" s="3"/>
      <c r="U875" s="3"/>
      <c r="V875" s="3"/>
      <c r="W875" s="3"/>
    </row>
    <row r="876" spans="1:23" x14ac:dyDescent="0.25">
      <c r="A876" s="3" t="s">
        <v>2034</v>
      </c>
      <c r="B876" s="3" t="s">
        <v>1726</v>
      </c>
      <c r="C876" s="3"/>
      <c r="D876" s="3" t="s">
        <v>1727</v>
      </c>
      <c r="E876" s="3">
        <v>510.71</v>
      </c>
      <c r="F876" s="3">
        <v>3.57</v>
      </c>
      <c r="G876" s="3">
        <v>25</v>
      </c>
      <c r="H876" s="3">
        <v>67.86</v>
      </c>
      <c r="I876" s="3">
        <v>10.71</v>
      </c>
      <c r="J876" s="3">
        <v>14.29</v>
      </c>
      <c r="K876" s="3">
        <v>10.71</v>
      </c>
      <c r="L876" s="3">
        <v>1.79</v>
      </c>
      <c r="M876" s="3">
        <v>0</v>
      </c>
      <c r="N876" s="3">
        <v>32.14</v>
      </c>
      <c r="O876" s="3"/>
      <c r="P876" s="3">
        <v>3.57</v>
      </c>
      <c r="Q876" s="3">
        <v>535.71</v>
      </c>
      <c r="R876" s="3">
        <v>357.14</v>
      </c>
      <c r="S876" s="3"/>
      <c r="T876" s="3"/>
      <c r="U876" s="3"/>
      <c r="V876" s="3"/>
      <c r="W876" s="3"/>
    </row>
    <row r="877" spans="1:23" x14ac:dyDescent="0.25">
      <c r="A877" s="3" t="s">
        <v>2034</v>
      </c>
      <c r="B877" s="3" t="s">
        <v>1728</v>
      </c>
      <c r="C877" s="3"/>
      <c r="D877" s="3" t="s">
        <v>1729</v>
      </c>
      <c r="E877" s="3">
        <v>478.57</v>
      </c>
      <c r="F877" s="3">
        <v>3.57</v>
      </c>
      <c r="G877" s="3">
        <v>21.43</v>
      </c>
      <c r="H877" s="3">
        <v>67.86</v>
      </c>
      <c r="I877" s="3">
        <v>10.71</v>
      </c>
      <c r="J877" s="3">
        <v>8.93</v>
      </c>
      <c r="K877" s="3">
        <v>14.29</v>
      </c>
      <c r="L877" s="3">
        <v>3.57</v>
      </c>
      <c r="M877" s="3">
        <v>0</v>
      </c>
      <c r="N877" s="3">
        <v>32.14</v>
      </c>
      <c r="O877" s="3"/>
      <c r="P877" s="3">
        <v>0.71</v>
      </c>
      <c r="Q877" s="3">
        <v>857.14</v>
      </c>
      <c r="R877" s="3">
        <v>303.57</v>
      </c>
      <c r="S877" s="3"/>
      <c r="T877" s="3"/>
      <c r="U877" s="3"/>
      <c r="V877" s="3"/>
      <c r="W877" s="3"/>
    </row>
    <row r="878" spans="1:23" x14ac:dyDescent="0.25">
      <c r="A878" s="3" t="s">
        <v>2034</v>
      </c>
      <c r="B878" s="3" t="s">
        <v>1730</v>
      </c>
      <c r="C878" s="3"/>
      <c r="D878" s="3" t="s">
        <v>1731</v>
      </c>
      <c r="E878" s="3">
        <v>525</v>
      </c>
      <c r="F878" s="3">
        <v>3.57</v>
      </c>
      <c r="G878" s="3">
        <v>25</v>
      </c>
      <c r="H878" s="3">
        <v>71.430000000000007</v>
      </c>
      <c r="I878" s="3">
        <v>10.71</v>
      </c>
      <c r="J878" s="3">
        <v>14.29</v>
      </c>
      <c r="K878" s="3">
        <v>10.71</v>
      </c>
      <c r="L878" s="3">
        <v>0</v>
      </c>
      <c r="M878" s="3">
        <v>0</v>
      </c>
      <c r="N878" s="3">
        <v>14.29</v>
      </c>
      <c r="O878" s="3"/>
      <c r="P878" s="3">
        <v>0</v>
      </c>
      <c r="Q878" s="3">
        <v>503.57</v>
      </c>
      <c r="R878" s="3">
        <v>142.86000000000001</v>
      </c>
      <c r="S878" s="3"/>
      <c r="T878" s="3"/>
      <c r="U878" s="3"/>
      <c r="V878" s="3"/>
      <c r="W878" s="3"/>
    </row>
    <row r="879" spans="1:23" x14ac:dyDescent="0.25">
      <c r="A879" s="3" t="s">
        <v>2034</v>
      </c>
      <c r="B879" s="3" t="s">
        <v>1732</v>
      </c>
      <c r="C879" s="3"/>
      <c r="D879" s="3" t="s">
        <v>1733</v>
      </c>
      <c r="E879" s="3">
        <v>444</v>
      </c>
      <c r="F879" s="3">
        <v>16</v>
      </c>
      <c r="G879" s="3">
        <v>12</v>
      </c>
      <c r="H879" s="3">
        <v>68</v>
      </c>
      <c r="I879" s="3"/>
      <c r="J879" s="3">
        <v>8</v>
      </c>
      <c r="K879" s="3"/>
      <c r="L879" s="3"/>
      <c r="M879" s="3">
        <v>0</v>
      </c>
      <c r="N879" s="3"/>
      <c r="O879" s="3"/>
      <c r="P879" s="3"/>
      <c r="Q879" s="3"/>
      <c r="R879" s="3">
        <v>1600</v>
      </c>
      <c r="S879" s="3"/>
      <c r="T879" s="3"/>
      <c r="U879" s="3"/>
      <c r="V879" s="3"/>
      <c r="W879" s="3"/>
    </row>
    <row r="880" spans="1:23" x14ac:dyDescent="0.25">
      <c r="A880" s="3" t="s">
        <v>2034</v>
      </c>
      <c r="B880" s="3" t="s">
        <v>1734</v>
      </c>
      <c r="C880" s="3"/>
      <c r="D880" s="3" t="s">
        <v>1735</v>
      </c>
      <c r="E880" s="3">
        <v>493.33</v>
      </c>
      <c r="F880" s="3">
        <v>6.67</v>
      </c>
      <c r="G880" s="3">
        <v>26.67</v>
      </c>
      <c r="H880" s="3">
        <v>56.67</v>
      </c>
      <c r="I880" s="3"/>
      <c r="J880" s="3">
        <v>3.33</v>
      </c>
      <c r="K880" s="3">
        <v>20</v>
      </c>
      <c r="L880" s="3">
        <v>3.33</v>
      </c>
      <c r="M880" s="3">
        <v>0</v>
      </c>
      <c r="N880" s="3"/>
      <c r="O880" s="3"/>
      <c r="P880" s="3"/>
      <c r="Q880" s="3"/>
      <c r="R880" s="3">
        <v>733.33</v>
      </c>
      <c r="S880" s="3"/>
      <c r="T880" s="3"/>
      <c r="U880" s="3"/>
      <c r="V880" s="3"/>
      <c r="W880" s="3"/>
    </row>
    <row r="881" spans="1:23" x14ac:dyDescent="0.25">
      <c r="A881" s="3" t="s">
        <v>2034</v>
      </c>
      <c r="B881" s="3" t="s">
        <v>1736</v>
      </c>
      <c r="C881" s="3"/>
      <c r="D881" s="3" t="s">
        <v>1736</v>
      </c>
      <c r="E881" s="3">
        <v>523.33000000000004</v>
      </c>
      <c r="F881" s="3">
        <v>6.67</v>
      </c>
      <c r="G881" s="3">
        <v>30</v>
      </c>
      <c r="H881" s="3">
        <v>56.67</v>
      </c>
      <c r="I881" s="3"/>
      <c r="J881" s="3">
        <v>3.33</v>
      </c>
      <c r="K881" s="3">
        <v>20</v>
      </c>
      <c r="L881" s="3">
        <v>3.33</v>
      </c>
      <c r="M881" s="3">
        <v>0</v>
      </c>
      <c r="N881" s="3"/>
      <c r="O881" s="3"/>
      <c r="P881" s="3"/>
      <c r="Q881" s="3"/>
      <c r="R881" s="3">
        <v>833.33</v>
      </c>
      <c r="S881" s="3"/>
      <c r="T881" s="3"/>
      <c r="U881" s="3"/>
      <c r="V881" s="3"/>
      <c r="W881" s="3"/>
    </row>
    <row r="882" spans="1:23" x14ac:dyDescent="0.25">
      <c r="A882" s="3" t="s">
        <v>2034</v>
      </c>
      <c r="B882" s="3" t="s">
        <v>1737</v>
      </c>
      <c r="C882" s="3"/>
      <c r="D882" s="3" t="s">
        <v>1738</v>
      </c>
      <c r="E882" s="3">
        <v>460</v>
      </c>
      <c r="F882" s="3">
        <v>30</v>
      </c>
      <c r="G882" s="3">
        <v>20</v>
      </c>
      <c r="H882" s="3">
        <v>40</v>
      </c>
      <c r="I882" s="3">
        <v>16.670000000000002</v>
      </c>
      <c r="J882" s="3">
        <v>3.33</v>
      </c>
      <c r="K882" s="3">
        <v>10</v>
      </c>
      <c r="L882" s="3">
        <v>6.67</v>
      </c>
      <c r="M882" s="3">
        <v>0</v>
      </c>
      <c r="N882" s="3"/>
      <c r="O882" s="3"/>
      <c r="P882" s="3"/>
      <c r="Q882" s="3"/>
      <c r="R882" s="3">
        <v>533.33000000000004</v>
      </c>
      <c r="S882" s="3"/>
      <c r="T882" s="3"/>
      <c r="U882" s="3"/>
      <c r="V882" s="3"/>
      <c r="W882" s="3"/>
    </row>
    <row r="883" spans="1:23" x14ac:dyDescent="0.25">
      <c r="A883" s="3" t="s">
        <v>2034</v>
      </c>
      <c r="B883" s="3" t="s">
        <v>1739</v>
      </c>
      <c r="C883" s="3"/>
      <c r="D883" s="3" t="s">
        <v>1740</v>
      </c>
      <c r="E883" s="3">
        <v>448.57</v>
      </c>
      <c r="F883" s="3">
        <v>5.71</v>
      </c>
      <c r="G883" s="3">
        <v>14.29</v>
      </c>
      <c r="H883" s="3">
        <v>74.290000000000006</v>
      </c>
      <c r="I883" s="3">
        <v>0</v>
      </c>
      <c r="J883" s="3">
        <v>2.86</v>
      </c>
      <c r="K883" s="3">
        <v>8.57</v>
      </c>
      <c r="L883" s="3">
        <v>2.86</v>
      </c>
      <c r="M883" s="3">
        <v>0</v>
      </c>
      <c r="N883" s="3"/>
      <c r="O883" s="3"/>
      <c r="P883" s="3"/>
      <c r="Q883" s="3"/>
      <c r="R883" s="3">
        <v>342.86</v>
      </c>
      <c r="S883" s="3"/>
      <c r="T883" s="3"/>
      <c r="U883" s="3"/>
      <c r="V883" s="3"/>
      <c r="W883" s="3"/>
    </row>
    <row r="884" spans="1:23" x14ac:dyDescent="0.25">
      <c r="A884" s="3" t="s">
        <v>2034</v>
      </c>
      <c r="B884" s="3" t="s">
        <v>1741</v>
      </c>
      <c r="C884" s="3"/>
      <c r="D884" s="3" t="s">
        <v>1742</v>
      </c>
      <c r="E884" s="3">
        <v>531.42999999999995</v>
      </c>
      <c r="F884" s="3">
        <v>5.71</v>
      </c>
      <c r="G884" s="3">
        <v>28.57</v>
      </c>
      <c r="H884" s="3">
        <v>62.86</v>
      </c>
      <c r="I884" s="3">
        <v>0</v>
      </c>
      <c r="J884" s="3">
        <v>7.14</v>
      </c>
      <c r="K884" s="3">
        <v>14.29</v>
      </c>
      <c r="L884" s="3">
        <v>5.71</v>
      </c>
      <c r="M884" s="3">
        <v>0</v>
      </c>
      <c r="N884" s="3"/>
      <c r="O884" s="3"/>
      <c r="P884" s="3"/>
      <c r="Q884" s="3"/>
      <c r="R884" s="3">
        <v>342.86</v>
      </c>
      <c r="S884" s="3"/>
      <c r="T884" s="3"/>
      <c r="U884" s="3"/>
      <c r="V884" s="3"/>
      <c r="W884" s="3"/>
    </row>
    <row r="885" spans="1:23" x14ac:dyDescent="0.25">
      <c r="A885" s="3" t="s">
        <v>1743</v>
      </c>
      <c r="B885" s="3" t="s">
        <v>1744</v>
      </c>
      <c r="C885" s="3"/>
      <c r="D885" s="3" t="s">
        <v>1745</v>
      </c>
      <c r="E885" s="3">
        <v>356</v>
      </c>
      <c r="F885" s="3">
        <v>0</v>
      </c>
      <c r="G885" s="3">
        <v>0</v>
      </c>
      <c r="H885" s="3">
        <v>89</v>
      </c>
      <c r="I885" s="3">
        <v>0</v>
      </c>
      <c r="J885" s="3">
        <v>0</v>
      </c>
      <c r="K885" s="3"/>
      <c r="L885" s="3"/>
      <c r="M885" s="3">
        <v>0</v>
      </c>
      <c r="N885" s="3"/>
      <c r="O885" s="3"/>
      <c r="P885" s="3"/>
      <c r="Q885" s="3"/>
      <c r="R885" s="3">
        <v>0</v>
      </c>
      <c r="S885" s="3"/>
      <c r="T885" s="3"/>
      <c r="U885" s="3"/>
      <c r="V885" s="3"/>
      <c r="W885" s="3"/>
    </row>
    <row r="886" spans="1:23" x14ac:dyDescent="0.25">
      <c r="A886" s="3" t="s">
        <v>1743</v>
      </c>
      <c r="B886" s="3" t="s">
        <v>1746</v>
      </c>
      <c r="C886" s="3"/>
      <c r="D886" s="3" t="s">
        <v>1747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/>
      <c r="L886" s="3"/>
      <c r="M886" s="3">
        <v>0</v>
      </c>
      <c r="N886" s="3"/>
      <c r="O886" s="3"/>
      <c r="P886" s="3"/>
      <c r="Q886" s="3"/>
      <c r="R886" s="3">
        <v>0</v>
      </c>
      <c r="S886" s="3"/>
      <c r="T886" s="3"/>
      <c r="U886" s="3"/>
      <c r="V886" s="3"/>
      <c r="W886" s="3"/>
    </row>
    <row r="887" spans="1:23" x14ac:dyDescent="0.25">
      <c r="A887" s="3" t="s">
        <v>1743</v>
      </c>
      <c r="B887" s="3" t="s">
        <v>1748</v>
      </c>
      <c r="C887" s="3"/>
      <c r="D887" s="3" t="s">
        <v>1749</v>
      </c>
      <c r="E887" s="3">
        <v>0</v>
      </c>
      <c r="F887" s="3">
        <v>0</v>
      </c>
      <c r="G887" s="3">
        <v>0</v>
      </c>
      <c r="H887" s="3">
        <v>0</v>
      </c>
      <c r="I887" s="3"/>
      <c r="J887" s="3">
        <v>0</v>
      </c>
      <c r="K887" s="3"/>
      <c r="L887" s="3"/>
      <c r="M887" s="3">
        <v>0</v>
      </c>
      <c r="N887" s="3"/>
      <c r="O887" s="3"/>
      <c r="P887" s="3"/>
      <c r="Q887" s="3"/>
      <c r="R887" s="3">
        <v>2353</v>
      </c>
      <c r="S887" s="3"/>
      <c r="T887" s="3"/>
      <c r="U887" s="3"/>
      <c r="V887" s="3"/>
      <c r="W887" s="3"/>
    </row>
    <row r="888" spans="1:23" x14ac:dyDescent="0.25">
      <c r="A888" s="3" t="s">
        <v>1743</v>
      </c>
      <c r="B888" s="3" t="s">
        <v>1750</v>
      </c>
      <c r="C888" s="3"/>
      <c r="D888" s="3" t="s">
        <v>1751</v>
      </c>
      <c r="E888" s="3">
        <v>333</v>
      </c>
      <c r="F888" s="3">
        <v>0</v>
      </c>
      <c r="G888" s="3">
        <v>0</v>
      </c>
      <c r="H888" s="3">
        <v>83</v>
      </c>
      <c r="I888" s="3"/>
      <c r="J888" s="3">
        <v>0</v>
      </c>
      <c r="K888" s="3"/>
      <c r="L888" s="3"/>
      <c r="M888" s="3">
        <v>0</v>
      </c>
      <c r="N888" s="3"/>
      <c r="O888" s="3"/>
      <c r="P888" s="3"/>
      <c r="Q888" s="3"/>
      <c r="R888" s="3">
        <v>2083</v>
      </c>
      <c r="S888" s="3"/>
      <c r="T888" s="3"/>
      <c r="U888" s="3"/>
      <c r="V888" s="3"/>
      <c r="W888" s="3"/>
    </row>
    <row r="889" spans="1:23" x14ac:dyDescent="0.25">
      <c r="A889" s="3" t="s">
        <v>1743</v>
      </c>
      <c r="B889" s="3" t="s">
        <v>1752</v>
      </c>
      <c r="C889" s="3"/>
      <c r="D889" s="3" t="s">
        <v>1753</v>
      </c>
      <c r="E889" s="3">
        <v>222</v>
      </c>
      <c r="F889" s="3">
        <v>0</v>
      </c>
      <c r="G889" s="3">
        <v>0</v>
      </c>
      <c r="H889" s="3">
        <v>56</v>
      </c>
      <c r="I889" s="3"/>
      <c r="J889" s="3">
        <v>0</v>
      </c>
      <c r="K889" s="3"/>
      <c r="L889" s="3"/>
      <c r="M889" s="3">
        <v>0</v>
      </c>
      <c r="N889" s="3"/>
      <c r="O889" s="3"/>
      <c r="P889" s="3"/>
      <c r="Q889" s="3"/>
      <c r="R889" s="3">
        <v>556</v>
      </c>
      <c r="S889" s="3"/>
      <c r="T889" s="3"/>
      <c r="U889" s="3"/>
      <c r="V889" s="3"/>
      <c r="W889" s="3"/>
    </row>
    <row r="890" spans="1:23" x14ac:dyDescent="0.25">
      <c r="A890" s="3" t="s">
        <v>1743</v>
      </c>
      <c r="B890" s="3" t="s">
        <v>1754</v>
      </c>
      <c r="C890" s="3"/>
      <c r="D890" s="3" t="s">
        <v>1755</v>
      </c>
      <c r="E890" s="3">
        <v>343</v>
      </c>
      <c r="F890" s="3">
        <v>0</v>
      </c>
      <c r="G890" s="3">
        <v>0</v>
      </c>
      <c r="H890" s="3">
        <v>85.7</v>
      </c>
      <c r="I890" s="3">
        <v>0</v>
      </c>
      <c r="J890" s="3">
        <v>0</v>
      </c>
      <c r="K890" s="3"/>
      <c r="L890" s="3"/>
      <c r="M890" s="3">
        <v>0</v>
      </c>
      <c r="N890" s="3"/>
      <c r="O890" s="3"/>
      <c r="P890" s="3"/>
      <c r="Q890" s="3"/>
      <c r="R890" s="3">
        <v>429</v>
      </c>
      <c r="S890" s="3"/>
      <c r="T890" s="3"/>
      <c r="U890" s="3"/>
      <c r="V890" s="3"/>
      <c r="W890" s="3"/>
    </row>
    <row r="891" spans="1:23" x14ac:dyDescent="0.25">
      <c r="A891" s="3" t="s">
        <v>1743</v>
      </c>
      <c r="B891" s="3" t="s">
        <v>1756</v>
      </c>
      <c r="C891" s="3"/>
      <c r="D891" s="3" t="s">
        <v>1757</v>
      </c>
      <c r="E891" s="3">
        <v>395</v>
      </c>
      <c r="F891" s="3">
        <v>0</v>
      </c>
      <c r="G891" s="3">
        <v>0</v>
      </c>
      <c r="H891" s="3">
        <v>99</v>
      </c>
      <c r="I891" s="3">
        <v>0</v>
      </c>
      <c r="J891" s="3">
        <v>0</v>
      </c>
      <c r="K891" s="3"/>
      <c r="L891" s="3"/>
      <c r="M891" s="3">
        <v>0</v>
      </c>
      <c r="N891" s="3"/>
      <c r="O891" s="3"/>
      <c r="P891" s="3"/>
      <c r="Q891" s="3"/>
      <c r="R891" s="3">
        <v>99</v>
      </c>
      <c r="S891" s="3"/>
      <c r="T891" s="3"/>
      <c r="U891" s="3"/>
      <c r="V891" s="3"/>
      <c r="W891" s="3"/>
    </row>
    <row r="892" spans="1:23" x14ac:dyDescent="0.25">
      <c r="A892" s="3" t="s">
        <v>1743</v>
      </c>
      <c r="B892" s="3" t="s">
        <v>1758</v>
      </c>
      <c r="C892" s="3"/>
      <c r="D892" s="3" t="s">
        <v>1759</v>
      </c>
      <c r="E892" s="3">
        <v>417</v>
      </c>
      <c r="F892" s="3">
        <v>0</v>
      </c>
      <c r="G892" s="3">
        <v>0</v>
      </c>
      <c r="H892" s="3">
        <v>104</v>
      </c>
      <c r="I892" s="3"/>
      <c r="J892" s="3">
        <v>0</v>
      </c>
      <c r="K892" s="3"/>
      <c r="L892" s="3"/>
      <c r="M892" s="3">
        <v>0</v>
      </c>
      <c r="N892" s="3"/>
      <c r="O892" s="3"/>
      <c r="P892" s="3"/>
      <c r="Q892" s="3"/>
      <c r="R892" s="3">
        <v>208</v>
      </c>
      <c r="S892" s="3"/>
      <c r="T892" s="3"/>
      <c r="U892" s="3"/>
      <c r="V892" s="3"/>
      <c r="W892" s="3"/>
    </row>
    <row r="893" spans="1:23" x14ac:dyDescent="0.25">
      <c r="A893" s="3" t="s">
        <v>1760</v>
      </c>
      <c r="B893" s="3" t="s">
        <v>1761</v>
      </c>
      <c r="C893" s="3"/>
      <c r="D893" s="3" t="s">
        <v>1762</v>
      </c>
      <c r="E893" s="3"/>
      <c r="F893" s="3"/>
      <c r="G893" s="3"/>
      <c r="H893" s="3"/>
      <c r="I893" s="3"/>
      <c r="J893" s="3"/>
      <c r="K893" s="3"/>
      <c r="L893" s="3"/>
      <c r="M893" s="3"/>
      <c r="N893" s="3">
        <v>4</v>
      </c>
      <c r="O893" s="3">
        <v>11</v>
      </c>
      <c r="P893" s="3">
        <v>0</v>
      </c>
      <c r="Q893" s="3">
        <v>150</v>
      </c>
      <c r="R893" s="3">
        <v>138</v>
      </c>
      <c r="S893" s="3">
        <v>0</v>
      </c>
      <c r="T893" s="3"/>
      <c r="U893" s="3"/>
      <c r="V893" s="3"/>
      <c r="W893" s="3"/>
    </row>
    <row r="894" spans="1:23" x14ac:dyDescent="0.25">
      <c r="A894" s="3" t="s">
        <v>1760</v>
      </c>
      <c r="B894" s="3" t="s">
        <v>1763</v>
      </c>
      <c r="C894" s="3"/>
      <c r="D894" s="3" t="s">
        <v>1764</v>
      </c>
      <c r="E894" s="3">
        <v>28</v>
      </c>
      <c r="F894" s="3">
        <v>0</v>
      </c>
      <c r="G894" s="3">
        <v>0</v>
      </c>
      <c r="H894" s="3">
        <v>6</v>
      </c>
      <c r="I894" s="3"/>
      <c r="J894" s="3"/>
      <c r="K894" s="3"/>
      <c r="L894" s="3"/>
      <c r="M894" s="3"/>
      <c r="N894" s="3">
        <v>22</v>
      </c>
      <c r="O894" s="3">
        <v>18</v>
      </c>
      <c r="P894" s="3">
        <v>2</v>
      </c>
      <c r="Q894" s="3"/>
      <c r="R894" s="3"/>
      <c r="S894" s="3"/>
      <c r="T894" s="3">
        <v>2</v>
      </c>
      <c r="U894" s="3"/>
      <c r="V894" s="3"/>
      <c r="W894" s="3"/>
    </row>
    <row r="895" spans="1:23" x14ac:dyDescent="0.25">
      <c r="A895" s="3" t="s">
        <v>1760</v>
      </c>
      <c r="B895" s="3" t="s">
        <v>1765</v>
      </c>
      <c r="C895" s="3"/>
      <c r="D895" s="3" t="s">
        <v>1766</v>
      </c>
      <c r="E895" s="3">
        <v>37</v>
      </c>
      <c r="F895" s="3">
        <v>0</v>
      </c>
      <c r="G895" s="3">
        <v>0</v>
      </c>
      <c r="H895" s="3">
        <v>9</v>
      </c>
      <c r="I895" s="3"/>
      <c r="J895" s="3"/>
      <c r="K895" s="3"/>
      <c r="L895" s="3"/>
      <c r="M895" s="3"/>
      <c r="N895" s="3">
        <v>11</v>
      </c>
      <c r="O895" s="3">
        <v>14</v>
      </c>
      <c r="P895" s="3">
        <v>1</v>
      </c>
      <c r="Q895" s="3"/>
      <c r="R895" s="3"/>
      <c r="S895" s="3"/>
      <c r="T895" s="3">
        <v>4</v>
      </c>
      <c r="U895" s="3"/>
      <c r="V895" s="3"/>
      <c r="W895" s="3"/>
    </row>
    <row r="896" spans="1:23" x14ac:dyDescent="0.25">
      <c r="A896" s="3" t="s">
        <v>1760</v>
      </c>
      <c r="B896" s="3" t="s">
        <v>1767</v>
      </c>
      <c r="C896" s="3"/>
      <c r="D896" s="3" t="s">
        <v>1768</v>
      </c>
      <c r="E896" s="3">
        <v>3</v>
      </c>
      <c r="F896" s="3">
        <v>0</v>
      </c>
      <c r="G896" s="3">
        <v>0</v>
      </c>
      <c r="H896" s="3">
        <v>1</v>
      </c>
      <c r="I896" s="3"/>
      <c r="J896" s="3"/>
      <c r="K896" s="3"/>
      <c r="L896" s="3"/>
      <c r="M896" s="3"/>
      <c r="N896" s="3">
        <v>4</v>
      </c>
      <c r="O896" s="3">
        <v>3</v>
      </c>
      <c r="P896" s="3">
        <v>0</v>
      </c>
      <c r="Q896" s="3"/>
      <c r="R896" s="3"/>
      <c r="S896" s="3">
        <v>0</v>
      </c>
      <c r="T896" s="3"/>
      <c r="U896" s="3"/>
      <c r="V896" s="3"/>
      <c r="W896" s="3"/>
    </row>
    <row r="897" spans="1:23" x14ac:dyDescent="0.25">
      <c r="A897" s="3" t="s">
        <v>1769</v>
      </c>
      <c r="B897" s="3" t="s">
        <v>1770</v>
      </c>
      <c r="C897" s="3"/>
      <c r="D897" s="3" t="s">
        <v>1771</v>
      </c>
      <c r="E897" s="3">
        <v>53.33</v>
      </c>
      <c r="F897" s="3">
        <v>0</v>
      </c>
      <c r="G897" s="3">
        <v>0</v>
      </c>
      <c r="H897" s="3">
        <v>13.33</v>
      </c>
      <c r="I897" s="3">
        <v>0</v>
      </c>
      <c r="J897" s="3">
        <v>0</v>
      </c>
      <c r="K897" s="3"/>
      <c r="L897" s="3"/>
      <c r="M897" s="3">
        <v>0</v>
      </c>
      <c r="N897" s="3"/>
      <c r="O897" s="3"/>
      <c r="P897" s="3"/>
      <c r="Q897" s="3"/>
      <c r="R897" s="3">
        <v>533.33000000000004</v>
      </c>
      <c r="S897" s="3"/>
      <c r="T897" s="3"/>
      <c r="U897" s="3"/>
      <c r="V897" s="3"/>
      <c r="W897" s="3"/>
    </row>
    <row r="898" spans="1:23" x14ac:dyDescent="0.25">
      <c r="A898" s="3" t="s">
        <v>1769</v>
      </c>
      <c r="B898" s="3" t="s">
        <v>1772</v>
      </c>
      <c r="C898" s="3"/>
      <c r="D898" s="3" t="s">
        <v>1773</v>
      </c>
      <c r="E898" s="3">
        <v>110.7</v>
      </c>
      <c r="F898" s="3">
        <v>1.74</v>
      </c>
      <c r="G898" s="3">
        <v>0.38</v>
      </c>
      <c r="H898" s="3">
        <v>25.08</v>
      </c>
      <c r="I898" s="3">
        <v>0.3</v>
      </c>
      <c r="J898" s="3">
        <v>0.05</v>
      </c>
      <c r="K898" s="3">
        <v>0.06</v>
      </c>
      <c r="L898" s="3">
        <v>0.15</v>
      </c>
      <c r="M898" s="3">
        <v>0</v>
      </c>
      <c r="N898" s="3">
        <v>18</v>
      </c>
      <c r="O898" s="3">
        <v>33</v>
      </c>
      <c r="P898" s="3">
        <v>0.51</v>
      </c>
      <c r="Q898" s="3">
        <v>382</v>
      </c>
      <c r="R898" s="3">
        <v>1114</v>
      </c>
      <c r="S898" s="3">
        <v>0.26</v>
      </c>
      <c r="T898" s="3">
        <v>15</v>
      </c>
      <c r="U898" s="3">
        <v>47</v>
      </c>
      <c r="V898" s="3">
        <v>10</v>
      </c>
      <c r="W898" s="3">
        <v>0</v>
      </c>
    </row>
    <row r="899" spans="1:23" x14ac:dyDescent="0.25">
      <c r="A899" s="3" t="s">
        <v>1769</v>
      </c>
      <c r="B899" s="3" t="s">
        <v>1774</v>
      </c>
      <c r="C899" s="3"/>
      <c r="D899" s="3" t="s">
        <v>1775</v>
      </c>
      <c r="E899" s="3">
        <v>26.67</v>
      </c>
      <c r="F899" s="3">
        <v>0</v>
      </c>
      <c r="G899" s="3">
        <v>0</v>
      </c>
      <c r="H899" s="3">
        <v>6.67</v>
      </c>
      <c r="I899" s="3">
        <v>6.67</v>
      </c>
      <c r="J899" s="3">
        <v>0</v>
      </c>
      <c r="K899" s="3"/>
      <c r="L899" s="3"/>
      <c r="M899" s="3">
        <v>0</v>
      </c>
      <c r="N899" s="3"/>
      <c r="O899" s="3"/>
      <c r="P899" s="3"/>
      <c r="Q899" s="3"/>
      <c r="R899" s="3">
        <v>533.33000000000004</v>
      </c>
      <c r="S899" s="3"/>
      <c r="T899" s="3"/>
      <c r="U899" s="3"/>
      <c r="V899" s="3"/>
      <c r="W899" s="3"/>
    </row>
    <row r="900" spans="1:23" x14ac:dyDescent="0.25">
      <c r="A900" s="3" t="s">
        <v>1769</v>
      </c>
      <c r="B900" s="3" t="s">
        <v>1776</v>
      </c>
      <c r="C900" s="3"/>
      <c r="D900" s="3" t="s">
        <v>1777</v>
      </c>
      <c r="E900" s="3">
        <v>635.71</v>
      </c>
      <c r="F900" s="3">
        <v>0</v>
      </c>
      <c r="G900" s="3">
        <v>64.290000000000006</v>
      </c>
      <c r="H900" s="3">
        <v>14.29</v>
      </c>
      <c r="I900" s="3"/>
      <c r="J900" s="3">
        <v>10.71</v>
      </c>
      <c r="K900" s="3">
        <v>17.86</v>
      </c>
      <c r="L900" s="3">
        <v>35.71</v>
      </c>
      <c r="M900" s="3">
        <v>64.290000000000006</v>
      </c>
      <c r="N900" s="3"/>
      <c r="O900" s="3"/>
      <c r="P900" s="3"/>
      <c r="Q900" s="3"/>
      <c r="R900" s="3">
        <v>785.71</v>
      </c>
      <c r="S900" s="3"/>
      <c r="T900" s="3"/>
      <c r="U900" s="3"/>
      <c r="V900" s="3"/>
      <c r="W900" s="3"/>
    </row>
    <row r="901" spans="1:23" x14ac:dyDescent="0.25">
      <c r="A901" s="3" t="s">
        <v>1769</v>
      </c>
      <c r="B901" s="3" t="s">
        <v>1778</v>
      </c>
      <c r="C901" s="3"/>
      <c r="D901" s="3" t="s">
        <v>1779</v>
      </c>
      <c r="E901" s="3">
        <v>130.30000000000001</v>
      </c>
      <c r="F901" s="3">
        <v>1.01</v>
      </c>
      <c r="G901" s="3">
        <v>9.09</v>
      </c>
      <c r="H901" s="3">
        <v>11.11</v>
      </c>
      <c r="I901" s="3">
        <v>0</v>
      </c>
      <c r="J901" s="3">
        <v>2.02</v>
      </c>
      <c r="K901" s="3">
        <v>3.03</v>
      </c>
      <c r="L901" s="3">
        <v>0.51</v>
      </c>
      <c r="M901" s="3">
        <v>0</v>
      </c>
      <c r="N901" s="3"/>
      <c r="O901" s="3"/>
      <c r="P901" s="3"/>
      <c r="Q901" s="3"/>
      <c r="R901" s="3">
        <v>808.08</v>
      </c>
      <c r="S901" s="3"/>
      <c r="T901" s="3"/>
      <c r="U901" s="3"/>
      <c r="V901" s="3"/>
      <c r="W901" s="3"/>
    </row>
    <row r="902" spans="1:23" x14ac:dyDescent="0.25">
      <c r="A902" s="3" t="s">
        <v>1769</v>
      </c>
      <c r="B902" s="3" t="s">
        <v>1780</v>
      </c>
      <c r="C902" s="3"/>
      <c r="D902" s="3" t="s">
        <v>1781</v>
      </c>
      <c r="E902" s="3">
        <v>300</v>
      </c>
      <c r="F902" s="3">
        <v>0</v>
      </c>
      <c r="G902" s="3">
        <v>33.33</v>
      </c>
      <c r="H902" s="3">
        <v>0</v>
      </c>
      <c r="I902" s="3"/>
      <c r="J902" s="3">
        <v>10</v>
      </c>
      <c r="K902" s="3">
        <v>13.33</v>
      </c>
      <c r="L902" s="3">
        <v>10</v>
      </c>
      <c r="M902" s="3">
        <v>66.67</v>
      </c>
      <c r="N902" s="3"/>
      <c r="O902" s="3"/>
      <c r="P902" s="3"/>
      <c r="Q902" s="3"/>
      <c r="R902" s="3">
        <v>866.67</v>
      </c>
      <c r="S902" s="3"/>
      <c r="T902" s="3"/>
      <c r="U902" s="3"/>
      <c r="V902" s="3"/>
      <c r="W902" s="3"/>
    </row>
    <row r="903" spans="1:23" x14ac:dyDescent="0.25">
      <c r="A903" s="3" t="s">
        <v>1769</v>
      </c>
      <c r="B903" s="3" t="s">
        <v>1782</v>
      </c>
      <c r="C903" s="3"/>
      <c r="D903" s="3" t="s">
        <v>1783</v>
      </c>
      <c r="E903" s="3">
        <v>240</v>
      </c>
      <c r="F903" s="3">
        <v>0</v>
      </c>
      <c r="G903" s="3">
        <v>26.67</v>
      </c>
      <c r="H903" s="3">
        <v>0</v>
      </c>
      <c r="I903" s="3"/>
      <c r="J903" s="3">
        <v>3.33</v>
      </c>
      <c r="K903" s="3">
        <v>10</v>
      </c>
      <c r="L903" s="3">
        <v>13.33</v>
      </c>
      <c r="M903" s="3">
        <v>0</v>
      </c>
      <c r="N903" s="3"/>
      <c r="O903" s="3"/>
      <c r="P903" s="3"/>
      <c r="Q903" s="3"/>
      <c r="R903" s="3">
        <v>666.67</v>
      </c>
      <c r="S903" s="3"/>
      <c r="T903" s="3"/>
      <c r="U903" s="3"/>
      <c r="V903" s="3"/>
      <c r="W903" s="3"/>
    </row>
    <row r="904" spans="1:23" x14ac:dyDescent="0.2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</row>
    <row r="905" spans="1:23" x14ac:dyDescent="0.25">
      <c r="A905" s="3" t="s">
        <v>2035</v>
      </c>
      <c r="B905" s="3" t="s">
        <v>1784</v>
      </c>
      <c r="C905" s="3"/>
      <c r="D905" s="3" t="s">
        <v>1785</v>
      </c>
      <c r="E905" s="3">
        <v>900</v>
      </c>
      <c r="F905" s="3">
        <v>0</v>
      </c>
      <c r="G905" s="3">
        <v>100</v>
      </c>
      <c r="H905" s="3">
        <v>0</v>
      </c>
      <c r="I905" s="3"/>
      <c r="J905" s="3">
        <v>0</v>
      </c>
      <c r="K905" s="3"/>
      <c r="L905" s="3"/>
      <c r="M905" s="3">
        <v>0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x14ac:dyDescent="0.25">
      <c r="A906" s="3" t="s">
        <v>2035</v>
      </c>
      <c r="B906" s="3" t="s">
        <v>1786</v>
      </c>
      <c r="C906" s="3"/>
      <c r="D906" s="3" t="s">
        <v>1787</v>
      </c>
      <c r="E906" s="3">
        <v>900</v>
      </c>
      <c r="F906" s="3">
        <v>0</v>
      </c>
      <c r="G906" s="3">
        <v>100</v>
      </c>
      <c r="H906" s="3">
        <v>0</v>
      </c>
      <c r="I906" s="3">
        <v>0</v>
      </c>
      <c r="J906" s="3">
        <v>28.57</v>
      </c>
      <c r="K906" s="3">
        <v>21.42</v>
      </c>
      <c r="L906" s="3">
        <v>50</v>
      </c>
      <c r="M906" s="3">
        <v>0</v>
      </c>
      <c r="N906" s="3"/>
      <c r="O906" s="3"/>
      <c r="P906" s="3"/>
      <c r="Q906" s="3"/>
      <c r="R906" s="3">
        <v>0</v>
      </c>
      <c r="S906" s="3"/>
      <c r="T906" s="3"/>
      <c r="U906" s="3"/>
      <c r="V906" s="3"/>
      <c r="W906" s="3"/>
    </row>
    <row r="907" spans="1:23" x14ac:dyDescent="0.25">
      <c r="A907" s="3" t="s">
        <v>2035</v>
      </c>
      <c r="B907" s="3" t="s">
        <v>1788</v>
      </c>
      <c r="C907" s="3"/>
      <c r="D907" s="3" t="s">
        <v>1789</v>
      </c>
      <c r="E907" s="3">
        <v>900</v>
      </c>
      <c r="F907" s="3">
        <v>0</v>
      </c>
      <c r="G907" s="3">
        <v>100</v>
      </c>
      <c r="H907" s="3">
        <v>0</v>
      </c>
      <c r="I907" s="3">
        <v>0</v>
      </c>
      <c r="J907" s="3">
        <v>28.57</v>
      </c>
      <c r="K907" s="3">
        <v>21.43</v>
      </c>
      <c r="L907" s="3">
        <v>50</v>
      </c>
      <c r="M907" s="3">
        <v>0</v>
      </c>
      <c r="N907" s="3"/>
      <c r="O907" s="3"/>
      <c r="P907" s="3"/>
      <c r="Q907" s="3"/>
      <c r="R907" s="3">
        <v>0</v>
      </c>
      <c r="S907" s="3"/>
      <c r="T907" s="3"/>
      <c r="U907" s="3"/>
      <c r="V907" s="3"/>
      <c r="W907" s="3"/>
    </row>
    <row r="908" spans="1:23" x14ac:dyDescent="0.25">
      <c r="A908" s="3" t="s">
        <v>2035</v>
      </c>
      <c r="B908" s="3" t="s">
        <v>1790</v>
      </c>
      <c r="C908" s="3"/>
      <c r="D908" s="3" t="s">
        <v>1791</v>
      </c>
      <c r="E908" s="3">
        <v>22.4</v>
      </c>
      <c r="F908" s="3">
        <v>0.4</v>
      </c>
      <c r="G908" s="3">
        <v>0</v>
      </c>
      <c r="H908" s="3">
        <v>5.2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/>
      <c r="O908" s="3"/>
      <c r="P908" s="3"/>
      <c r="Q908" s="3"/>
      <c r="R908" s="3">
        <v>20</v>
      </c>
      <c r="S908" s="3"/>
      <c r="T908" s="3"/>
      <c r="U908" s="3"/>
      <c r="V908" s="3"/>
      <c r="W908" s="3"/>
    </row>
    <row r="909" spans="1:23" x14ac:dyDescent="0.25">
      <c r="A909" s="3" t="s">
        <v>2035</v>
      </c>
      <c r="B909" s="3" t="s">
        <v>1792</v>
      </c>
      <c r="C909" s="3"/>
      <c r="D909" s="3" t="s">
        <v>1793</v>
      </c>
      <c r="E909" s="3">
        <v>31.67</v>
      </c>
      <c r="F909" s="3">
        <v>0</v>
      </c>
      <c r="G909" s="3">
        <v>0.15</v>
      </c>
      <c r="H909" s="3">
        <v>7.58</v>
      </c>
      <c r="I909" s="3"/>
      <c r="J909" s="3">
        <v>0</v>
      </c>
      <c r="K909" s="3"/>
      <c r="L909" s="3"/>
      <c r="M909" s="3">
        <v>0</v>
      </c>
      <c r="N909" s="3"/>
      <c r="O909" s="3">
        <v>30.3</v>
      </c>
      <c r="P909" s="3">
        <v>11.11</v>
      </c>
      <c r="Q909" s="3"/>
      <c r="R909" s="3">
        <v>7.58</v>
      </c>
      <c r="S909" s="3"/>
      <c r="T909" s="3"/>
      <c r="U909" s="3"/>
      <c r="V909" s="3"/>
      <c r="W909" s="3"/>
    </row>
    <row r="910" spans="1:23" x14ac:dyDescent="0.25">
      <c r="A910" s="3" t="s">
        <v>2035</v>
      </c>
      <c r="B910" s="3" t="s">
        <v>1794</v>
      </c>
      <c r="C910" s="3"/>
      <c r="D910" s="3" t="s">
        <v>1795</v>
      </c>
      <c r="E910" s="3">
        <v>52</v>
      </c>
      <c r="F910" s="3">
        <v>0</v>
      </c>
      <c r="G910" s="3">
        <v>0</v>
      </c>
      <c r="H910" s="3">
        <v>13</v>
      </c>
      <c r="I910" s="3"/>
      <c r="J910" s="3">
        <v>0</v>
      </c>
      <c r="K910" s="3"/>
      <c r="L910" s="3"/>
      <c r="M910" s="3">
        <v>0</v>
      </c>
      <c r="N910" s="3"/>
      <c r="O910" s="3"/>
      <c r="P910" s="3"/>
      <c r="Q910" s="3"/>
      <c r="R910" s="3">
        <v>21</v>
      </c>
      <c r="S910" s="3"/>
      <c r="T910" s="3"/>
      <c r="U910" s="3"/>
      <c r="V910" s="3"/>
      <c r="W910" s="3"/>
    </row>
    <row r="911" spans="1:23" x14ac:dyDescent="0.25">
      <c r="A911" s="3" t="s">
        <v>2035</v>
      </c>
      <c r="B911" s="3" t="s">
        <v>1796</v>
      </c>
      <c r="C911" s="3"/>
      <c r="D911" s="3" t="s">
        <v>1797</v>
      </c>
      <c r="E911" s="3">
        <v>44</v>
      </c>
      <c r="F911" s="3">
        <v>0</v>
      </c>
      <c r="G911" s="3">
        <v>0</v>
      </c>
      <c r="H911" s="3">
        <v>11</v>
      </c>
      <c r="I911" s="3"/>
      <c r="J911" s="3">
        <v>0</v>
      </c>
      <c r="K911" s="3"/>
      <c r="L911" s="3"/>
      <c r="M911" s="3">
        <v>0</v>
      </c>
      <c r="N911" s="3"/>
      <c r="O911" s="3"/>
      <c r="P911" s="3"/>
      <c r="Q911" s="3"/>
      <c r="R911" s="3">
        <v>40</v>
      </c>
      <c r="S911" s="3"/>
      <c r="T911" s="3"/>
      <c r="U911" s="3"/>
      <c r="V911" s="3"/>
      <c r="W911" s="3"/>
    </row>
    <row r="912" spans="1:23" x14ac:dyDescent="0.25">
      <c r="A912" s="3" t="s">
        <v>2035</v>
      </c>
      <c r="B912" s="3" t="s">
        <v>1798</v>
      </c>
      <c r="C912" s="3"/>
      <c r="D912" s="3" t="s">
        <v>1799</v>
      </c>
      <c r="E912" s="3">
        <v>51.67</v>
      </c>
      <c r="F912" s="3">
        <v>0</v>
      </c>
      <c r="G912" s="3">
        <v>0</v>
      </c>
      <c r="H912" s="3">
        <v>12.92</v>
      </c>
      <c r="I912" s="3">
        <v>0</v>
      </c>
      <c r="J912" s="3">
        <v>0</v>
      </c>
      <c r="K912" s="3"/>
      <c r="L912" s="3"/>
      <c r="M912" s="3">
        <v>0</v>
      </c>
      <c r="N912" s="3"/>
      <c r="O912" s="3"/>
      <c r="P912" s="3"/>
      <c r="Q912" s="3"/>
      <c r="R912" s="3">
        <v>12.5</v>
      </c>
      <c r="S912" s="3"/>
      <c r="T912" s="3"/>
      <c r="U912" s="3"/>
      <c r="V912" s="3"/>
      <c r="W912" s="3"/>
    </row>
    <row r="913" spans="1:23" x14ac:dyDescent="0.25">
      <c r="A913" s="3" t="s">
        <v>2035</v>
      </c>
      <c r="B913" s="3" t="s">
        <v>1800</v>
      </c>
      <c r="C913" s="3"/>
      <c r="D913" s="3" t="s">
        <v>1801</v>
      </c>
      <c r="E913" s="3">
        <v>21.33</v>
      </c>
      <c r="F913" s="3">
        <v>0</v>
      </c>
      <c r="G913" s="3">
        <v>0</v>
      </c>
      <c r="H913" s="3">
        <v>5.33</v>
      </c>
      <c r="I913" s="3"/>
      <c r="J913" s="3">
        <v>0</v>
      </c>
      <c r="K913" s="3"/>
      <c r="L913" s="3"/>
      <c r="M913" s="3">
        <v>0</v>
      </c>
      <c r="N913" s="3"/>
      <c r="O913" s="3"/>
      <c r="P913" s="3"/>
      <c r="Q913" s="3"/>
      <c r="R913" s="3">
        <v>43.33</v>
      </c>
      <c r="S913" s="3"/>
      <c r="T913" s="3"/>
      <c r="U913" s="3"/>
      <c r="V913" s="3"/>
      <c r="W913" s="3"/>
    </row>
    <row r="914" spans="1:23" x14ac:dyDescent="0.25">
      <c r="A914" s="3" t="s">
        <v>2035</v>
      </c>
      <c r="B914" s="3" t="s">
        <v>1802</v>
      </c>
      <c r="C914" s="3"/>
      <c r="D914" s="3" t="s">
        <v>1803</v>
      </c>
      <c r="E914" s="3">
        <v>48</v>
      </c>
      <c r="F914" s="3">
        <v>0</v>
      </c>
      <c r="G914" s="3">
        <v>0</v>
      </c>
      <c r="H914" s="3">
        <v>12</v>
      </c>
      <c r="I914" s="3"/>
      <c r="J914" s="3"/>
      <c r="K914" s="3"/>
      <c r="L914" s="3"/>
      <c r="M914" s="3">
        <v>0</v>
      </c>
      <c r="N914" s="3"/>
      <c r="O914" s="3"/>
      <c r="P914" s="3"/>
      <c r="Q914" s="3"/>
      <c r="R914" s="3">
        <v>0</v>
      </c>
      <c r="S914" s="3"/>
      <c r="T914" s="3"/>
      <c r="U914" s="3"/>
      <c r="V914" s="3"/>
      <c r="W914" s="3"/>
    </row>
    <row r="915" spans="1:23" x14ac:dyDescent="0.25">
      <c r="A915" s="3" t="s">
        <v>2035</v>
      </c>
      <c r="B915" s="3" t="s">
        <v>1804</v>
      </c>
      <c r="C915" s="3"/>
      <c r="D915" s="3" t="s">
        <v>1805</v>
      </c>
      <c r="E915" s="3">
        <v>1.67</v>
      </c>
      <c r="F915" s="3">
        <v>0</v>
      </c>
      <c r="G915" s="3">
        <v>0</v>
      </c>
      <c r="H915" s="3">
        <v>0.42</v>
      </c>
      <c r="I915" s="3">
        <v>0</v>
      </c>
      <c r="J915" s="3">
        <v>0</v>
      </c>
      <c r="K915" s="3"/>
      <c r="L915" s="3"/>
      <c r="M915" s="3">
        <v>0</v>
      </c>
      <c r="N915" s="3"/>
      <c r="O915" s="3"/>
      <c r="P915" s="3"/>
      <c r="Q915" s="3"/>
      <c r="R915" s="3">
        <v>0</v>
      </c>
      <c r="S915" s="3"/>
      <c r="T915" s="3"/>
      <c r="U915" s="3"/>
      <c r="V915" s="3"/>
      <c r="W915" s="3"/>
    </row>
    <row r="916" spans="1:23" x14ac:dyDescent="0.25">
      <c r="A916" s="3" t="s">
        <v>2035</v>
      </c>
      <c r="B916" s="3" t="s">
        <v>1806</v>
      </c>
      <c r="C916" s="3"/>
      <c r="D916" s="3" t="s">
        <v>1807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/>
      <c r="L916" s="3"/>
      <c r="M916" s="3">
        <v>0</v>
      </c>
      <c r="N916" s="3"/>
      <c r="O916" s="3"/>
      <c r="P916" s="3"/>
      <c r="Q916" s="3"/>
      <c r="R916" s="3">
        <v>5.71</v>
      </c>
      <c r="S916" s="3"/>
      <c r="T916" s="3"/>
      <c r="U916" s="3"/>
      <c r="V916" s="3"/>
      <c r="W916" s="3"/>
    </row>
    <row r="917" spans="1:23" x14ac:dyDescent="0.25">
      <c r="A917" s="3" t="s">
        <v>2035</v>
      </c>
      <c r="B917" s="3" t="s">
        <v>1808</v>
      </c>
      <c r="C917" s="3"/>
      <c r="D917" s="3" t="s">
        <v>1809</v>
      </c>
      <c r="E917" s="3">
        <v>41.14</v>
      </c>
      <c r="F917" s="3">
        <v>0</v>
      </c>
      <c r="G917" s="3">
        <v>0</v>
      </c>
      <c r="H917" s="3">
        <v>10.29</v>
      </c>
      <c r="I917" s="3">
        <v>0</v>
      </c>
      <c r="J917" s="3">
        <v>0</v>
      </c>
      <c r="K917" s="3"/>
      <c r="L917" s="3"/>
      <c r="M917" s="3">
        <v>0</v>
      </c>
      <c r="N917" s="3"/>
      <c r="O917" s="3"/>
      <c r="P917" s="3"/>
      <c r="Q917" s="3"/>
      <c r="R917" s="3">
        <v>5.71</v>
      </c>
      <c r="S917" s="3"/>
      <c r="T917" s="3"/>
      <c r="U917" s="3"/>
      <c r="V917" s="3"/>
      <c r="W917" s="3"/>
    </row>
    <row r="918" spans="1:23" x14ac:dyDescent="0.25">
      <c r="A918" s="3" t="s">
        <v>2035</v>
      </c>
      <c r="B918" s="3" t="s">
        <v>1810</v>
      </c>
      <c r="C918" s="3"/>
      <c r="D918" s="3" t="s">
        <v>1811</v>
      </c>
      <c r="E918" s="3">
        <v>18.329999999999998</v>
      </c>
      <c r="F918" s="3">
        <v>0</v>
      </c>
      <c r="G918" s="3">
        <v>0</v>
      </c>
      <c r="H918" s="3">
        <v>4.58</v>
      </c>
      <c r="I918" s="3">
        <v>0</v>
      </c>
      <c r="J918" s="3">
        <v>0</v>
      </c>
      <c r="K918" s="3"/>
      <c r="L918" s="3"/>
      <c r="M918" s="3">
        <v>0</v>
      </c>
      <c r="N918" s="3"/>
      <c r="O918" s="3">
        <v>125</v>
      </c>
      <c r="P918" s="3">
        <v>45.83</v>
      </c>
      <c r="Q918" s="3"/>
      <c r="R918" s="3">
        <v>18.75</v>
      </c>
      <c r="S918" s="3"/>
      <c r="T918" s="3"/>
      <c r="U918" s="3"/>
      <c r="V918" s="3"/>
      <c r="W918" s="3"/>
    </row>
    <row r="919" spans="1:23" x14ac:dyDescent="0.25">
      <c r="A919" s="3" t="s">
        <v>2035</v>
      </c>
      <c r="B919" s="3" t="s">
        <v>1812</v>
      </c>
      <c r="C919" s="3"/>
      <c r="D919" s="3" t="s">
        <v>1813</v>
      </c>
      <c r="E919" s="3">
        <v>18.329999999999998</v>
      </c>
      <c r="F919" s="3">
        <v>0</v>
      </c>
      <c r="G919" s="3">
        <v>0</v>
      </c>
      <c r="H919" s="3">
        <v>4.58</v>
      </c>
      <c r="I919" s="3">
        <v>0</v>
      </c>
      <c r="J919" s="3">
        <v>0</v>
      </c>
      <c r="K919" s="3"/>
      <c r="L919" s="3"/>
      <c r="M919" s="3">
        <v>0</v>
      </c>
      <c r="N919" s="3"/>
      <c r="O919" s="3"/>
      <c r="P919" s="3"/>
      <c r="Q919" s="3"/>
      <c r="R919" s="3">
        <v>18.75</v>
      </c>
      <c r="S919" s="3"/>
      <c r="T919" s="3"/>
      <c r="U919" s="3"/>
      <c r="V919" s="3"/>
      <c r="W919" s="3"/>
    </row>
    <row r="920" spans="1:23" x14ac:dyDescent="0.25">
      <c r="A920" s="3" t="s">
        <v>2035</v>
      </c>
      <c r="B920" s="3" t="s">
        <v>1814</v>
      </c>
      <c r="C920" s="3"/>
      <c r="D920" s="3" t="s">
        <v>1815</v>
      </c>
      <c r="E920" s="3">
        <v>0</v>
      </c>
      <c r="F920" s="3">
        <v>0</v>
      </c>
      <c r="G920" s="3">
        <v>0</v>
      </c>
      <c r="H920" s="3">
        <v>0</v>
      </c>
      <c r="I920" s="3"/>
      <c r="J920" s="3">
        <v>0</v>
      </c>
      <c r="K920" s="3"/>
      <c r="L920" s="3"/>
      <c r="M920" s="3">
        <v>0</v>
      </c>
      <c r="N920" s="3"/>
      <c r="O920" s="3"/>
      <c r="P920" s="3"/>
      <c r="Q920" s="3"/>
      <c r="R920" s="3">
        <v>12.5</v>
      </c>
      <c r="S920" s="3"/>
      <c r="T920" s="3"/>
      <c r="U920" s="3"/>
      <c r="V920" s="3"/>
      <c r="W920" s="3"/>
    </row>
    <row r="921" spans="1:23" x14ac:dyDescent="0.25">
      <c r="A921" s="3" t="s">
        <v>2035</v>
      </c>
      <c r="B921" s="3" t="s">
        <v>1816</v>
      </c>
      <c r="C921" s="3"/>
      <c r="D921" s="3" t="s">
        <v>1817</v>
      </c>
      <c r="E921" s="3">
        <v>30</v>
      </c>
      <c r="F921" s="3">
        <v>0</v>
      </c>
      <c r="G921" s="3">
        <v>0</v>
      </c>
      <c r="H921" s="3">
        <v>7.5</v>
      </c>
      <c r="I921" s="3">
        <v>0</v>
      </c>
      <c r="J921" s="3">
        <v>0</v>
      </c>
      <c r="K921" s="3"/>
      <c r="L921" s="3"/>
      <c r="M921" s="3">
        <v>0</v>
      </c>
      <c r="N921" s="3"/>
      <c r="O921" s="3"/>
      <c r="P921" s="3"/>
      <c r="Q921" s="3"/>
      <c r="R921" s="3">
        <v>6.25</v>
      </c>
      <c r="S921" s="3"/>
      <c r="T921" s="3"/>
      <c r="U921" s="3"/>
      <c r="V921" s="3"/>
      <c r="W921" s="3"/>
    </row>
    <row r="922" spans="1:23" x14ac:dyDescent="0.25">
      <c r="A922" s="3" t="s">
        <v>2035</v>
      </c>
      <c r="B922" s="3" t="s">
        <v>1818</v>
      </c>
      <c r="C922" s="3"/>
      <c r="D922" s="3" t="s">
        <v>1819</v>
      </c>
      <c r="E922" s="3">
        <v>20</v>
      </c>
      <c r="F922" s="3">
        <v>0</v>
      </c>
      <c r="G922" s="3">
        <v>0</v>
      </c>
      <c r="H922" s="3">
        <v>5</v>
      </c>
      <c r="I922" s="3"/>
      <c r="J922" s="3">
        <v>0</v>
      </c>
      <c r="K922" s="3"/>
      <c r="L922" s="3"/>
      <c r="M922" s="3">
        <v>0</v>
      </c>
      <c r="N922" s="3"/>
      <c r="O922" s="3"/>
      <c r="P922" s="3"/>
      <c r="Q922" s="3"/>
      <c r="R922" s="3">
        <v>8.33</v>
      </c>
      <c r="S922" s="3"/>
      <c r="T922" s="3"/>
      <c r="U922" s="3"/>
      <c r="V922" s="3"/>
      <c r="W922" s="3"/>
    </row>
    <row r="923" spans="1:23" x14ac:dyDescent="0.25">
      <c r="A923" s="3" t="s">
        <v>2035</v>
      </c>
      <c r="B923" s="3" t="s">
        <v>1820</v>
      </c>
      <c r="C923" s="3"/>
      <c r="D923" s="3" t="s">
        <v>1821</v>
      </c>
      <c r="E923" s="3">
        <v>45.57</v>
      </c>
      <c r="F923" s="3">
        <v>0</v>
      </c>
      <c r="G923" s="3">
        <v>0</v>
      </c>
      <c r="H923" s="3">
        <v>11.39</v>
      </c>
      <c r="I923" s="3"/>
      <c r="J923" s="3">
        <v>0</v>
      </c>
      <c r="K923" s="3"/>
      <c r="L923" s="3"/>
      <c r="M923" s="3"/>
      <c r="N923" s="3"/>
      <c r="O923" s="3"/>
      <c r="P923" s="3"/>
      <c r="Q923" s="3"/>
      <c r="R923" s="3">
        <v>4.22</v>
      </c>
      <c r="S923" s="3"/>
      <c r="T923" s="3"/>
      <c r="U923" s="3"/>
      <c r="V923" s="3"/>
      <c r="W923" s="3"/>
    </row>
    <row r="924" spans="1:23" x14ac:dyDescent="0.25">
      <c r="A924" s="3" t="s">
        <v>2035</v>
      </c>
      <c r="B924" s="3" t="s">
        <v>1822</v>
      </c>
      <c r="C924" s="3"/>
      <c r="D924" s="3" t="s">
        <v>1823</v>
      </c>
      <c r="E924" s="3">
        <v>10</v>
      </c>
      <c r="F924" s="3">
        <v>0</v>
      </c>
      <c r="G924" s="3">
        <v>0</v>
      </c>
      <c r="H924" s="3">
        <v>2.5</v>
      </c>
      <c r="I924" s="3"/>
      <c r="J924" s="3">
        <v>0</v>
      </c>
      <c r="K924" s="3"/>
      <c r="L924" s="3"/>
      <c r="M924" s="3">
        <v>0</v>
      </c>
      <c r="N924" s="3"/>
      <c r="O924" s="3"/>
      <c r="P924" s="3"/>
      <c r="Q924" s="3"/>
      <c r="R924" s="3">
        <v>6.25</v>
      </c>
      <c r="S924" s="3"/>
      <c r="T924" s="3"/>
      <c r="U924" s="3"/>
      <c r="V924" s="3"/>
      <c r="W924" s="3"/>
    </row>
    <row r="925" spans="1:23" x14ac:dyDescent="0.25">
      <c r="A925" s="3" t="s">
        <v>2035</v>
      </c>
      <c r="B925" s="3" t="s">
        <v>1824</v>
      </c>
      <c r="C925" s="3"/>
      <c r="D925" s="3" t="s">
        <v>1825</v>
      </c>
      <c r="E925" s="3">
        <v>31.67</v>
      </c>
      <c r="F925" s="3"/>
      <c r="G925" s="3"/>
      <c r="H925" s="3">
        <v>7.92</v>
      </c>
      <c r="I925" s="3"/>
      <c r="J925" s="3"/>
      <c r="K925" s="3"/>
      <c r="L925" s="3"/>
      <c r="M925" s="3"/>
      <c r="N925" s="3"/>
      <c r="O925" s="3"/>
      <c r="P925" s="3"/>
      <c r="Q925" s="3"/>
      <c r="R925" s="3">
        <v>4.17</v>
      </c>
      <c r="S925" s="3"/>
      <c r="T925" s="3"/>
      <c r="U925" s="3"/>
      <c r="V925" s="3"/>
      <c r="W925" s="3"/>
    </row>
    <row r="926" spans="1:23" x14ac:dyDescent="0.25">
      <c r="A926" s="3" t="s">
        <v>2035</v>
      </c>
      <c r="B926" s="3" t="s">
        <v>1826</v>
      </c>
      <c r="C926" s="3"/>
      <c r="D926" s="3" t="s">
        <v>1827</v>
      </c>
      <c r="E926" s="3">
        <v>10</v>
      </c>
      <c r="F926" s="3">
        <v>0</v>
      </c>
      <c r="G926" s="3">
        <v>0</v>
      </c>
      <c r="H926" s="3">
        <v>2.5</v>
      </c>
      <c r="I926" s="3"/>
      <c r="J926" s="3"/>
      <c r="K926" s="3"/>
      <c r="L926" s="3"/>
      <c r="M926" s="3"/>
      <c r="N926" s="3"/>
      <c r="O926" s="3"/>
      <c r="P926" s="3"/>
      <c r="Q926" s="3"/>
      <c r="R926" s="3">
        <v>6.25</v>
      </c>
      <c r="S926" s="3"/>
      <c r="T926" s="3"/>
      <c r="U926" s="3"/>
      <c r="V926" s="3"/>
      <c r="W926" s="3"/>
    </row>
    <row r="927" spans="1:23" x14ac:dyDescent="0.25">
      <c r="A927" s="3" t="s">
        <v>2035</v>
      </c>
      <c r="B927" s="3" t="s">
        <v>1828</v>
      </c>
      <c r="C927" s="3"/>
      <c r="D927" s="3" t="s">
        <v>1829</v>
      </c>
      <c r="E927" s="3">
        <v>29.3</v>
      </c>
      <c r="F927" s="3">
        <v>0</v>
      </c>
      <c r="G927" s="3">
        <v>0</v>
      </c>
      <c r="H927" s="3">
        <v>7.32</v>
      </c>
      <c r="I927" s="3"/>
      <c r="J927" s="3">
        <v>0</v>
      </c>
      <c r="K927" s="3"/>
      <c r="L927" s="3"/>
      <c r="M927" s="3">
        <v>0</v>
      </c>
      <c r="N927" s="3"/>
      <c r="O927" s="3"/>
      <c r="P927" s="3"/>
      <c r="Q927" s="3"/>
      <c r="R927" s="3">
        <v>9.86</v>
      </c>
      <c r="S927" s="3"/>
      <c r="T927" s="3"/>
      <c r="U927" s="3"/>
      <c r="V927" s="3"/>
      <c r="W927" s="3"/>
    </row>
    <row r="928" spans="1:23" x14ac:dyDescent="0.25">
      <c r="A928" s="3" t="s">
        <v>2035</v>
      </c>
      <c r="B928" s="3" t="s">
        <v>1830</v>
      </c>
      <c r="C928" s="3"/>
      <c r="D928" s="3" t="s">
        <v>1831</v>
      </c>
      <c r="E928" s="3">
        <v>8.33</v>
      </c>
      <c r="F928" s="3">
        <v>0</v>
      </c>
      <c r="G928" s="3">
        <v>0</v>
      </c>
      <c r="H928" s="3">
        <v>2.08</v>
      </c>
      <c r="I928" s="3">
        <v>0</v>
      </c>
      <c r="J928" s="3">
        <v>0</v>
      </c>
      <c r="K928" s="3"/>
      <c r="L928" s="3"/>
      <c r="M928" s="3">
        <v>0</v>
      </c>
      <c r="N928" s="3"/>
      <c r="O928" s="3"/>
      <c r="P928" s="3"/>
      <c r="Q928" s="3"/>
      <c r="R928" s="3">
        <v>8.33</v>
      </c>
      <c r="S928" s="3"/>
      <c r="T928" s="3"/>
      <c r="U928" s="3"/>
      <c r="V928" s="3"/>
      <c r="W928" s="3"/>
    </row>
    <row r="929" spans="1:23" x14ac:dyDescent="0.25">
      <c r="A929" s="3" t="s">
        <v>2035</v>
      </c>
      <c r="B929" s="3" t="s">
        <v>1832</v>
      </c>
      <c r="C929" s="3"/>
      <c r="D929" s="3" t="s">
        <v>1833</v>
      </c>
      <c r="E929" s="3">
        <v>10</v>
      </c>
      <c r="F929" s="3">
        <v>0</v>
      </c>
      <c r="G929" s="3">
        <v>0</v>
      </c>
      <c r="H929" s="3">
        <v>2.5</v>
      </c>
      <c r="I929" s="3"/>
      <c r="J929" s="3"/>
      <c r="K929" s="3"/>
      <c r="L929" s="3"/>
      <c r="M929" s="3"/>
      <c r="N929" s="3"/>
      <c r="O929" s="3"/>
      <c r="P929" s="3"/>
      <c r="Q929" s="3"/>
      <c r="R929" s="3">
        <v>8.33</v>
      </c>
      <c r="S929" s="3"/>
      <c r="T929" s="3"/>
      <c r="U929" s="3"/>
      <c r="V929" s="3"/>
      <c r="W929" s="3"/>
    </row>
    <row r="930" spans="1:23" x14ac:dyDescent="0.25">
      <c r="A930" s="3" t="s">
        <v>2035</v>
      </c>
      <c r="B930" s="3" t="s">
        <v>1834</v>
      </c>
      <c r="C930" s="3"/>
      <c r="D930" s="3" t="s">
        <v>1835</v>
      </c>
      <c r="E930" s="3">
        <v>30</v>
      </c>
      <c r="F930" s="3"/>
      <c r="G930" s="3"/>
      <c r="H930" s="3">
        <v>7.5</v>
      </c>
      <c r="I930" s="3"/>
      <c r="J930" s="3"/>
      <c r="K930" s="3"/>
      <c r="L930" s="3"/>
      <c r="M930" s="3"/>
      <c r="N930" s="3"/>
      <c r="O930" s="3"/>
      <c r="P930" s="3"/>
      <c r="Q930" s="3"/>
      <c r="R930" s="3">
        <v>8.33</v>
      </c>
      <c r="S930" s="3"/>
      <c r="T930" s="3"/>
      <c r="U930" s="3"/>
      <c r="V930" s="3"/>
      <c r="W930" s="3"/>
    </row>
    <row r="931" spans="1:23" x14ac:dyDescent="0.25">
      <c r="A931" s="3" t="s">
        <v>2035</v>
      </c>
      <c r="B931" s="3" t="s">
        <v>1836</v>
      </c>
      <c r="C931" s="3"/>
      <c r="D931" s="3" t="s">
        <v>1837</v>
      </c>
      <c r="E931" s="3">
        <v>10</v>
      </c>
      <c r="F931" s="3">
        <v>0</v>
      </c>
      <c r="G931" s="3">
        <v>0</v>
      </c>
      <c r="H931" s="3">
        <v>2.5</v>
      </c>
      <c r="I931" s="3"/>
      <c r="J931" s="3"/>
      <c r="K931" s="3"/>
      <c r="L931" s="3"/>
      <c r="M931" s="3"/>
      <c r="N931" s="3"/>
      <c r="O931" s="3"/>
      <c r="P931" s="3"/>
      <c r="Q931" s="3"/>
      <c r="R931" s="3">
        <v>8.33</v>
      </c>
      <c r="S931" s="3"/>
      <c r="T931" s="3"/>
      <c r="U931" s="3"/>
      <c r="V931" s="3"/>
      <c r="W931" s="3"/>
    </row>
    <row r="932" spans="1:23" x14ac:dyDescent="0.25">
      <c r="A932" s="3" t="s">
        <v>2035</v>
      </c>
      <c r="B932" s="3" t="s">
        <v>1838</v>
      </c>
      <c r="C932" s="3"/>
      <c r="D932" s="3" t="s">
        <v>1839</v>
      </c>
      <c r="E932" s="3">
        <v>31.67</v>
      </c>
      <c r="F932" s="3"/>
      <c r="G932" s="3"/>
      <c r="H932" s="3">
        <v>7.92</v>
      </c>
      <c r="I932" s="3"/>
      <c r="J932" s="3"/>
      <c r="K932" s="3"/>
      <c r="L932" s="3"/>
      <c r="M932" s="3"/>
      <c r="N932" s="3"/>
      <c r="O932" s="3"/>
      <c r="P932" s="3"/>
      <c r="Q932" s="3"/>
      <c r="R932" s="3">
        <v>8.33</v>
      </c>
      <c r="S932" s="3"/>
      <c r="T932" s="3"/>
      <c r="U932" s="3"/>
      <c r="V932" s="3"/>
      <c r="W932" s="3"/>
    </row>
    <row r="933" spans="1:23" x14ac:dyDescent="0.25">
      <c r="A933" s="3" t="s">
        <v>2035</v>
      </c>
      <c r="B933" s="3" t="s">
        <v>1840</v>
      </c>
      <c r="C933" s="3"/>
      <c r="D933" s="3" t="s">
        <v>1841</v>
      </c>
      <c r="E933" s="3">
        <v>49.58</v>
      </c>
      <c r="F933" s="3">
        <v>0</v>
      </c>
      <c r="G933" s="3">
        <v>0</v>
      </c>
      <c r="H933" s="3">
        <v>12.39</v>
      </c>
      <c r="I933" s="3"/>
      <c r="J933" s="3"/>
      <c r="K933" s="3"/>
      <c r="L933" s="3"/>
      <c r="M933" s="3"/>
      <c r="N933" s="3"/>
      <c r="O933" s="3"/>
      <c r="P933" s="3"/>
      <c r="Q933" s="3"/>
      <c r="R933" s="3">
        <v>14.08</v>
      </c>
      <c r="S933" s="3"/>
      <c r="T933" s="3"/>
      <c r="U933" s="3"/>
      <c r="V933" s="3"/>
      <c r="W933" s="3"/>
    </row>
    <row r="934" spans="1:23" x14ac:dyDescent="0.25">
      <c r="A934" s="3" t="s">
        <v>2035</v>
      </c>
      <c r="B934" s="3" t="s">
        <v>1842</v>
      </c>
      <c r="C934" s="3"/>
      <c r="D934" s="3" t="s">
        <v>1843</v>
      </c>
      <c r="E934" s="3">
        <v>50.63</v>
      </c>
      <c r="F934" s="3">
        <v>0</v>
      </c>
      <c r="G934" s="3">
        <v>0</v>
      </c>
      <c r="H934" s="3">
        <v>12.66</v>
      </c>
      <c r="I934" s="3"/>
      <c r="J934" s="3">
        <v>0</v>
      </c>
      <c r="K934" s="3"/>
      <c r="L934" s="3"/>
      <c r="M934" s="3"/>
      <c r="N934" s="3"/>
      <c r="O934" s="3"/>
      <c r="P934" s="3"/>
      <c r="Q934" s="3"/>
      <c r="R934" s="3">
        <v>8.44</v>
      </c>
      <c r="S934" s="3"/>
      <c r="T934" s="3"/>
      <c r="U934" s="3"/>
      <c r="V934" s="3"/>
      <c r="W934" s="3"/>
    </row>
    <row r="935" spans="1:23" x14ac:dyDescent="0.25">
      <c r="A935" s="3" t="s">
        <v>2035</v>
      </c>
      <c r="B935" s="3" t="s">
        <v>1844</v>
      </c>
      <c r="C935" s="3"/>
      <c r="D935" s="3" t="s">
        <v>1845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/>
      <c r="L935" s="3"/>
      <c r="M935" s="3">
        <v>0</v>
      </c>
      <c r="N935" s="3"/>
      <c r="O935" s="3"/>
      <c r="P935" s="3"/>
      <c r="Q935" s="3"/>
      <c r="R935" s="3">
        <v>8.33</v>
      </c>
      <c r="S935" s="3"/>
      <c r="T935" s="3"/>
      <c r="U935" s="3"/>
      <c r="V935" s="3"/>
      <c r="W935" s="3"/>
    </row>
    <row r="936" spans="1:23" x14ac:dyDescent="0.25">
      <c r="A936" s="3" t="s">
        <v>2035</v>
      </c>
      <c r="B936" s="3" t="s">
        <v>1846</v>
      </c>
      <c r="C936" s="3"/>
      <c r="D936" s="3" t="s">
        <v>1847</v>
      </c>
      <c r="E936" s="3">
        <v>0</v>
      </c>
      <c r="F936" s="3">
        <v>0</v>
      </c>
      <c r="G936" s="3">
        <v>0</v>
      </c>
      <c r="H936" s="3">
        <v>0</v>
      </c>
      <c r="I936" s="3"/>
      <c r="J936" s="3">
        <v>0</v>
      </c>
      <c r="K936" s="3"/>
      <c r="L936" s="3"/>
      <c r="M936" s="3">
        <v>0</v>
      </c>
      <c r="N936" s="3"/>
      <c r="O936" s="3"/>
      <c r="P936" s="3"/>
      <c r="Q936" s="3"/>
      <c r="R936" s="3">
        <v>5</v>
      </c>
      <c r="S936" s="3"/>
      <c r="T936" s="3"/>
      <c r="U936" s="3"/>
      <c r="V936" s="3"/>
      <c r="W936" s="3"/>
    </row>
    <row r="937" spans="1:23" x14ac:dyDescent="0.25">
      <c r="A937" s="3" t="s">
        <v>2035</v>
      </c>
      <c r="B937" s="3" t="s">
        <v>1848</v>
      </c>
      <c r="C937" s="3"/>
      <c r="D937" s="3" t="s">
        <v>1849</v>
      </c>
      <c r="E937" s="3">
        <v>0</v>
      </c>
      <c r="F937" s="3">
        <v>0</v>
      </c>
      <c r="G937" s="3">
        <v>0</v>
      </c>
      <c r="H937" s="3">
        <v>0</v>
      </c>
      <c r="I937" s="3"/>
      <c r="J937" s="3">
        <v>0</v>
      </c>
      <c r="K937" s="3"/>
      <c r="L937" s="3"/>
      <c r="M937" s="3">
        <v>0</v>
      </c>
      <c r="N937" s="3"/>
      <c r="O937" s="3"/>
      <c r="P937" s="3"/>
      <c r="Q937" s="3"/>
      <c r="R937" s="3">
        <v>8.33</v>
      </c>
      <c r="S937" s="3"/>
      <c r="T937" s="3"/>
      <c r="U937" s="3"/>
      <c r="V937" s="3"/>
      <c r="W937" s="3"/>
    </row>
    <row r="938" spans="1:23" x14ac:dyDescent="0.25">
      <c r="A938" s="3" t="s">
        <v>2035</v>
      </c>
      <c r="B938" s="3" t="s">
        <v>1850</v>
      </c>
      <c r="C938" s="3"/>
      <c r="D938" s="3" t="s">
        <v>1851</v>
      </c>
      <c r="E938" s="3">
        <v>0</v>
      </c>
      <c r="F938" s="3">
        <v>0</v>
      </c>
      <c r="G938" s="3">
        <v>0</v>
      </c>
      <c r="H938" s="3">
        <v>0</v>
      </c>
      <c r="I938" s="3"/>
      <c r="J938" s="3">
        <v>0</v>
      </c>
      <c r="K938" s="3"/>
      <c r="L938" s="3"/>
      <c r="M938" s="3">
        <v>0</v>
      </c>
      <c r="N938" s="3"/>
      <c r="O938" s="3"/>
      <c r="P938" s="3"/>
      <c r="Q938" s="3"/>
      <c r="R938" s="3">
        <v>15</v>
      </c>
      <c r="S938" s="3"/>
      <c r="T938" s="3"/>
      <c r="U938" s="3"/>
      <c r="V938" s="3"/>
      <c r="W938" s="3"/>
    </row>
    <row r="939" spans="1:23" x14ac:dyDescent="0.25">
      <c r="A939" s="3" t="s">
        <v>2035</v>
      </c>
      <c r="B939" s="3" t="s">
        <v>1852</v>
      </c>
      <c r="C939" s="3"/>
      <c r="D939" s="3" t="s">
        <v>1853</v>
      </c>
      <c r="E939" s="3">
        <v>0</v>
      </c>
      <c r="F939" s="3">
        <v>0</v>
      </c>
      <c r="G939" s="3">
        <v>0</v>
      </c>
      <c r="H939" s="3">
        <v>0</v>
      </c>
      <c r="I939" s="3"/>
      <c r="J939" s="3">
        <v>0</v>
      </c>
      <c r="K939" s="3"/>
      <c r="L939" s="3"/>
      <c r="M939" s="3">
        <v>0</v>
      </c>
      <c r="N939" s="3"/>
      <c r="O939" s="3"/>
      <c r="P939" s="3"/>
      <c r="Q939" s="3"/>
      <c r="R939" s="3">
        <v>8.33</v>
      </c>
      <c r="S939" s="3"/>
      <c r="T939" s="3"/>
      <c r="U939" s="3"/>
      <c r="V939" s="3"/>
      <c r="W939" s="3"/>
    </row>
    <row r="940" spans="1:23" x14ac:dyDescent="0.25">
      <c r="A940" s="3" t="s">
        <v>2035</v>
      </c>
      <c r="B940" s="3" t="s">
        <v>1854</v>
      </c>
      <c r="C940" s="3"/>
      <c r="D940" s="3" t="s">
        <v>1855</v>
      </c>
      <c r="E940" s="3">
        <v>0</v>
      </c>
      <c r="F940" s="3">
        <v>0</v>
      </c>
      <c r="G940" s="3">
        <v>0</v>
      </c>
      <c r="H940" s="3">
        <v>0</v>
      </c>
      <c r="I940" s="3"/>
      <c r="J940" s="3">
        <v>0</v>
      </c>
      <c r="K940" s="3"/>
      <c r="L940" s="3"/>
      <c r="M940" s="3">
        <v>0</v>
      </c>
      <c r="N940" s="3"/>
      <c r="O940" s="3"/>
      <c r="P940" s="3"/>
      <c r="Q940" s="3"/>
      <c r="R940" s="3">
        <v>3.75</v>
      </c>
      <c r="S940" s="3"/>
      <c r="T940" s="3"/>
      <c r="U940" s="3"/>
      <c r="V940" s="3"/>
      <c r="W940" s="3"/>
    </row>
    <row r="941" spans="1:23" x14ac:dyDescent="0.25">
      <c r="A941" s="3" t="s">
        <v>2035</v>
      </c>
      <c r="B941" s="3" t="s">
        <v>1856</v>
      </c>
      <c r="C941" s="3"/>
      <c r="D941" s="3" t="s">
        <v>1857</v>
      </c>
      <c r="E941" s="3">
        <v>36</v>
      </c>
      <c r="F941" s="3">
        <v>0</v>
      </c>
      <c r="G941" s="3">
        <v>0</v>
      </c>
      <c r="H941" s="3">
        <v>9</v>
      </c>
      <c r="I941" s="3">
        <v>0</v>
      </c>
      <c r="J941" s="3">
        <v>0</v>
      </c>
      <c r="K941" s="3"/>
      <c r="L941" s="3"/>
      <c r="M941" s="3">
        <v>0</v>
      </c>
      <c r="N941" s="3"/>
      <c r="O941" s="3"/>
      <c r="P941" s="3"/>
      <c r="Q941" s="3"/>
      <c r="R941" s="3">
        <v>11.67</v>
      </c>
      <c r="S941" s="3"/>
      <c r="T941" s="3"/>
      <c r="U941" s="3"/>
      <c r="V941" s="3"/>
      <c r="W941" s="3"/>
    </row>
    <row r="942" spans="1:23" x14ac:dyDescent="0.25">
      <c r="A942" s="3" t="s">
        <v>2035</v>
      </c>
      <c r="B942" s="3" t="s">
        <v>1858</v>
      </c>
      <c r="C942" s="3"/>
      <c r="D942" s="3" t="s">
        <v>1859</v>
      </c>
      <c r="E942" s="3">
        <v>29.33</v>
      </c>
      <c r="F942" s="3">
        <v>0.33</v>
      </c>
      <c r="G942" s="3">
        <v>0</v>
      </c>
      <c r="H942" s="3">
        <v>7</v>
      </c>
      <c r="I942" s="3">
        <v>0</v>
      </c>
      <c r="J942" s="3">
        <v>0</v>
      </c>
      <c r="K942" s="3"/>
      <c r="L942" s="3"/>
      <c r="M942" s="3">
        <v>0</v>
      </c>
      <c r="N942" s="3"/>
      <c r="O942" s="3"/>
      <c r="P942" s="3"/>
      <c r="Q942" s="3"/>
      <c r="R942" s="3">
        <v>3.33</v>
      </c>
      <c r="S942" s="3"/>
      <c r="T942" s="3"/>
      <c r="U942" s="3"/>
      <c r="V942" s="3"/>
      <c r="W942" s="3"/>
    </row>
    <row r="943" spans="1:23" x14ac:dyDescent="0.25">
      <c r="A943" s="3" t="s">
        <v>2035</v>
      </c>
      <c r="B943" s="3" t="s">
        <v>1860</v>
      </c>
      <c r="C943" s="3"/>
      <c r="D943" s="3" t="s">
        <v>1861</v>
      </c>
      <c r="E943" s="3">
        <v>3.33</v>
      </c>
      <c r="F943" s="3">
        <v>0</v>
      </c>
      <c r="G943" s="3">
        <v>0</v>
      </c>
      <c r="H943" s="3">
        <v>0.83</v>
      </c>
      <c r="I943" s="3">
        <v>0</v>
      </c>
      <c r="J943" s="3">
        <v>0</v>
      </c>
      <c r="K943" s="3"/>
      <c r="L943" s="3"/>
      <c r="M943" s="3">
        <v>0</v>
      </c>
      <c r="N943" s="3"/>
      <c r="O943" s="3"/>
      <c r="P943" s="3"/>
      <c r="Q943" s="3"/>
      <c r="R943" s="3">
        <v>8.33</v>
      </c>
      <c r="S943" s="3"/>
      <c r="T943" s="3"/>
      <c r="U943" s="3"/>
      <c r="V943" s="3"/>
      <c r="W943" s="3"/>
    </row>
    <row r="944" spans="1:23" x14ac:dyDescent="0.25">
      <c r="A944" s="3" t="s">
        <v>2035</v>
      </c>
      <c r="B944" s="3" t="s">
        <v>1862</v>
      </c>
      <c r="C944" s="3"/>
      <c r="D944" s="3" t="s">
        <v>1863</v>
      </c>
      <c r="E944" s="3">
        <v>0</v>
      </c>
      <c r="F944" s="3">
        <v>0</v>
      </c>
      <c r="G944" s="3">
        <v>0</v>
      </c>
      <c r="H944" s="3">
        <v>0</v>
      </c>
      <c r="I944" s="3"/>
      <c r="J944" s="3">
        <v>0</v>
      </c>
      <c r="K944" s="3"/>
      <c r="L944" s="3"/>
      <c r="M944" s="3">
        <v>0</v>
      </c>
      <c r="N944" s="3"/>
      <c r="O944" s="3"/>
      <c r="P944" s="3"/>
      <c r="Q944" s="3"/>
      <c r="R944" s="3">
        <v>10</v>
      </c>
      <c r="S944" s="3"/>
      <c r="T944" s="3"/>
      <c r="U944" s="3"/>
      <c r="V944" s="3"/>
      <c r="W944" s="3"/>
    </row>
    <row r="945" spans="1:23" x14ac:dyDescent="0.25">
      <c r="A945" s="3" t="s">
        <v>2035</v>
      </c>
      <c r="B945" s="3" t="s">
        <v>1864</v>
      </c>
      <c r="C945" s="3"/>
      <c r="D945" s="3" t="s">
        <v>1865</v>
      </c>
      <c r="E945" s="3">
        <v>25</v>
      </c>
      <c r="F945" s="3">
        <v>0</v>
      </c>
      <c r="G945" s="3">
        <v>0</v>
      </c>
      <c r="H945" s="3">
        <v>6.25</v>
      </c>
      <c r="I945" s="3"/>
      <c r="J945" s="3">
        <v>0</v>
      </c>
      <c r="K945" s="3"/>
      <c r="L945" s="3"/>
      <c r="M945" s="3">
        <v>0</v>
      </c>
      <c r="N945" s="3"/>
      <c r="O945" s="3"/>
      <c r="P945" s="3"/>
      <c r="Q945" s="3"/>
      <c r="R945" s="3">
        <v>35.42</v>
      </c>
      <c r="S945" s="3"/>
      <c r="T945" s="3"/>
      <c r="U945" s="3"/>
      <c r="V945" s="3"/>
      <c r="W945" s="3"/>
    </row>
    <row r="946" spans="1:23" x14ac:dyDescent="0.25">
      <c r="A946" s="3" t="s">
        <v>2035</v>
      </c>
      <c r="B946" s="3" t="s">
        <v>1866</v>
      </c>
      <c r="C946" s="3"/>
      <c r="D946" s="3" t="s">
        <v>1867</v>
      </c>
      <c r="E946" s="3">
        <v>28.33</v>
      </c>
      <c r="F946" s="3">
        <v>0</v>
      </c>
      <c r="G946" s="3">
        <v>0</v>
      </c>
      <c r="H946" s="3">
        <v>7.08</v>
      </c>
      <c r="I946" s="3"/>
      <c r="J946" s="3"/>
      <c r="K946" s="3"/>
      <c r="L946" s="3"/>
      <c r="M946" s="3">
        <v>0</v>
      </c>
      <c r="N946" s="3"/>
      <c r="O946" s="3"/>
      <c r="P946" s="3"/>
      <c r="Q946" s="3"/>
      <c r="R946" s="3">
        <v>70.83</v>
      </c>
      <c r="S946" s="3"/>
      <c r="T946" s="3"/>
      <c r="U946" s="3"/>
      <c r="V946" s="3"/>
      <c r="W946" s="3"/>
    </row>
    <row r="947" spans="1:23" x14ac:dyDescent="0.25">
      <c r="A947" s="3" t="s">
        <v>2035</v>
      </c>
      <c r="B947" s="3" t="s">
        <v>1868</v>
      </c>
      <c r="C947" s="3"/>
      <c r="D947" s="3" t="s">
        <v>1869</v>
      </c>
      <c r="E947" s="3">
        <v>23.33</v>
      </c>
      <c r="F947" s="3">
        <v>0</v>
      </c>
      <c r="G947" s="3">
        <v>0</v>
      </c>
      <c r="H947" s="3">
        <v>5.83</v>
      </c>
      <c r="I947" s="3"/>
      <c r="J947" s="3"/>
      <c r="K947" s="3"/>
      <c r="L947" s="3"/>
      <c r="M947" s="3"/>
      <c r="N947" s="3"/>
      <c r="O947" s="3"/>
      <c r="P947" s="3"/>
      <c r="Q947" s="3">
        <v>12.5</v>
      </c>
      <c r="R947" s="3">
        <v>45.83</v>
      </c>
      <c r="S947" s="3"/>
      <c r="T947" s="3"/>
      <c r="U947" s="3"/>
      <c r="V947" s="3"/>
      <c r="W947" s="3"/>
    </row>
    <row r="948" spans="1:23" x14ac:dyDescent="0.25">
      <c r="A948" s="3" t="s">
        <v>2035</v>
      </c>
      <c r="B948" s="3" t="s">
        <v>1870</v>
      </c>
      <c r="C948" s="3"/>
      <c r="D948" s="3" t="s">
        <v>1871</v>
      </c>
      <c r="E948" s="3">
        <v>0</v>
      </c>
      <c r="F948" s="3">
        <v>0</v>
      </c>
      <c r="G948" s="3">
        <v>0</v>
      </c>
      <c r="H948" s="3">
        <v>0</v>
      </c>
      <c r="I948" s="3"/>
      <c r="J948" s="3">
        <v>0</v>
      </c>
      <c r="K948" s="3"/>
      <c r="L948" s="3"/>
      <c r="M948" s="3">
        <v>0</v>
      </c>
      <c r="N948" s="3"/>
      <c r="O948" s="3"/>
      <c r="P948" s="3"/>
      <c r="Q948" s="3"/>
      <c r="R948" s="3">
        <v>42</v>
      </c>
      <c r="S948" s="3"/>
      <c r="T948" s="3"/>
      <c r="U948" s="3"/>
      <c r="V948" s="3"/>
      <c r="W948" s="3"/>
    </row>
    <row r="949" spans="1:23" x14ac:dyDescent="0.25">
      <c r="A949" s="3" t="s">
        <v>2035</v>
      </c>
      <c r="B949" s="3" t="s">
        <v>1872</v>
      </c>
      <c r="C949" s="3"/>
      <c r="D949" s="3" t="s">
        <v>1873</v>
      </c>
      <c r="E949" s="3">
        <v>0</v>
      </c>
      <c r="F949" s="3">
        <v>0</v>
      </c>
      <c r="G949" s="3">
        <v>0</v>
      </c>
      <c r="H949" s="3">
        <v>0</v>
      </c>
      <c r="I949" s="3"/>
      <c r="J949" s="3">
        <v>0</v>
      </c>
      <c r="K949" s="3"/>
      <c r="L949" s="3"/>
      <c r="M949" s="3">
        <v>0</v>
      </c>
      <c r="N949" s="3"/>
      <c r="O949" s="3"/>
      <c r="P949" s="3"/>
      <c r="Q949" s="3">
        <v>12.5</v>
      </c>
      <c r="R949" s="3">
        <v>50</v>
      </c>
      <c r="S949" s="3"/>
      <c r="T949" s="3"/>
      <c r="U949" s="3"/>
      <c r="V949" s="3"/>
      <c r="W949" s="3"/>
    </row>
    <row r="950" spans="1:23" x14ac:dyDescent="0.25">
      <c r="A950" s="3" t="s">
        <v>2035</v>
      </c>
      <c r="B950" s="3" t="s">
        <v>1874</v>
      </c>
      <c r="C950" s="3"/>
      <c r="D950" s="3" t="s">
        <v>1875</v>
      </c>
      <c r="E950" s="3">
        <v>23.33</v>
      </c>
      <c r="F950" s="3">
        <v>0</v>
      </c>
      <c r="G950" s="3">
        <v>0</v>
      </c>
      <c r="H950" s="3">
        <v>5.83</v>
      </c>
      <c r="I950" s="3"/>
      <c r="J950" s="3">
        <v>0</v>
      </c>
      <c r="K950" s="3"/>
      <c r="L950" s="3"/>
      <c r="M950" s="3">
        <v>0</v>
      </c>
      <c r="N950" s="3"/>
      <c r="O950" s="3"/>
      <c r="P950" s="3"/>
      <c r="Q950" s="3">
        <v>12.5</v>
      </c>
      <c r="R950" s="3">
        <v>45.83</v>
      </c>
      <c r="S950" s="3"/>
      <c r="T950" s="3"/>
      <c r="U950" s="3"/>
      <c r="V950" s="3"/>
      <c r="W950" s="3"/>
    </row>
    <row r="951" spans="1:23" x14ac:dyDescent="0.25">
      <c r="A951" s="3" t="s">
        <v>2035</v>
      </c>
      <c r="B951" s="3" t="s">
        <v>1876</v>
      </c>
      <c r="C951" s="3"/>
      <c r="D951" s="3" t="s">
        <v>1877</v>
      </c>
      <c r="E951" s="3">
        <v>84.4</v>
      </c>
      <c r="F951" s="3">
        <v>2.4</v>
      </c>
      <c r="G951" s="3">
        <v>2.8</v>
      </c>
      <c r="H951" s="3">
        <v>12.4</v>
      </c>
      <c r="I951" s="3">
        <v>0</v>
      </c>
      <c r="J951" s="3">
        <v>1.6</v>
      </c>
      <c r="K951" s="3">
        <v>1</v>
      </c>
      <c r="L951" s="3">
        <v>0.2</v>
      </c>
      <c r="M951" s="3">
        <v>8</v>
      </c>
      <c r="N951" s="3"/>
      <c r="O951" s="3"/>
      <c r="P951" s="3"/>
      <c r="Q951" s="3"/>
      <c r="R951" s="3">
        <v>40</v>
      </c>
      <c r="S951" s="3"/>
      <c r="T951" s="3"/>
      <c r="U951" s="3"/>
      <c r="V951" s="3"/>
      <c r="W951" s="3"/>
    </row>
    <row r="952" spans="1:23" x14ac:dyDescent="0.25">
      <c r="A952" s="3" t="s">
        <v>2035</v>
      </c>
      <c r="B952" s="3" t="s">
        <v>1878</v>
      </c>
      <c r="C952" s="3"/>
      <c r="D952" s="3" t="s">
        <v>1879</v>
      </c>
      <c r="E952" s="3">
        <v>30.4</v>
      </c>
      <c r="F952" s="3">
        <v>0.4</v>
      </c>
      <c r="G952" s="3">
        <v>0</v>
      </c>
      <c r="H952" s="3">
        <v>7.2</v>
      </c>
      <c r="I952" s="3">
        <v>0.8</v>
      </c>
      <c r="J952" s="3">
        <v>0</v>
      </c>
      <c r="K952" s="3"/>
      <c r="L952" s="3"/>
      <c r="M952" s="3">
        <v>0</v>
      </c>
      <c r="N952" s="3"/>
      <c r="O952" s="3"/>
      <c r="P952" s="3"/>
      <c r="Q952" s="3"/>
      <c r="R952" s="3">
        <v>6.4</v>
      </c>
      <c r="S952" s="3"/>
      <c r="T952" s="3"/>
      <c r="U952" s="3"/>
      <c r="V952" s="3"/>
      <c r="W952" s="3"/>
    </row>
    <row r="953" spans="1:23" x14ac:dyDescent="0.25">
      <c r="A953" s="3" t="s">
        <v>2035</v>
      </c>
      <c r="B953" s="3" t="s">
        <v>1880</v>
      </c>
      <c r="C953" s="3"/>
      <c r="D953" s="3" t="s">
        <v>1881</v>
      </c>
      <c r="E953" s="3">
        <v>32.14</v>
      </c>
      <c r="F953" s="3">
        <v>0</v>
      </c>
      <c r="G953" s="3">
        <v>0</v>
      </c>
      <c r="H953" s="3">
        <v>8.0299999999999994</v>
      </c>
      <c r="I953" s="3"/>
      <c r="J953" s="3"/>
      <c r="K953" s="3"/>
      <c r="L953" s="3"/>
      <c r="M953" s="3"/>
      <c r="N953" s="3"/>
      <c r="O953" s="3"/>
      <c r="P953" s="3"/>
      <c r="Q953" s="3"/>
      <c r="R953" s="3">
        <v>50.74</v>
      </c>
      <c r="S953" s="3"/>
      <c r="T953" s="3"/>
      <c r="U953" s="3"/>
      <c r="V953" s="3"/>
      <c r="W953" s="3"/>
    </row>
    <row r="954" spans="1:23" x14ac:dyDescent="0.25">
      <c r="A954" s="3" t="s">
        <v>2035</v>
      </c>
      <c r="B954" s="3" t="s">
        <v>1882</v>
      </c>
      <c r="C954" s="3"/>
      <c r="D954" s="3" t="s">
        <v>1883</v>
      </c>
      <c r="E954" s="3">
        <v>32.43</v>
      </c>
      <c r="F954" s="3">
        <v>0</v>
      </c>
      <c r="G954" s="3">
        <v>0</v>
      </c>
      <c r="H954" s="3">
        <v>8.11</v>
      </c>
      <c r="I954" s="3"/>
      <c r="J954" s="3">
        <v>0</v>
      </c>
      <c r="K954" s="3"/>
      <c r="L954" s="3"/>
      <c r="M954" s="3">
        <v>0</v>
      </c>
      <c r="N954" s="3"/>
      <c r="O954" s="3"/>
      <c r="P954" s="3"/>
      <c r="Q954" s="3"/>
      <c r="R954" s="3">
        <v>8.11</v>
      </c>
      <c r="S954" s="3"/>
      <c r="T954" s="3"/>
      <c r="U954" s="3"/>
      <c r="V954" s="3"/>
      <c r="W954" s="3"/>
    </row>
    <row r="955" spans="1:23" x14ac:dyDescent="0.25">
      <c r="A955" s="3" t="s">
        <v>2035</v>
      </c>
      <c r="B955" s="3" t="s">
        <v>1884</v>
      </c>
      <c r="C955" s="3"/>
      <c r="D955" s="3" t="s">
        <v>1885</v>
      </c>
      <c r="E955" s="3">
        <v>17.5</v>
      </c>
      <c r="F955" s="3">
        <v>0</v>
      </c>
      <c r="G955" s="3">
        <v>0</v>
      </c>
      <c r="H955" s="3">
        <v>4.38</v>
      </c>
      <c r="I955" s="3">
        <v>1.56</v>
      </c>
      <c r="J955" s="3">
        <v>0</v>
      </c>
      <c r="K955" s="3"/>
      <c r="L955" s="3"/>
      <c r="M955" s="3">
        <v>0</v>
      </c>
      <c r="N955" s="3"/>
      <c r="O955" s="3"/>
      <c r="P955" s="3"/>
      <c r="Q955" s="3"/>
      <c r="R955" s="3">
        <v>15.63</v>
      </c>
      <c r="S955" s="3"/>
      <c r="T955" s="3"/>
      <c r="U955" s="3"/>
      <c r="V955" s="3"/>
      <c r="W955" s="3"/>
    </row>
    <row r="956" spans="1:23" x14ac:dyDescent="0.25">
      <c r="A956" s="3" t="s">
        <v>2035</v>
      </c>
      <c r="B956" s="3" t="s">
        <v>1886</v>
      </c>
      <c r="C956" s="3"/>
      <c r="D956" s="3" t="s">
        <v>1887</v>
      </c>
      <c r="E956" s="3">
        <v>8</v>
      </c>
      <c r="F956" s="3">
        <v>0</v>
      </c>
      <c r="G956" s="3">
        <v>0</v>
      </c>
      <c r="H956" s="3">
        <v>2</v>
      </c>
      <c r="I956" s="3"/>
      <c r="J956" s="3">
        <v>0</v>
      </c>
      <c r="K956" s="3"/>
      <c r="L956" s="3"/>
      <c r="M956" s="3">
        <v>0</v>
      </c>
      <c r="N956" s="3"/>
      <c r="O956" s="3"/>
      <c r="P956" s="3"/>
      <c r="Q956" s="3"/>
      <c r="R956" s="3">
        <v>15</v>
      </c>
      <c r="S956" s="3"/>
      <c r="T956" s="3"/>
      <c r="U956" s="3"/>
      <c r="V956" s="3"/>
      <c r="W956" s="3"/>
    </row>
    <row r="957" spans="1:23" x14ac:dyDescent="0.25">
      <c r="A957" s="3" t="s">
        <v>2035</v>
      </c>
      <c r="B957" s="3" t="s">
        <v>1888</v>
      </c>
      <c r="C957" s="3"/>
      <c r="D957" s="3" t="s">
        <v>1889</v>
      </c>
      <c r="E957" s="3">
        <v>43.33</v>
      </c>
      <c r="F957" s="3"/>
      <c r="G957" s="3"/>
      <c r="H957" s="3">
        <v>10.83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x14ac:dyDescent="0.25">
      <c r="A958" s="3" t="s">
        <v>2035</v>
      </c>
      <c r="B958" s="3" t="s">
        <v>1890</v>
      </c>
      <c r="C958" s="3"/>
      <c r="D958" s="3" t="s">
        <v>1891</v>
      </c>
      <c r="E958" s="3">
        <v>8</v>
      </c>
      <c r="F958" s="3">
        <v>0</v>
      </c>
      <c r="G958" s="3">
        <v>0</v>
      </c>
      <c r="H958" s="3">
        <v>2</v>
      </c>
      <c r="I958" s="3"/>
      <c r="J958" s="3">
        <v>0</v>
      </c>
      <c r="K958" s="3"/>
      <c r="L958" s="3"/>
      <c r="M958" s="3">
        <v>0</v>
      </c>
      <c r="N958" s="3"/>
      <c r="O958" s="3"/>
      <c r="P958" s="3"/>
      <c r="Q958" s="3"/>
      <c r="R958" s="3">
        <v>10</v>
      </c>
      <c r="S958" s="3"/>
      <c r="T958" s="3"/>
      <c r="U958" s="3"/>
      <c r="V958" s="3"/>
      <c r="W958" s="3"/>
    </row>
    <row r="959" spans="1:23" x14ac:dyDescent="0.25">
      <c r="A959" s="3" t="s">
        <v>2035</v>
      </c>
      <c r="B959" s="3" t="s">
        <v>1892</v>
      </c>
      <c r="C959" s="3"/>
      <c r="D959" s="3" t="s">
        <v>1893</v>
      </c>
      <c r="E959" s="3">
        <v>16</v>
      </c>
      <c r="F959" s="3">
        <v>0</v>
      </c>
      <c r="G959" s="3">
        <v>0</v>
      </c>
      <c r="H959" s="3">
        <v>4</v>
      </c>
      <c r="I959" s="3">
        <v>0</v>
      </c>
      <c r="J959" s="3">
        <v>0</v>
      </c>
      <c r="K959" s="3"/>
      <c r="L959" s="3"/>
      <c r="M959" s="3">
        <v>0</v>
      </c>
      <c r="N959" s="3"/>
      <c r="O959" s="3"/>
      <c r="P959" s="3"/>
      <c r="Q959" s="3"/>
      <c r="R959" s="3">
        <v>0</v>
      </c>
      <c r="S959" s="3"/>
      <c r="T959" s="3"/>
      <c r="U959" s="3"/>
      <c r="V959" s="3"/>
      <c r="W959" s="3"/>
    </row>
    <row r="960" spans="1:23" x14ac:dyDescent="0.25">
      <c r="A960" s="3" t="s">
        <v>2035</v>
      </c>
      <c r="B960" s="3" t="s">
        <v>1894</v>
      </c>
      <c r="C960" s="3"/>
      <c r="D960" s="3" t="s">
        <v>1895</v>
      </c>
      <c r="E960" s="3">
        <v>49.58</v>
      </c>
      <c r="F960" s="3">
        <v>0.42</v>
      </c>
      <c r="G960" s="3">
        <v>1.25</v>
      </c>
      <c r="H960" s="3">
        <v>9.17</v>
      </c>
      <c r="I960" s="3">
        <v>0.42</v>
      </c>
      <c r="J960" s="3">
        <v>0.42</v>
      </c>
      <c r="K960" s="3">
        <v>0.42</v>
      </c>
      <c r="L960" s="3">
        <v>0.42</v>
      </c>
      <c r="M960" s="3">
        <v>0</v>
      </c>
      <c r="N960" s="3"/>
      <c r="O960" s="3"/>
      <c r="P960" s="3"/>
      <c r="Q960" s="3"/>
      <c r="R960" s="3">
        <v>8.33</v>
      </c>
      <c r="S960" s="3"/>
      <c r="T960" s="3"/>
      <c r="U960" s="3"/>
      <c r="V960" s="3"/>
      <c r="W960" s="3"/>
    </row>
    <row r="961" spans="1:23" x14ac:dyDescent="0.25">
      <c r="A961" s="3" t="s">
        <v>2035</v>
      </c>
      <c r="B961" s="3" t="s">
        <v>1896</v>
      </c>
      <c r="C961" s="3"/>
      <c r="D961" s="3" t="s">
        <v>1897</v>
      </c>
      <c r="E961" s="3">
        <v>42.5</v>
      </c>
      <c r="F961" s="3">
        <v>0.5</v>
      </c>
      <c r="G961" s="3">
        <v>0.5</v>
      </c>
      <c r="H961" s="3">
        <v>9</v>
      </c>
      <c r="I961" s="3">
        <v>0</v>
      </c>
      <c r="J961" s="3">
        <v>0</v>
      </c>
      <c r="K961" s="3"/>
      <c r="L961" s="3"/>
      <c r="M961" s="3">
        <v>0</v>
      </c>
      <c r="N961" s="3"/>
      <c r="O961" s="3"/>
      <c r="P961" s="3"/>
      <c r="Q961" s="3"/>
      <c r="R961" s="3">
        <v>15</v>
      </c>
      <c r="S961" s="3"/>
      <c r="T961" s="3"/>
      <c r="U961" s="3"/>
      <c r="V961" s="3"/>
      <c r="W961" s="3"/>
    </row>
    <row r="962" spans="1:23" x14ac:dyDescent="0.25">
      <c r="A962" s="3" t="s">
        <v>2035</v>
      </c>
      <c r="B962" s="3" t="s">
        <v>1898</v>
      </c>
      <c r="C962" s="3"/>
      <c r="D962" s="3" t="s">
        <v>1899</v>
      </c>
      <c r="E962" s="3">
        <v>59.6</v>
      </c>
      <c r="F962" s="3">
        <v>0.8</v>
      </c>
      <c r="G962" s="3">
        <v>0.4</v>
      </c>
      <c r="H962" s="3">
        <v>13.2</v>
      </c>
      <c r="I962" s="3">
        <v>0.4</v>
      </c>
      <c r="J962" s="3">
        <v>0.2</v>
      </c>
      <c r="K962" s="3">
        <v>0.2</v>
      </c>
      <c r="L962" s="3">
        <v>0</v>
      </c>
      <c r="M962" s="3">
        <v>0</v>
      </c>
      <c r="N962" s="3"/>
      <c r="O962" s="3"/>
      <c r="P962" s="3"/>
      <c r="Q962" s="3"/>
      <c r="R962" s="3">
        <v>10</v>
      </c>
      <c r="S962" s="3"/>
      <c r="T962" s="3"/>
      <c r="U962" s="3"/>
      <c r="V962" s="3"/>
      <c r="W962" s="3"/>
    </row>
    <row r="963" spans="1:23" x14ac:dyDescent="0.25">
      <c r="A963" s="3" t="s">
        <v>2035</v>
      </c>
      <c r="B963" s="3" t="s">
        <v>1900</v>
      </c>
      <c r="C963" s="3"/>
      <c r="D963" s="3" t="s">
        <v>1901</v>
      </c>
      <c r="E963" s="3">
        <v>21.33</v>
      </c>
      <c r="F963" s="3">
        <v>1</v>
      </c>
      <c r="G963" s="3">
        <v>1.33</v>
      </c>
      <c r="H963" s="3">
        <v>1.33</v>
      </c>
      <c r="I963" s="3">
        <v>1.33</v>
      </c>
      <c r="J963" s="3">
        <v>0.33</v>
      </c>
      <c r="K963" s="3">
        <v>0</v>
      </c>
      <c r="L963" s="3">
        <v>1</v>
      </c>
      <c r="M963" s="3">
        <v>0</v>
      </c>
      <c r="N963" s="3"/>
      <c r="O963" s="3"/>
      <c r="P963" s="3"/>
      <c r="Q963" s="3"/>
      <c r="R963" s="3">
        <v>0</v>
      </c>
      <c r="S963" s="3"/>
      <c r="T963" s="3"/>
      <c r="U963" s="3"/>
      <c r="V963" s="3"/>
      <c r="W963" s="3"/>
    </row>
    <row r="964" spans="1:23" x14ac:dyDescent="0.25">
      <c r="A964" s="3" t="s">
        <v>2035</v>
      </c>
      <c r="B964" s="3" t="s">
        <v>1902</v>
      </c>
      <c r="C964" s="3"/>
      <c r="D964" s="3" t="s">
        <v>1903</v>
      </c>
      <c r="E964" s="3">
        <v>21.33</v>
      </c>
      <c r="F964" s="3">
        <v>1</v>
      </c>
      <c r="G964" s="3">
        <v>1.33</v>
      </c>
      <c r="H964" s="3">
        <v>1.33</v>
      </c>
      <c r="I964" s="3">
        <v>1.33</v>
      </c>
      <c r="J964" s="3">
        <v>0.33</v>
      </c>
      <c r="K964" s="3">
        <v>0</v>
      </c>
      <c r="L964" s="3">
        <v>1</v>
      </c>
      <c r="M964" s="3">
        <v>0</v>
      </c>
      <c r="N964" s="3"/>
      <c r="O964" s="3"/>
      <c r="P964" s="3"/>
      <c r="Q964" s="3"/>
      <c r="R964" s="3">
        <v>0</v>
      </c>
      <c r="S964" s="3"/>
      <c r="T964" s="3"/>
      <c r="U964" s="3"/>
      <c r="V964" s="3"/>
      <c r="W964" s="3"/>
    </row>
    <row r="965" spans="1:23" x14ac:dyDescent="0.25">
      <c r="A965" s="3" t="s">
        <v>2035</v>
      </c>
      <c r="B965" s="3" t="s">
        <v>1904</v>
      </c>
      <c r="C965" s="3"/>
      <c r="D965" s="3" t="s">
        <v>1905</v>
      </c>
      <c r="E965" s="3">
        <v>16.670000000000002</v>
      </c>
      <c r="F965" s="3"/>
      <c r="G965" s="3"/>
      <c r="H965" s="3">
        <v>4.17</v>
      </c>
      <c r="I965" s="3"/>
      <c r="J965" s="3"/>
      <c r="K965" s="3"/>
      <c r="L965" s="3"/>
      <c r="M965" s="3"/>
      <c r="N965" s="3"/>
      <c r="O965" s="3"/>
      <c r="P965" s="3"/>
      <c r="Q965" s="3"/>
      <c r="R965" s="3">
        <v>2.08</v>
      </c>
      <c r="S965" s="3"/>
      <c r="T965" s="3"/>
      <c r="U965" s="3"/>
      <c r="V965" s="3"/>
      <c r="W965" s="3"/>
    </row>
    <row r="966" spans="1:23" x14ac:dyDescent="0.25">
      <c r="A966" s="3" t="s">
        <v>2035</v>
      </c>
      <c r="B966" s="3" t="s">
        <v>1906</v>
      </c>
      <c r="C966" s="3"/>
      <c r="D966" s="3" t="s">
        <v>1907</v>
      </c>
      <c r="E966" s="3">
        <v>73.33</v>
      </c>
      <c r="F966" s="3">
        <v>0.42</v>
      </c>
      <c r="G966" s="3">
        <v>1.67</v>
      </c>
      <c r="H966" s="3">
        <v>14.17</v>
      </c>
      <c r="I966" s="3">
        <v>0</v>
      </c>
      <c r="J966" s="3">
        <v>0</v>
      </c>
      <c r="K966" s="3"/>
      <c r="L966" s="3"/>
      <c r="M966" s="3">
        <v>0</v>
      </c>
      <c r="N966" s="3"/>
      <c r="O966" s="3"/>
      <c r="P966" s="3"/>
      <c r="Q966" s="3"/>
      <c r="R966" s="3">
        <v>112.5</v>
      </c>
      <c r="S966" s="3"/>
      <c r="T966" s="3"/>
      <c r="U966" s="3"/>
      <c r="V966" s="3"/>
      <c r="W966" s="3"/>
    </row>
    <row r="967" spans="1:23" x14ac:dyDescent="0.25">
      <c r="A967" s="3" t="s">
        <v>2035</v>
      </c>
      <c r="B967" s="3" t="s">
        <v>1908</v>
      </c>
      <c r="C967" s="3"/>
      <c r="D967" s="3" t="s">
        <v>1909</v>
      </c>
      <c r="E967" s="3">
        <v>34</v>
      </c>
      <c r="F967" s="3">
        <v>0.5</v>
      </c>
      <c r="G967" s="3">
        <v>2</v>
      </c>
      <c r="H967" s="3">
        <v>3.5</v>
      </c>
      <c r="I967" s="3">
        <v>0</v>
      </c>
      <c r="J967" s="3">
        <v>2</v>
      </c>
      <c r="K967" s="3">
        <v>0</v>
      </c>
      <c r="L967" s="3">
        <v>0</v>
      </c>
      <c r="M967" s="3">
        <v>0</v>
      </c>
      <c r="N967" s="3">
        <v>122</v>
      </c>
      <c r="O967" s="3"/>
      <c r="P967" s="3"/>
      <c r="Q967" s="3"/>
      <c r="R967" s="3">
        <v>45</v>
      </c>
      <c r="S967" s="3"/>
      <c r="T967" s="3"/>
      <c r="U967" s="3"/>
      <c r="V967" s="3"/>
      <c r="W967" s="3"/>
    </row>
    <row r="968" spans="1:23" x14ac:dyDescent="0.25">
      <c r="A968" s="3" t="s">
        <v>2035</v>
      </c>
      <c r="B968" s="3" t="s">
        <v>1910</v>
      </c>
      <c r="C968" s="3"/>
      <c r="D968" s="3" t="s">
        <v>1911</v>
      </c>
      <c r="E968" s="3">
        <v>3.33</v>
      </c>
      <c r="F968" s="3">
        <v>0</v>
      </c>
      <c r="G968" s="3">
        <v>0</v>
      </c>
      <c r="H968" s="3">
        <v>0.83</v>
      </c>
      <c r="I968" s="3"/>
      <c r="J968" s="3">
        <v>0</v>
      </c>
      <c r="K968" s="3"/>
      <c r="L968" s="3"/>
      <c r="M968" s="3">
        <v>0</v>
      </c>
      <c r="N968" s="3"/>
      <c r="O968" s="3"/>
      <c r="P968" s="3"/>
      <c r="Q968" s="3"/>
      <c r="R968" s="3">
        <v>8.33</v>
      </c>
      <c r="S968" s="3"/>
      <c r="T968" s="3"/>
      <c r="U968" s="3"/>
      <c r="V968" s="3"/>
      <c r="W968" s="3"/>
    </row>
    <row r="969" spans="1:23" x14ac:dyDescent="0.25">
      <c r="A969" s="3" t="s">
        <v>2035</v>
      </c>
      <c r="B969" s="3" t="s">
        <v>1912</v>
      </c>
      <c r="C969" s="3"/>
      <c r="D969" s="3" t="s">
        <v>1913</v>
      </c>
      <c r="E969" s="3">
        <v>36</v>
      </c>
      <c r="F969" s="3">
        <v>0</v>
      </c>
      <c r="G969" s="3">
        <v>0</v>
      </c>
      <c r="H969" s="3">
        <v>9</v>
      </c>
      <c r="I969" s="3">
        <v>0</v>
      </c>
      <c r="J969" s="3">
        <v>0</v>
      </c>
      <c r="K969" s="3"/>
      <c r="L969" s="3"/>
      <c r="M969" s="3">
        <v>0</v>
      </c>
      <c r="N969" s="3"/>
      <c r="O969" s="3"/>
      <c r="P969" s="3"/>
      <c r="Q969" s="3"/>
      <c r="R969" s="3">
        <v>0</v>
      </c>
      <c r="S969" s="3"/>
      <c r="T969" s="3"/>
      <c r="U969" s="3"/>
      <c r="V969" s="3"/>
      <c r="W969" s="3"/>
    </row>
    <row r="970" spans="1:23" x14ac:dyDescent="0.25">
      <c r="A970" s="3" t="s">
        <v>2035</v>
      </c>
      <c r="B970" s="3" t="s">
        <v>1914</v>
      </c>
      <c r="C970" s="3"/>
      <c r="D970" s="3" t="s">
        <v>1915</v>
      </c>
      <c r="E970" s="3">
        <v>12</v>
      </c>
      <c r="F970" s="3">
        <v>0</v>
      </c>
      <c r="G970" s="3">
        <v>0</v>
      </c>
      <c r="H970" s="3">
        <v>3</v>
      </c>
      <c r="I970" s="3">
        <v>0</v>
      </c>
      <c r="J970" s="3">
        <v>0</v>
      </c>
      <c r="K970" s="3"/>
      <c r="L970" s="3"/>
      <c r="M970" s="3">
        <v>0</v>
      </c>
      <c r="N970" s="3"/>
      <c r="O970" s="3"/>
      <c r="P970" s="3"/>
      <c r="Q970" s="3"/>
      <c r="R970" s="3">
        <v>0.33</v>
      </c>
      <c r="S970" s="3"/>
      <c r="T970" s="3"/>
      <c r="U970" s="3"/>
      <c r="V970" s="3"/>
      <c r="W970" s="3"/>
    </row>
    <row r="971" spans="1:23" x14ac:dyDescent="0.25">
      <c r="A971" s="3" t="s">
        <v>2035</v>
      </c>
      <c r="B971" s="3" t="s">
        <v>1916</v>
      </c>
      <c r="C971" s="3"/>
      <c r="D971" s="3" t="s">
        <v>1917</v>
      </c>
      <c r="E971" s="3">
        <v>31.67</v>
      </c>
      <c r="F971" s="3">
        <v>0</v>
      </c>
      <c r="G971" s="3">
        <v>0</v>
      </c>
      <c r="H971" s="3">
        <v>7.92</v>
      </c>
      <c r="I971" s="3">
        <v>0</v>
      </c>
      <c r="J971" s="3">
        <v>0</v>
      </c>
      <c r="K971" s="3"/>
      <c r="L971" s="3"/>
      <c r="M971" s="3">
        <v>0</v>
      </c>
      <c r="N971" s="3"/>
      <c r="O971" s="3"/>
      <c r="P971" s="3"/>
      <c r="Q971" s="3"/>
      <c r="R971" s="3">
        <v>6.25</v>
      </c>
      <c r="S971" s="3"/>
      <c r="T971" s="3"/>
      <c r="U971" s="3"/>
      <c r="V971" s="3"/>
      <c r="W971" s="3"/>
    </row>
    <row r="972" spans="1:23" x14ac:dyDescent="0.25">
      <c r="A972" s="3" t="s">
        <v>2035</v>
      </c>
      <c r="B972" s="3" t="s">
        <v>1918</v>
      </c>
      <c r="C972" s="3"/>
      <c r="D972" s="3" t="s">
        <v>1919</v>
      </c>
      <c r="E972" s="3">
        <v>32</v>
      </c>
      <c r="F972" s="3">
        <v>0</v>
      </c>
      <c r="G972" s="3">
        <v>0</v>
      </c>
      <c r="H972" s="3">
        <v>8</v>
      </c>
      <c r="I972" s="3"/>
      <c r="J972" s="3">
        <v>0</v>
      </c>
      <c r="K972" s="3"/>
      <c r="L972" s="3"/>
      <c r="M972" s="3">
        <v>0</v>
      </c>
      <c r="N972" s="3"/>
      <c r="O972" s="3"/>
      <c r="P972" s="3"/>
      <c r="Q972" s="3"/>
      <c r="R972" s="3">
        <v>7.5</v>
      </c>
      <c r="S972" s="3"/>
      <c r="T972" s="3"/>
      <c r="U972" s="3"/>
      <c r="V972" s="3"/>
      <c r="W972" s="3"/>
    </row>
    <row r="973" spans="1:23" x14ac:dyDescent="0.25">
      <c r="A973" s="3" t="s">
        <v>2035</v>
      </c>
      <c r="B973" s="3" t="s">
        <v>1920</v>
      </c>
      <c r="C973" s="3"/>
      <c r="D973" s="3" t="s">
        <v>1921</v>
      </c>
      <c r="E973" s="3">
        <v>32</v>
      </c>
      <c r="F973" s="3">
        <v>0</v>
      </c>
      <c r="G973" s="3">
        <v>0</v>
      </c>
      <c r="H973" s="3">
        <v>8</v>
      </c>
      <c r="I973" s="3"/>
      <c r="J973" s="3">
        <v>0</v>
      </c>
      <c r="K973" s="3"/>
      <c r="L973" s="3"/>
      <c r="M973" s="3">
        <v>0</v>
      </c>
      <c r="N973" s="3"/>
      <c r="O973" s="3"/>
      <c r="P973" s="3"/>
      <c r="Q973" s="3"/>
      <c r="R973" s="3">
        <v>7.5</v>
      </c>
      <c r="S973" s="3"/>
      <c r="T973" s="3"/>
      <c r="U973" s="3"/>
      <c r="V973" s="3"/>
      <c r="W973" s="3"/>
    </row>
    <row r="974" spans="1:23" x14ac:dyDescent="0.25">
      <c r="A974" s="3" t="s">
        <v>2035</v>
      </c>
      <c r="B974" s="3" t="s">
        <v>1922</v>
      </c>
      <c r="C974" s="3"/>
      <c r="D974" s="3" t="s">
        <v>1923</v>
      </c>
      <c r="E974" s="3">
        <v>1.67</v>
      </c>
      <c r="F974" s="3">
        <v>0</v>
      </c>
      <c r="G974" s="3">
        <v>0</v>
      </c>
      <c r="H974" s="3">
        <v>0.42</v>
      </c>
      <c r="I974" s="3"/>
      <c r="J974" s="3">
        <v>0</v>
      </c>
      <c r="K974" s="3"/>
      <c r="L974" s="3"/>
      <c r="M974" s="3">
        <v>0</v>
      </c>
      <c r="N974" s="3"/>
      <c r="O974" s="3"/>
      <c r="P974" s="3"/>
      <c r="Q974" s="3"/>
      <c r="R974" s="3">
        <v>8.33</v>
      </c>
      <c r="S974" s="3"/>
      <c r="T974" s="3"/>
      <c r="U974" s="3"/>
      <c r="V974" s="3"/>
      <c r="W974" s="3"/>
    </row>
    <row r="975" spans="1:23" x14ac:dyDescent="0.25">
      <c r="A975" s="3" t="s">
        <v>2035</v>
      </c>
      <c r="B975" s="3" t="s">
        <v>1924</v>
      </c>
      <c r="C975" s="3"/>
      <c r="D975" s="3" t="s">
        <v>1925</v>
      </c>
      <c r="E975" s="3">
        <v>35.6</v>
      </c>
      <c r="F975" s="3">
        <v>0.8</v>
      </c>
      <c r="G975" s="3">
        <v>0.4</v>
      </c>
      <c r="H975" s="3">
        <v>7.2</v>
      </c>
      <c r="I975" s="3">
        <v>0.4</v>
      </c>
      <c r="J975" s="3">
        <v>0.1</v>
      </c>
      <c r="K975" s="3">
        <v>0.1</v>
      </c>
      <c r="L975" s="3">
        <v>0.2</v>
      </c>
      <c r="M975" s="3"/>
      <c r="N975" s="3"/>
      <c r="O975" s="3"/>
      <c r="P975" s="3"/>
      <c r="Q975" s="3"/>
      <c r="R975" s="3">
        <v>12</v>
      </c>
      <c r="S975" s="3"/>
      <c r="T975" s="3">
        <v>6</v>
      </c>
      <c r="U975" s="3"/>
      <c r="V975" s="3"/>
      <c r="W975" s="3"/>
    </row>
    <row r="976" spans="1:23" x14ac:dyDescent="0.25">
      <c r="A976" s="3" t="s">
        <v>2035</v>
      </c>
      <c r="B976" s="3" t="s">
        <v>1926</v>
      </c>
      <c r="C976" s="3"/>
      <c r="D976" s="3" t="s">
        <v>1927</v>
      </c>
      <c r="E976" s="3">
        <v>3.33</v>
      </c>
      <c r="F976" s="3">
        <v>0</v>
      </c>
      <c r="G976" s="3">
        <v>0</v>
      </c>
      <c r="H976" s="3">
        <v>0.83</v>
      </c>
      <c r="I976" s="3">
        <v>0</v>
      </c>
      <c r="J976" s="3">
        <v>0</v>
      </c>
      <c r="K976" s="3"/>
      <c r="L976" s="3"/>
      <c r="M976" s="3">
        <v>0</v>
      </c>
      <c r="N976" s="3"/>
      <c r="O976" s="3"/>
      <c r="P976" s="3"/>
      <c r="Q976" s="3"/>
      <c r="R976" s="3">
        <v>8.33</v>
      </c>
      <c r="S976" s="3"/>
      <c r="T976" s="3"/>
      <c r="U976" s="3"/>
      <c r="V976" s="3"/>
      <c r="W976" s="3"/>
    </row>
    <row r="977" spans="1:23" x14ac:dyDescent="0.25">
      <c r="A977" s="3" t="s">
        <v>2035</v>
      </c>
      <c r="B977" s="3" t="s">
        <v>1928</v>
      </c>
      <c r="C977" s="3"/>
      <c r="D977" s="3" t="s">
        <v>1929</v>
      </c>
      <c r="E977" s="3">
        <v>58</v>
      </c>
      <c r="F977" s="3">
        <v>0</v>
      </c>
      <c r="G977" s="3">
        <v>0</v>
      </c>
      <c r="H977" s="3">
        <v>14.5</v>
      </c>
      <c r="I977" s="3"/>
      <c r="J977" s="3"/>
      <c r="K977" s="3"/>
      <c r="L977" s="3"/>
      <c r="M977" s="3"/>
      <c r="N977" s="3"/>
      <c r="O977" s="3"/>
      <c r="P977" s="3"/>
      <c r="Q977" s="3"/>
      <c r="R977" s="3">
        <v>12.5</v>
      </c>
      <c r="S977" s="3"/>
      <c r="T977" s="3">
        <v>45</v>
      </c>
      <c r="U977" s="3"/>
      <c r="V977" s="3"/>
      <c r="W977" s="3"/>
    </row>
    <row r="978" spans="1:23" x14ac:dyDescent="0.25">
      <c r="A978" s="3" t="s">
        <v>2035</v>
      </c>
      <c r="B978" s="3" t="s">
        <v>1930</v>
      </c>
      <c r="C978" s="3"/>
      <c r="D978" s="3" t="s">
        <v>1931</v>
      </c>
      <c r="E978" s="3">
        <v>0</v>
      </c>
      <c r="F978" s="3">
        <v>0</v>
      </c>
      <c r="G978" s="3">
        <v>0</v>
      </c>
      <c r="H978" s="3">
        <v>0</v>
      </c>
      <c r="I978" s="3"/>
      <c r="J978" s="3">
        <v>0</v>
      </c>
      <c r="K978" s="3"/>
      <c r="L978" s="3"/>
      <c r="M978" s="3">
        <v>0</v>
      </c>
      <c r="N978" s="3"/>
      <c r="O978" s="3"/>
      <c r="P978" s="3"/>
      <c r="Q978" s="3"/>
      <c r="R978" s="3">
        <v>27.08</v>
      </c>
      <c r="S978" s="3"/>
      <c r="T978" s="3"/>
      <c r="U978" s="3"/>
      <c r="V978" s="3"/>
      <c r="W978" s="3"/>
    </row>
    <row r="979" spans="1:23" x14ac:dyDescent="0.25">
      <c r="A979" s="3" t="s">
        <v>2035</v>
      </c>
      <c r="B979" s="3" t="s">
        <v>1932</v>
      </c>
      <c r="C979" s="3"/>
      <c r="D979" s="3" t="s">
        <v>1933</v>
      </c>
      <c r="E979" s="3">
        <v>0</v>
      </c>
      <c r="F979" s="3">
        <v>0</v>
      </c>
      <c r="G979" s="3">
        <v>0</v>
      </c>
      <c r="H979" s="3">
        <v>0</v>
      </c>
      <c r="I979" s="3"/>
      <c r="J979" s="3">
        <v>0</v>
      </c>
      <c r="K979" s="3"/>
      <c r="L979" s="3"/>
      <c r="M979" s="3">
        <v>0</v>
      </c>
      <c r="N979" s="3"/>
      <c r="O979" s="3"/>
      <c r="P979" s="3"/>
      <c r="Q979" s="3"/>
      <c r="R979" s="3">
        <v>27.08</v>
      </c>
      <c r="S979" s="3"/>
      <c r="T979" s="3"/>
      <c r="U979" s="3"/>
      <c r="V979" s="3"/>
      <c r="W979" s="3"/>
    </row>
    <row r="980" spans="1:23" x14ac:dyDescent="0.25">
      <c r="A980" s="3" t="s">
        <v>2035</v>
      </c>
      <c r="B980" s="3" t="s">
        <v>1934</v>
      </c>
      <c r="C980" s="3"/>
      <c r="D980" s="3" t="s">
        <v>1935</v>
      </c>
      <c r="E980" s="3">
        <v>5.2</v>
      </c>
      <c r="F980" s="3">
        <v>0</v>
      </c>
      <c r="G980" s="3">
        <v>0.4</v>
      </c>
      <c r="H980" s="3">
        <v>0.4</v>
      </c>
      <c r="I980" s="3"/>
      <c r="J980" s="3">
        <v>0</v>
      </c>
      <c r="K980" s="3"/>
      <c r="L980" s="3"/>
      <c r="M980" s="3">
        <v>0</v>
      </c>
      <c r="N980" s="3"/>
      <c r="O980" s="3"/>
      <c r="P980" s="3"/>
      <c r="Q980" s="3"/>
      <c r="R980" s="3">
        <v>12</v>
      </c>
      <c r="S980" s="3"/>
      <c r="T980" s="3"/>
      <c r="U980" s="3"/>
      <c r="V980" s="3"/>
      <c r="W980" s="3"/>
    </row>
    <row r="981" spans="1:23" x14ac:dyDescent="0.25">
      <c r="A981" s="3" t="s">
        <v>2035</v>
      </c>
      <c r="B981" s="3" t="s">
        <v>1936</v>
      </c>
      <c r="C981" s="3"/>
      <c r="D981" s="3" t="s">
        <v>1937</v>
      </c>
      <c r="E981" s="3">
        <v>48.2</v>
      </c>
      <c r="F981" s="3">
        <v>0</v>
      </c>
      <c r="G981" s="3">
        <v>0</v>
      </c>
      <c r="H981" s="3">
        <v>12.05</v>
      </c>
      <c r="I981" s="3"/>
      <c r="J981" s="3"/>
      <c r="K981" s="3"/>
      <c r="L981" s="3"/>
      <c r="M981" s="3"/>
      <c r="N981" s="3"/>
      <c r="O981" s="3"/>
      <c r="P981" s="3"/>
      <c r="Q981" s="3"/>
      <c r="R981" s="3">
        <v>10.57</v>
      </c>
      <c r="S981" s="3"/>
      <c r="T981" s="3"/>
      <c r="U981" s="3"/>
      <c r="V981" s="3"/>
      <c r="W981" s="3"/>
    </row>
    <row r="982" spans="1:23" x14ac:dyDescent="0.25">
      <c r="A982" s="3" t="s">
        <v>2035</v>
      </c>
      <c r="B982" s="3" t="s">
        <v>1938</v>
      </c>
      <c r="C982" s="3"/>
      <c r="D982" s="3" t="s">
        <v>1939</v>
      </c>
      <c r="E982" s="3">
        <v>28</v>
      </c>
      <c r="F982" s="3">
        <v>0.5</v>
      </c>
      <c r="G982" s="3">
        <v>0</v>
      </c>
      <c r="H982" s="3">
        <v>6.5</v>
      </c>
      <c r="I982" s="3"/>
      <c r="J982" s="3">
        <v>0</v>
      </c>
      <c r="K982" s="3"/>
      <c r="L982" s="3"/>
      <c r="M982" s="3">
        <v>0</v>
      </c>
      <c r="N982" s="3"/>
      <c r="O982" s="3"/>
      <c r="P982" s="3"/>
      <c r="Q982" s="3"/>
      <c r="R982" s="3">
        <v>2.5</v>
      </c>
      <c r="S982" s="3"/>
      <c r="T982" s="3"/>
      <c r="U982" s="3"/>
      <c r="V982" s="3"/>
      <c r="W982" s="3"/>
    </row>
    <row r="983" spans="1:23" x14ac:dyDescent="0.25">
      <c r="A983" s="3" t="s">
        <v>2035</v>
      </c>
      <c r="B983" s="3" t="s">
        <v>1940</v>
      </c>
      <c r="C983" s="3"/>
      <c r="D983" s="3" t="s">
        <v>1941</v>
      </c>
      <c r="E983" s="3">
        <v>77.33</v>
      </c>
      <c r="F983" s="3">
        <v>0</v>
      </c>
      <c r="G983" s="3">
        <v>0</v>
      </c>
      <c r="H983" s="3">
        <v>19.329999999999998</v>
      </c>
      <c r="I983" s="3">
        <v>0</v>
      </c>
      <c r="J983" s="3">
        <v>0</v>
      </c>
      <c r="K983" s="3"/>
      <c r="L983" s="3"/>
      <c r="M983" s="3">
        <v>0</v>
      </c>
      <c r="N983" s="3"/>
      <c r="O983" s="3"/>
      <c r="P983" s="3"/>
      <c r="Q983" s="3"/>
      <c r="R983" s="3">
        <v>0</v>
      </c>
      <c r="S983" s="3"/>
      <c r="T983" s="3"/>
      <c r="U983" s="3"/>
      <c r="V983" s="3"/>
      <c r="W983" s="3"/>
    </row>
    <row r="984" spans="1:23" x14ac:dyDescent="0.25">
      <c r="A984" s="3" t="s">
        <v>2035</v>
      </c>
      <c r="B984" s="3" t="s">
        <v>1942</v>
      </c>
      <c r="C984" s="3"/>
      <c r="D984" s="3" t="s">
        <v>1943</v>
      </c>
      <c r="E984" s="3">
        <v>32</v>
      </c>
      <c r="F984" s="3">
        <v>0</v>
      </c>
      <c r="G984" s="3">
        <v>0</v>
      </c>
      <c r="H984" s="3">
        <v>8</v>
      </c>
      <c r="I984" s="3">
        <v>0</v>
      </c>
      <c r="J984" s="3">
        <v>0</v>
      </c>
      <c r="K984" s="3"/>
      <c r="L984" s="3"/>
      <c r="M984" s="3">
        <v>0</v>
      </c>
      <c r="N984" s="3"/>
      <c r="O984" s="3"/>
      <c r="P984" s="3"/>
      <c r="Q984" s="3"/>
      <c r="R984" s="3">
        <v>0</v>
      </c>
      <c r="S984" s="3"/>
      <c r="T984" s="3"/>
      <c r="U984" s="3"/>
      <c r="V984" s="3"/>
      <c r="W984" s="3"/>
    </row>
    <row r="985" spans="1:23" x14ac:dyDescent="0.25">
      <c r="A985" s="3" t="s">
        <v>2035</v>
      </c>
      <c r="B985" s="3" t="s">
        <v>1944</v>
      </c>
      <c r="C985" s="3"/>
      <c r="D985" s="3" t="s">
        <v>1945</v>
      </c>
      <c r="E985" s="3">
        <v>18</v>
      </c>
      <c r="F985" s="3">
        <v>0</v>
      </c>
      <c r="G985" s="3">
        <v>0</v>
      </c>
      <c r="H985" s="3">
        <v>4.5</v>
      </c>
      <c r="I985" s="3"/>
      <c r="J985" s="3">
        <v>0</v>
      </c>
      <c r="K985" s="3"/>
      <c r="L985" s="3"/>
      <c r="M985" s="3">
        <v>0</v>
      </c>
      <c r="N985" s="3"/>
      <c r="O985" s="3"/>
      <c r="P985" s="3"/>
      <c r="Q985" s="3"/>
      <c r="R985" s="3">
        <v>5</v>
      </c>
      <c r="S985" s="3"/>
      <c r="T985" s="3"/>
      <c r="U985" s="3"/>
      <c r="V985" s="3"/>
      <c r="W985" s="3"/>
    </row>
    <row r="986" spans="1:23" x14ac:dyDescent="0.25">
      <c r="A986" s="3" t="s">
        <v>2035</v>
      </c>
      <c r="B986" s="3" t="s">
        <v>1946</v>
      </c>
      <c r="C986" s="3"/>
      <c r="D986" s="3" t="s">
        <v>1947</v>
      </c>
      <c r="E986" s="3">
        <v>38</v>
      </c>
      <c r="F986" s="3">
        <v>0</v>
      </c>
      <c r="G986" s="3">
        <v>0</v>
      </c>
      <c r="H986" s="3">
        <v>9.5</v>
      </c>
      <c r="I986" s="3"/>
      <c r="J986" s="3">
        <v>0</v>
      </c>
      <c r="K986" s="3"/>
      <c r="L986" s="3"/>
      <c r="M986" s="3">
        <v>0</v>
      </c>
      <c r="N986" s="3"/>
      <c r="O986" s="3"/>
      <c r="P986" s="3"/>
      <c r="Q986" s="3"/>
      <c r="R986" s="3">
        <v>7.5</v>
      </c>
      <c r="S986" s="3"/>
      <c r="T986" s="3"/>
      <c r="U986" s="3"/>
      <c r="V986" s="3"/>
      <c r="W986" s="3"/>
    </row>
    <row r="987" spans="1:23" x14ac:dyDescent="0.25">
      <c r="A987" s="3" t="s">
        <v>2035</v>
      </c>
      <c r="B987" s="3" t="s">
        <v>1948</v>
      </c>
      <c r="C987" s="3"/>
      <c r="D987" s="3" t="s">
        <v>1949</v>
      </c>
      <c r="E987" s="3">
        <v>32.43</v>
      </c>
      <c r="F987" s="3">
        <v>0</v>
      </c>
      <c r="G987" s="3">
        <v>0</v>
      </c>
      <c r="H987" s="3">
        <v>8.11</v>
      </c>
      <c r="I987" s="3"/>
      <c r="J987" s="3">
        <v>0</v>
      </c>
      <c r="K987" s="3"/>
      <c r="L987" s="3"/>
      <c r="M987" s="3">
        <v>0</v>
      </c>
      <c r="N987" s="3"/>
      <c r="O987" s="3"/>
      <c r="P987" s="3"/>
      <c r="Q987" s="3"/>
      <c r="R987" s="3">
        <v>8.11</v>
      </c>
      <c r="S987" s="3"/>
      <c r="T987" s="3"/>
      <c r="U987" s="3"/>
      <c r="V987" s="3"/>
      <c r="W987" s="3"/>
    </row>
    <row r="988" spans="1:23" x14ac:dyDescent="0.25">
      <c r="A988" s="3" t="s">
        <v>2035</v>
      </c>
      <c r="B988" s="3" t="s">
        <v>1950</v>
      </c>
      <c r="C988" s="3"/>
      <c r="D988" s="3" t="s">
        <v>1951</v>
      </c>
      <c r="E988" s="3">
        <v>39.25</v>
      </c>
      <c r="F988" s="3">
        <v>0</v>
      </c>
      <c r="G988" s="3">
        <v>1.25</v>
      </c>
      <c r="H988" s="3">
        <v>7</v>
      </c>
      <c r="I988" s="3"/>
      <c r="J988" s="3">
        <v>1</v>
      </c>
      <c r="K988" s="3"/>
      <c r="L988" s="3"/>
      <c r="M988" s="3">
        <v>0</v>
      </c>
      <c r="N988" s="3"/>
      <c r="O988" s="3"/>
      <c r="P988" s="3"/>
      <c r="Q988" s="3"/>
      <c r="R988" s="3">
        <v>7.5</v>
      </c>
      <c r="S988" s="3"/>
      <c r="T988" s="3"/>
      <c r="U988" s="3"/>
      <c r="V988" s="3"/>
      <c r="W988" s="3"/>
    </row>
    <row r="989" spans="1:23" x14ac:dyDescent="0.25">
      <c r="A989" s="3" t="s">
        <v>2035</v>
      </c>
      <c r="B989" s="3" t="s">
        <v>1952</v>
      </c>
      <c r="C989" s="3"/>
      <c r="D989" s="3" t="s">
        <v>1953</v>
      </c>
      <c r="E989" s="3">
        <v>25.6</v>
      </c>
      <c r="F989" s="3">
        <v>0</v>
      </c>
      <c r="G989" s="3">
        <v>0</v>
      </c>
      <c r="H989" s="3">
        <v>6.4</v>
      </c>
      <c r="I989" s="3"/>
      <c r="J989" s="3">
        <v>0</v>
      </c>
      <c r="K989" s="3"/>
      <c r="L989" s="3"/>
      <c r="M989" s="3">
        <v>0</v>
      </c>
      <c r="N989" s="3"/>
      <c r="O989" s="3"/>
      <c r="P989" s="3"/>
      <c r="Q989" s="3"/>
      <c r="R989" s="3">
        <v>4</v>
      </c>
      <c r="S989" s="3"/>
      <c r="T989" s="3"/>
      <c r="U989" s="3"/>
      <c r="V989" s="3"/>
      <c r="W989" s="3"/>
    </row>
    <row r="990" spans="1:23" x14ac:dyDescent="0.25">
      <c r="A990" s="3" t="s">
        <v>2035</v>
      </c>
      <c r="B990" s="3" t="s">
        <v>1954</v>
      </c>
      <c r="C990" s="3"/>
      <c r="D990" s="3" t="s">
        <v>1955</v>
      </c>
      <c r="E990" s="3">
        <v>28.33</v>
      </c>
      <c r="F990" s="3">
        <v>0</v>
      </c>
      <c r="G990" s="3">
        <v>0</v>
      </c>
      <c r="H990" s="3">
        <v>7.08</v>
      </c>
      <c r="I990" s="3"/>
      <c r="J990" s="3"/>
      <c r="K990" s="3"/>
      <c r="L990" s="3"/>
      <c r="M990" s="3"/>
      <c r="N990" s="3"/>
      <c r="O990" s="3"/>
      <c r="P990" s="3"/>
      <c r="Q990" s="3"/>
      <c r="R990" s="3">
        <v>20.83</v>
      </c>
      <c r="S990" s="3"/>
      <c r="T990" s="3"/>
      <c r="U990" s="3"/>
      <c r="V990" s="3"/>
      <c r="W990" s="3"/>
    </row>
    <row r="991" spans="1:23" x14ac:dyDescent="0.25">
      <c r="A991" s="3" t="s">
        <v>2035</v>
      </c>
      <c r="B991" s="3" t="s">
        <v>1956</v>
      </c>
      <c r="C991" s="3"/>
      <c r="D991" s="3" t="s">
        <v>1957</v>
      </c>
      <c r="E991" s="3">
        <v>30</v>
      </c>
      <c r="F991" s="3">
        <v>0</v>
      </c>
      <c r="G991" s="3">
        <v>0</v>
      </c>
      <c r="H991" s="3">
        <v>7.5</v>
      </c>
      <c r="I991" s="3">
        <v>0</v>
      </c>
      <c r="J991" s="3"/>
      <c r="K991" s="3"/>
      <c r="L991" s="3"/>
      <c r="M991" s="3">
        <v>0</v>
      </c>
      <c r="N991" s="3"/>
      <c r="O991" s="3"/>
      <c r="P991" s="3"/>
      <c r="Q991" s="3"/>
      <c r="R991" s="3">
        <v>6.25</v>
      </c>
      <c r="S991" s="3"/>
      <c r="T991" s="3"/>
      <c r="U991" s="3"/>
      <c r="V991" s="3"/>
      <c r="W991" s="3"/>
    </row>
    <row r="992" spans="1:23" x14ac:dyDescent="0.25">
      <c r="A992" s="3" t="s">
        <v>2035</v>
      </c>
      <c r="B992" s="3" t="s">
        <v>1958</v>
      </c>
      <c r="C992" s="3"/>
      <c r="D992" s="3" t="s">
        <v>1959</v>
      </c>
      <c r="E992" s="3">
        <v>8.33</v>
      </c>
      <c r="F992" s="3">
        <v>0</v>
      </c>
      <c r="G992" s="3">
        <v>0</v>
      </c>
      <c r="H992" s="3">
        <v>2.08</v>
      </c>
      <c r="I992" s="3"/>
      <c r="J992" s="3"/>
      <c r="K992" s="3"/>
      <c r="L992" s="3"/>
      <c r="M992" s="3">
        <v>0</v>
      </c>
      <c r="N992" s="3"/>
      <c r="O992" s="3"/>
      <c r="P992" s="3"/>
      <c r="Q992" s="3"/>
      <c r="R992" s="3">
        <v>5.42</v>
      </c>
      <c r="S992" s="3"/>
      <c r="T992" s="3"/>
      <c r="U992" s="3"/>
      <c r="V992" s="3"/>
      <c r="W992" s="3"/>
    </row>
    <row r="993" spans="1:23" x14ac:dyDescent="0.25">
      <c r="A993" s="3" t="s">
        <v>2035</v>
      </c>
      <c r="B993" s="3" t="s">
        <v>1960</v>
      </c>
      <c r="C993" s="3"/>
      <c r="D993" s="3" t="s">
        <v>1961</v>
      </c>
      <c r="E993" s="3">
        <v>8.33</v>
      </c>
      <c r="F993" s="3">
        <v>0</v>
      </c>
      <c r="G993" s="3">
        <v>0</v>
      </c>
      <c r="H993" s="3">
        <v>2.08</v>
      </c>
      <c r="I993" s="3"/>
      <c r="J993" s="3"/>
      <c r="K993" s="3"/>
      <c r="L993" s="3"/>
      <c r="M993" s="3">
        <v>0</v>
      </c>
      <c r="N993" s="3"/>
      <c r="O993" s="3"/>
      <c r="P993" s="3"/>
      <c r="Q993" s="3"/>
      <c r="R993" s="3">
        <v>5.42</v>
      </c>
      <c r="S993" s="3"/>
      <c r="T993" s="3"/>
      <c r="U993" s="3"/>
      <c r="V993" s="3"/>
      <c r="W993" s="3"/>
    </row>
    <row r="994" spans="1:23" x14ac:dyDescent="0.25">
      <c r="A994" s="3" t="s">
        <v>2035</v>
      </c>
      <c r="B994" s="3" t="s">
        <v>1962</v>
      </c>
      <c r="C994" s="3"/>
      <c r="D994" s="3" t="s">
        <v>1963</v>
      </c>
      <c r="E994" s="3">
        <v>1.33</v>
      </c>
      <c r="F994" s="3">
        <v>0</v>
      </c>
      <c r="G994" s="3">
        <v>0</v>
      </c>
      <c r="H994" s="3">
        <v>0.33</v>
      </c>
      <c r="I994" s="3"/>
      <c r="J994" s="3">
        <v>0</v>
      </c>
      <c r="K994" s="3"/>
      <c r="L994" s="3"/>
      <c r="M994" s="3">
        <v>0</v>
      </c>
      <c r="N994" s="3"/>
      <c r="O994" s="3"/>
      <c r="P994" s="3"/>
      <c r="Q994" s="3"/>
      <c r="R994" s="3">
        <v>28.33</v>
      </c>
      <c r="S994" s="3"/>
      <c r="T994" s="3"/>
      <c r="U994" s="3"/>
      <c r="V994" s="3"/>
      <c r="W994" s="3"/>
    </row>
    <row r="995" spans="1:23" x14ac:dyDescent="0.25">
      <c r="A995" s="3" t="s">
        <v>2035</v>
      </c>
      <c r="B995" s="3" t="s">
        <v>1964</v>
      </c>
      <c r="C995" s="3"/>
      <c r="D995" s="3" t="s">
        <v>1965</v>
      </c>
      <c r="E995" s="3">
        <v>11.67</v>
      </c>
      <c r="F995" s="3">
        <v>0</v>
      </c>
      <c r="G995" s="3">
        <v>0</v>
      </c>
      <c r="H995" s="3">
        <v>2.92</v>
      </c>
      <c r="I995" s="3"/>
      <c r="J995" s="3"/>
      <c r="K995" s="3"/>
      <c r="L995" s="3"/>
      <c r="M995" s="3"/>
      <c r="N995" s="3"/>
      <c r="O995" s="3"/>
      <c r="P995" s="3"/>
      <c r="Q995" s="3"/>
      <c r="R995" s="3">
        <v>13.75</v>
      </c>
      <c r="S995" s="3"/>
      <c r="T995" s="3"/>
      <c r="U995" s="3"/>
      <c r="V995" s="3"/>
      <c r="W995" s="3"/>
    </row>
    <row r="996" spans="1:23" x14ac:dyDescent="0.25">
      <c r="A996" s="3" t="s">
        <v>2035</v>
      </c>
      <c r="B996" s="3" t="s">
        <v>1966</v>
      </c>
      <c r="C996" s="3"/>
      <c r="D996" s="3" t="s">
        <v>1967</v>
      </c>
      <c r="E996" s="3">
        <v>20.8</v>
      </c>
      <c r="F996" s="3">
        <v>0</v>
      </c>
      <c r="G996" s="3">
        <v>0</v>
      </c>
      <c r="H996" s="3">
        <v>5.2</v>
      </c>
      <c r="I996" s="3">
        <v>0</v>
      </c>
      <c r="J996" s="3">
        <v>0</v>
      </c>
      <c r="K996" s="3"/>
      <c r="L996" s="3"/>
      <c r="M996" s="3">
        <v>0</v>
      </c>
      <c r="N996" s="3"/>
      <c r="O996" s="3"/>
      <c r="P996" s="3"/>
      <c r="Q996" s="3"/>
      <c r="R996" s="3">
        <v>14</v>
      </c>
      <c r="S996" s="3"/>
      <c r="T996" s="3"/>
      <c r="U996" s="3"/>
      <c r="V996" s="3"/>
      <c r="W996" s="3"/>
    </row>
    <row r="997" spans="1:23" x14ac:dyDescent="0.25">
      <c r="A997" s="3" t="s">
        <v>2035</v>
      </c>
      <c r="B997" s="3" t="s">
        <v>1968</v>
      </c>
      <c r="C997" s="3"/>
      <c r="D997" s="3" t="s">
        <v>1969</v>
      </c>
      <c r="E997" s="3">
        <v>70.8</v>
      </c>
      <c r="F997" s="3">
        <v>7.2</v>
      </c>
      <c r="G997" s="3">
        <v>0.4</v>
      </c>
      <c r="H997" s="3">
        <v>9.6</v>
      </c>
      <c r="I997" s="3">
        <v>0</v>
      </c>
      <c r="J997" s="3">
        <v>0.4</v>
      </c>
      <c r="K997" s="3"/>
      <c r="L997" s="3"/>
      <c r="M997" s="3">
        <v>3.6</v>
      </c>
      <c r="N997" s="3"/>
      <c r="O997" s="3"/>
      <c r="P997" s="3"/>
      <c r="Q997" s="3"/>
      <c r="R997" s="3"/>
      <c r="S997" s="3">
        <v>240</v>
      </c>
      <c r="T997" s="3"/>
      <c r="U997" s="3"/>
      <c r="V997" s="3"/>
      <c r="W997" s="3"/>
    </row>
    <row r="998" spans="1:23" x14ac:dyDescent="0.25">
      <c r="A998" s="3" t="s">
        <v>2035</v>
      </c>
      <c r="B998" s="3" t="s">
        <v>1970</v>
      </c>
      <c r="C998" s="3"/>
      <c r="D998" s="3" t="s">
        <v>1971</v>
      </c>
      <c r="E998" s="3">
        <v>14.67</v>
      </c>
      <c r="F998" s="3">
        <v>0</v>
      </c>
      <c r="G998" s="3">
        <v>0</v>
      </c>
      <c r="H998" s="3">
        <v>3.67</v>
      </c>
      <c r="I998" s="3"/>
      <c r="J998" s="3">
        <v>0</v>
      </c>
      <c r="K998" s="3"/>
      <c r="L998" s="3"/>
      <c r="M998" s="3">
        <v>0</v>
      </c>
      <c r="N998" s="3"/>
      <c r="O998" s="3"/>
      <c r="P998" s="3"/>
      <c r="Q998" s="3"/>
      <c r="R998" s="3"/>
      <c r="S998" s="3">
        <v>1.67</v>
      </c>
      <c r="T998" s="3"/>
      <c r="U998" s="3"/>
      <c r="V998" s="3"/>
      <c r="W998" s="3"/>
    </row>
    <row r="999" spans="1:23" x14ac:dyDescent="0.25">
      <c r="A999" s="3" t="s">
        <v>2035</v>
      </c>
      <c r="B999" s="3" t="s">
        <v>1972</v>
      </c>
      <c r="C999" s="3"/>
      <c r="D999" s="3" t="s">
        <v>1973</v>
      </c>
      <c r="E999" s="3">
        <v>22</v>
      </c>
      <c r="F999" s="3">
        <v>0.5</v>
      </c>
      <c r="G999" s="3">
        <v>0</v>
      </c>
      <c r="H999" s="3">
        <v>5</v>
      </c>
      <c r="I999" s="3">
        <v>0</v>
      </c>
      <c r="J999" s="3">
        <v>0</v>
      </c>
      <c r="K999" s="3"/>
      <c r="L999" s="3"/>
      <c r="M999" s="3">
        <v>0</v>
      </c>
      <c r="N999" s="3"/>
      <c r="O999" s="3"/>
      <c r="P999" s="3"/>
      <c r="Q999" s="3"/>
      <c r="R999" s="3"/>
      <c r="S999" s="3">
        <v>260</v>
      </c>
      <c r="T999" s="3"/>
      <c r="U999" s="3"/>
      <c r="V999" s="3"/>
      <c r="W999" s="3"/>
    </row>
    <row r="1000" spans="1:23" x14ac:dyDescent="0.25">
      <c r="A1000" s="3" t="s">
        <v>2035</v>
      </c>
      <c r="B1000" s="3" t="s">
        <v>1974</v>
      </c>
      <c r="C1000" s="3"/>
      <c r="D1000" s="3" t="s">
        <v>1975</v>
      </c>
      <c r="E1000" s="3">
        <v>46</v>
      </c>
      <c r="F1000" s="3">
        <v>0</v>
      </c>
      <c r="G1000" s="3">
        <v>0</v>
      </c>
      <c r="H1000" s="3">
        <v>11.5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/>
      <c r="O1000" s="3"/>
      <c r="P1000" s="3"/>
      <c r="Q1000" s="3"/>
      <c r="R1000" s="3"/>
      <c r="S1000" s="3">
        <v>17.5</v>
      </c>
      <c r="T1000" s="3"/>
      <c r="U1000" s="3"/>
      <c r="V1000" s="3"/>
      <c r="W1000" s="3"/>
    </row>
    <row r="1001" spans="1:23" x14ac:dyDescent="0.25">
      <c r="A1001" s="3" t="s">
        <v>2035</v>
      </c>
      <c r="B1001" s="3" t="s">
        <v>1976</v>
      </c>
      <c r="C1001" s="3"/>
      <c r="D1001" s="3" t="s">
        <v>1977</v>
      </c>
      <c r="E1001" s="3">
        <v>57.6</v>
      </c>
      <c r="F1001" s="3">
        <v>0</v>
      </c>
      <c r="G1001" s="3"/>
      <c r="H1001" s="3">
        <v>14.4</v>
      </c>
      <c r="I1001" s="3">
        <v>0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1:23" x14ac:dyDescent="0.25">
      <c r="A1002" s="3" t="s">
        <v>2035</v>
      </c>
      <c r="B1002" s="3" t="s">
        <v>1978</v>
      </c>
      <c r="C1002" s="3"/>
      <c r="D1002" s="3" t="s">
        <v>1979</v>
      </c>
      <c r="E1002" s="3">
        <v>42</v>
      </c>
      <c r="F1002" s="3">
        <v>1</v>
      </c>
      <c r="G1002" s="3">
        <v>0</v>
      </c>
      <c r="H1002" s="3">
        <v>9.5</v>
      </c>
      <c r="I1002" s="3">
        <v>1</v>
      </c>
      <c r="J1002" s="3">
        <v>0</v>
      </c>
      <c r="K1002" s="3"/>
      <c r="L1002" s="3"/>
      <c r="M1002" s="3">
        <v>0</v>
      </c>
      <c r="N1002" s="3"/>
      <c r="O1002" s="3"/>
      <c r="P1002" s="3"/>
      <c r="Q1002" s="3"/>
      <c r="R1002" s="3"/>
      <c r="S1002" s="3">
        <v>0</v>
      </c>
      <c r="T1002" s="3"/>
      <c r="U1002" s="3"/>
      <c r="V1002" s="3"/>
      <c r="W1002" s="3"/>
    </row>
    <row r="1003" spans="1:23" x14ac:dyDescent="0.25">
      <c r="A1003" s="3" t="s">
        <v>2035</v>
      </c>
      <c r="B1003" s="3" t="s">
        <v>1980</v>
      </c>
      <c r="C1003" s="3"/>
      <c r="D1003" s="3" t="s">
        <v>1981</v>
      </c>
      <c r="E1003" s="3">
        <v>51.67</v>
      </c>
      <c r="F1003" s="3">
        <v>0.42</v>
      </c>
      <c r="G1003" s="3">
        <v>0</v>
      </c>
      <c r="H1003" s="3">
        <v>12.5</v>
      </c>
      <c r="I1003" s="3">
        <v>0</v>
      </c>
      <c r="J1003" s="3">
        <v>0</v>
      </c>
      <c r="K1003" s="3"/>
      <c r="L1003" s="3"/>
      <c r="M1003" s="3">
        <v>0</v>
      </c>
      <c r="N1003" s="3"/>
      <c r="O1003" s="3"/>
      <c r="P1003" s="3"/>
      <c r="Q1003" s="3"/>
      <c r="R1003" s="3"/>
      <c r="S1003" s="3">
        <v>0</v>
      </c>
      <c r="T1003" s="3"/>
      <c r="U1003" s="3"/>
      <c r="V1003" s="3"/>
      <c r="W1003" s="3"/>
    </row>
    <row r="1004" spans="1:23" x14ac:dyDescent="0.25">
      <c r="A1004" s="3" t="s">
        <v>2035</v>
      </c>
      <c r="B1004" s="3" t="s">
        <v>1982</v>
      </c>
      <c r="C1004" s="3"/>
      <c r="D1004" s="3" t="s">
        <v>1983</v>
      </c>
      <c r="E1004" s="3">
        <v>47.62</v>
      </c>
      <c r="F1004" s="3">
        <v>2.38</v>
      </c>
      <c r="G1004" s="3">
        <v>0</v>
      </c>
      <c r="H1004" s="3">
        <v>9.52</v>
      </c>
      <c r="I1004" s="3"/>
      <c r="J1004" s="3">
        <v>0</v>
      </c>
      <c r="K1004" s="3"/>
      <c r="L1004" s="3"/>
      <c r="M1004" s="3">
        <v>0</v>
      </c>
      <c r="N1004" s="3"/>
      <c r="O1004" s="3"/>
      <c r="P1004" s="3"/>
      <c r="Q1004" s="3"/>
      <c r="R1004" s="3"/>
      <c r="S1004" s="3">
        <v>821.43</v>
      </c>
      <c r="T1004" s="3"/>
      <c r="U1004" s="3"/>
      <c r="V1004" s="3"/>
      <c r="W1004" s="3"/>
    </row>
    <row r="1005" spans="1:23" x14ac:dyDescent="0.25">
      <c r="A1005" s="3" t="s">
        <v>2035</v>
      </c>
      <c r="B1005" s="3" t="s">
        <v>1984</v>
      </c>
      <c r="C1005" s="3"/>
      <c r="D1005" s="3" t="s">
        <v>1985</v>
      </c>
      <c r="E1005" s="3">
        <v>12</v>
      </c>
      <c r="F1005" s="3">
        <v>1</v>
      </c>
      <c r="G1005" s="3">
        <v>0</v>
      </c>
      <c r="H1005" s="3">
        <v>2</v>
      </c>
      <c r="I1005" s="3">
        <v>0.5</v>
      </c>
      <c r="J1005" s="3">
        <v>0</v>
      </c>
      <c r="K1005" s="3"/>
      <c r="L1005" s="3"/>
      <c r="M1005" s="3">
        <v>0</v>
      </c>
      <c r="N1005" s="3"/>
      <c r="O1005" s="3"/>
      <c r="P1005" s="3"/>
      <c r="Q1005" s="3"/>
      <c r="R1005" s="3"/>
      <c r="S1005" s="3">
        <v>0.5</v>
      </c>
      <c r="T1005" s="3"/>
      <c r="U1005" s="3"/>
      <c r="V1005" s="3"/>
      <c r="W1005" s="3"/>
    </row>
    <row r="1006" spans="1:23" x14ac:dyDescent="0.25">
      <c r="A1006" s="3" t="s">
        <v>2035</v>
      </c>
      <c r="B1006" s="3" t="s">
        <v>1986</v>
      </c>
      <c r="C1006" s="3"/>
      <c r="D1006" s="3" t="s">
        <v>1987</v>
      </c>
      <c r="E1006" s="3">
        <v>38.33</v>
      </c>
      <c r="F1006" s="3">
        <v>0</v>
      </c>
      <c r="G1006" s="3">
        <v>0</v>
      </c>
      <c r="H1006" s="3">
        <v>9.58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>
        <v>25</v>
      </c>
      <c r="T1006" s="3"/>
      <c r="U1006" s="3"/>
      <c r="V1006" s="3"/>
      <c r="W1006" s="3"/>
    </row>
    <row r="1007" spans="1:23" x14ac:dyDescent="0.25">
      <c r="A1007" s="3" t="s">
        <v>2035</v>
      </c>
      <c r="B1007" s="3" t="s">
        <v>1988</v>
      </c>
      <c r="C1007" s="3"/>
      <c r="D1007" s="3" t="s">
        <v>1989</v>
      </c>
      <c r="E1007" s="3">
        <v>46</v>
      </c>
      <c r="F1007" s="3">
        <v>0</v>
      </c>
      <c r="G1007" s="3">
        <v>0</v>
      </c>
      <c r="H1007" s="3">
        <v>11.5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/>
      <c r="O1007" s="3"/>
      <c r="P1007" s="3"/>
      <c r="Q1007" s="3"/>
      <c r="R1007" s="3"/>
      <c r="S1007" s="3">
        <v>65</v>
      </c>
      <c r="T1007" s="3"/>
      <c r="U1007" s="3"/>
      <c r="V1007" s="3"/>
      <c r="W1007" s="3"/>
    </row>
    <row r="1008" spans="1:23" x14ac:dyDescent="0.25">
      <c r="A1008" s="3" t="s">
        <v>2035</v>
      </c>
      <c r="B1008" s="3" t="s">
        <v>1990</v>
      </c>
      <c r="C1008" s="3"/>
      <c r="D1008" s="3" t="s">
        <v>1991</v>
      </c>
      <c r="E1008" s="3">
        <v>48</v>
      </c>
      <c r="F1008" s="3"/>
      <c r="G1008" s="3"/>
      <c r="H1008" s="3">
        <v>12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>
        <v>9</v>
      </c>
      <c r="T1008" s="3"/>
      <c r="U1008" s="3">
        <v>22.5</v>
      </c>
      <c r="V1008" s="3"/>
      <c r="W1008" s="3"/>
    </row>
    <row r="1009" spans="1:23" x14ac:dyDescent="0.25">
      <c r="A1009" s="3" t="s">
        <v>2035</v>
      </c>
      <c r="B1009" s="3" t="s">
        <v>1992</v>
      </c>
      <c r="C1009" s="3"/>
      <c r="D1009" s="3" t="s">
        <v>1993</v>
      </c>
      <c r="E1009" s="3">
        <v>0</v>
      </c>
      <c r="F1009" s="3">
        <v>0</v>
      </c>
      <c r="G1009" s="3">
        <v>0</v>
      </c>
      <c r="H1009" s="3">
        <v>0</v>
      </c>
      <c r="I1009" s="3"/>
      <c r="J1009" s="3">
        <v>0</v>
      </c>
      <c r="K1009" s="3"/>
      <c r="L1009" s="3"/>
      <c r="M1009" s="3">
        <v>0</v>
      </c>
      <c r="N1009" s="3"/>
      <c r="O1009" s="3"/>
      <c r="P1009" s="3"/>
      <c r="Q1009" s="3"/>
      <c r="R1009" s="3"/>
      <c r="S1009" s="3">
        <v>0</v>
      </c>
      <c r="T1009" s="3"/>
      <c r="U1009" s="3"/>
      <c r="V1009" s="3"/>
      <c r="W1009" s="3"/>
    </row>
    <row r="1010" spans="1:23" x14ac:dyDescent="0.25">
      <c r="A1010" s="3" t="s">
        <v>2035</v>
      </c>
      <c r="B1010" s="3" t="s">
        <v>1994</v>
      </c>
      <c r="C1010" s="3"/>
      <c r="D1010" s="3" t="s">
        <v>1995</v>
      </c>
      <c r="E1010" s="3">
        <v>0</v>
      </c>
      <c r="F1010" s="3">
        <v>0</v>
      </c>
      <c r="G1010" s="3">
        <v>0</v>
      </c>
      <c r="H1010" s="3">
        <v>0</v>
      </c>
      <c r="I1010" s="3"/>
      <c r="J1010" s="3">
        <v>0</v>
      </c>
      <c r="K1010" s="3"/>
      <c r="L1010" s="3"/>
      <c r="M1010" s="3">
        <v>0</v>
      </c>
      <c r="N1010" s="3"/>
      <c r="O1010" s="3"/>
      <c r="P1010" s="3"/>
      <c r="Q1010" s="3"/>
      <c r="R1010" s="3"/>
      <c r="S1010" s="3">
        <v>2.5</v>
      </c>
      <c r="T1010" s="3"/>
      <c r="U1010" s="3"/>
      <c r="V1010" s="3"/>
      <c r="W1010" s="3"/>
    </row>
    <row r="1011" spans="1:23" x14ac:dyDescent="0.25">
      <c r="A1011" s="3" t="s">
        <v>2035</v>
      </c>
      <c r="B1011" s="3" t="s">
        <v>1996</v>
      </c>
      <c r="C1011" s="3"/>
      <c r="D1011" s="3" t="s">
        <v>1997</v>
      </c>
      <c r="E1011" s="3">
        <v>13.33</v>
      </c>
      <c r="F1011" s="3">
        <v>0</v>
      </c>
      <c r="G1011" s="3">
        <v>0</v>
      </c>
      <c r="H1011" s="3">
        <v>3.33</v>
      </c>
      <c r="I1011" s="3"/>
      <c r="J1011" s="3">
        <v>0</v>
      </c>
      <c r="K1011" s="3"/>
      <c r="L1011" s="3"/>
      <c r="M1011" s="3">
        <v>0</v>
      </c>
      <c r="N1011" s="3"/>
      <c r="O1011" s="3"/>
      <c r="P1011" s="3"/>
      <c r="Q1011" s="3"/>
      <c r="R1011" s="3"/>
      <c r="S1011" s="3">
        <v>8.33</v>
      </c>
      <c r="T1011" s="3"/>
      <c r="U1011" s="3"/>
      <c r="V1011" s="3"/>
      <c r="W1011" s="3"/>
    </row>
    <row r="1012" spans="1:23" x14ac:dyDescent="0.25">
      <c r="A1012" s="3" t="s">
        <v>2035</v>
      </c>
      <c r="B1012" s="3" t="s">
        <v>1998</v>
      </c>
      <c r="C1012" s="3"/>
      <c r="D1012" s="3" t="s">
        <v>1999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/>
      <c r="K1012" s="3"/>
      <c r="L1012" s="3"/>
      <c r="M1012" s="3">
        <v>0</v>
      </c>
      <c r="N1012" s="3"/>
      <c r="O1012" s="3"/>
      <c r="P1012" s="3"/>
      <c r="Q1012" s="3"/>
      <c r="R1012" s="3"/>
      <c r="S1012" s="3">
        <v>20</v>
      </c>
      <c r="T1012" s="3"/>
      <c r="U1012" s="3"/>
      <c r="V1012" s="3"/>
      <c r="W1012" s="3"/>
    </row>
    <row r="1013" spans="1:23" x14ac:dyDescent="0.25">
      <c r="A1013" s="3" t="s">
        <v>2035</v>
      </c>
      <c r="B1013" s="3" t="s">
        <v>2000</v>
      </c>
      <c r="C1013" s="3"/>
      <c r="D1013" s="3" t="s">
        <v>2001</v>
      </c>
      <c r="E1013" s="3">
        <v>0</v>
      </c>
      <c r="F1013" s="3">
        <v>0</v>
      </c>
      <c r="G1013" s="3">
        <v>0</v>
      </c>
      <c r="H1013" s="3">
        <v>0</v>
      </c>
      <c r="I1013" s="3"/>
      <c r="J1013" s="3">
        <v>0</v>
      </c>
      <c r="K1013" s="3"/>
      <c r="L1013" s="3"/>
      <c r="M1013" s="3">
        <v>0</v>
      </c>
      <c r="N1013" s="3"/>
      <c r="O1013" s="3"/>
      <c r="P1013" s="3"/>
      <c r="Q1013" s="3"/>
      <c r="R1013" s="3"/>
      <c r="S1013" s="3">
        <v>16.36</v>
      </c>
      <c r="T1013" s="3"/>
      <c r="U1013" s="3"/>
      <c r="V1013" s="3"/>
      <c r="W1013" s="3"/>
    </row>
    <row r="1014" spans="1:23" x14ac:dyDescent="0.25">
      <c r="A1014" s="3" t="s">
        <v>2035</v>
      </c>
      <c r="B1014" s="3" t="s">
        <v>2002</v>
      </c>
      <c r="C1014" s="3"/>
      <c r="D1014" s="3" t="s">
        <v>2003</v>
      </c>
      <c r="E1014" s="3">
        <v>8.33</v>
      </c>
      <c r="F1014" s="3">
        <v>0</v>
      </c>
      <c r="G1014" s="3">
        <v>0</v>
      </c>
      <c r="H1014" s="3">
        <v>2.08</v>
      </c>
      <c r="I1014" s="3"/>
      <c r="J1014" s="3"/>
      <c r="K1014" s="3"/>
      <c r="L1014" s="3"/>
      <c r="M1014" s="3">
        <v>0</v>
      </c>
      <c r="N1014" s="3"/>
      <c r="O1014" s="3"/>
      <c r="P1014" s="3"/>
      <c r="Q1014" s="3"/>
      <c r="R1014" s="3"/>
      <c r="S1014" s="3">
        <v>6.25</v>
      </c>
      <c r="T1014" s="3"/>
      <c r="U1014" s="3"/>
      <c r="V1014" s="3"/>
      <c r="W1014" s="3"/>
    </row>
    <row r="1015" spans="1:23" x14ac:dyDescent="0.25">
      <c r="A1015" s="3" t="s">
        <v>2035</v>
      </c>
      <c r="B1015" s="3" t="s">
        <v>2004</v>
      </c>
      <c r="C1015" s="3"/>
      <c r="D1015" s="3" t="s">
        <v>2005</v>
      </c>
      <c r="E1015" s="3">
        <v>27.2</v>
      </c>
      <c r="F1015" s="3">
        <v>0</v>
      </c>
      <c r="G1015" s="3">
        <v>0</v>
      </c>
      <c r="H1015" s="3">
        <v>6.8</v>
      </c>
      <c r="I1015" s="3"/>
      <c r="J1015" s="3">
        <v>0</v>
      </c>
      <c r="K1015" s="3"/>
      <c r="L1015" s="3"/>
      <c r="M1015" s="3">
        <v>0</v>
      </c>
      <c r="N1015" s="3"/>
      <c r="O1015" s="3"/>
      <c r="P1015" s="3"/>
      <c r="Q1015" s="3"/>
      <c r="R1015" s="3"/>
      <c r="S1015" s="3">
        <v>10</v>
      </c>
      <c r="T1015" s="3"/>
      <c r="U1015" s="3"/>
      <c r="V1015" s="3"/>
      <c r="W101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0D79-097A-4AE1-8333-4CC9866BDBC5}">
  <dimension ref="A1:X1015"/>
  <sheetViews>
    <sheetView tabSelected="1" zoomScale="96" zoomScaleNormal="96" workbookViewId="0">
      <pane ySplit="1" topLeftCell="A2" activePane="bottomLeft" state="frozen"/>
      <selection activeCell="B1" sqref="B1"/>
      <selection pane="bottomLeft" activeCell="C11" sqref="C11"/>
    </sheetView>
  </sheetViews>
  <sheetFormatPr baseColWidth="10" defaultRowHeight="15" x14ac:dyDescent="0.25"/>
  <cols>
    <col min="1" max="1" width="26.140625" bestFit="1" customWidth="1"/>
    <col min="2" max="2" width="93.5703125" bestFit="1" customWidth="1"/>
    <col min="3" max="3" width="81.5703125" bestFit="1" customWidth="1"/>
    <col min="5" max="5" width="15.5703125" bestFit="1" customWidth="1"/>
    <col min="6" max="6" width="8.42578125" bestFit="1" customWidth="1"/>
    <col min="7" max="7" width="10.7109375" bestFit="1" customWidth="1"/>
    <col min="8" max="8" width="13.7109375" bestFit="1" customWidth="1"/>
    <col min="9" max="12" width="6" bestFit="1" customWidth="1"/>
    <col min="13" max="13" width="9.85546875" bestFit="1" customWidth="1"/>
    <col min="14" max="14" width="7" bestFit="1" customWidth="1"/>
    <col min="15" max="15" width="7.7109375" bestFit="1" customWidth="1"/>
    <col min="16" max="16" width="9.7109375" customWidth="1"/>
    <col min="17" max="17" width="6.42578125" bestFit="1" customWidth="1"/>
    <col min="18" max="19" width="8" bestFit="1" customWidth="1"/>
    <col min="20" max="20" width="7" bestFit="1" customWidth="1"/>
    <col min="21" max="22" width="10.5703125" bestFit="1" customWidth="1"/>
    <col min="23" max="23" width="7.5703125" bestFit="1" customWidth="1"/>
    <col min="24" max="24" width="12.5703125" bestFit="1" customWidth="1"/>
  </cols>
  <sheetData>
    <row r="1" spans="1:24" ht="45" x14ac:dyDescent="0.25">
      <c r="A1" s="2" t="s">
        <v>402</v>
      </c>
      <c r="B1" s="2" t="s">
        <v>0</v>
      </c>
      <c r="C1" s="2" t="s">
        <v>1</v>
      </c>
      <c r="D1" s="2" t="s">
        <v>2036</v>
      </c>
      <c r="E1" s="2" t="s">
        <v>2006</v>
      </c>
      <c r="F1" s="2" t="s">
        <v>2007</v>
      </c>
      <c r="G1" s="2" t="s">
        <v>2008</v>
      </c>
      <c r="H1" s="2" t="s">
        <v>2009</v>
      </c>
      <c r="I1" s="2" t="s">
        <v>2010</v>
      </c>
      <c r="J1" s="2" t="s">
        <v>2011</v>
      </c>
      <c r="K1" s="2" t="s">
        <v>2012</v>
      </c>
      <c r="L1" s="2" t="s">
        <v>2013</v>
      </c>
      <c r="M1" s="2" t="s">
        <v>2014</v>
      </c>
      <c r="N1" s="2" t="s">
        <v>2015</v>
      </c>
      <c r="O1" s="2" t="s">
        <v>2016</v>
      </c>
      <c r="P1" s="2" t="s">
        <v>2166</v>
      </c>
      <c r="Q1" s="2" t="s">
        <v>2017</v>
      </c>
      <c r="R1" s="2" t="s">
        <v>2018</v>
      </c>
      <c r="S1" s="2" t="s">
        <v>2019</v>
      </c>
      <c r="T1" s="2" t="s">
        <v>2020</v>
      </c>
      <c r="U1" s="2" t="s">
        <v>2021</v>
      </c>
      <c r="V1" s="2" t="s">
        <v>2022</v>
      </c>
      <c r="W1" s="2" t="s">
        <v>2023</v>
      </c>
      <c r="X1" s="2" t="s">
        <v>2024</v>
      </c>
    </row>
    <row r="2" spans="1:2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25">
      <c r="A3" s="3" t="s">
        <v>2025</v>
      </c>
      <c r="B3" s="3" t="s">
        <v>2</v>
      </c>
      <c r="C3" s="3" t="s">
        <v>3</v>
      </c>
      <c r="D3" s="3">
        <v>100</v>
      </c>
      <c r="E3" s="3">
        <f>$D3*TCA!E3/100</f>
        <v>381.07</v>
      </c>
      <c r="F3" s="3">
        <f>$D3*TCA!F3/100</f>
        <v>14.45</v>
      </c>
      <c r="G3" s="3">
        <f>$D3*TCA!G3/100</f>
        <v>6.51</v>
      </c>
      <c r="H3" s="3">
        <f>$D3*TCA!H3/100</f>
        <v>66.17</v>
      </c>
      <c r="I3" s="3">
        <f>$D3*TCA!I3/100</f>
        <v>9.3000000000000007</v>
      </c>
      <c r="J3" s="3">
        <f>$D3*TCA!J3/100</f>
        <v>1.66</v>
      </c>
      <c r="K3" s="3">
        <f>$D3*TCA!K3/100</f>
        <v>1.43</v>
      </c>
      <c r="L3" s="3">
        <f>$D3*TCA!L3/100</f>
        <v>2.89</v>
      </c>
      <c r="M3" s="3">
        <f>$D3*TCA!M3/100</f>
        <v>0</v>
      </c>
      <c r="N3" s="3">
        <f>$D3*TCA!N3/100</f>
        <v>153</v>
      </c>
      <c r="O3" s="3">
        <f>$D3*TCA!O3/100</f>
        <v>455</v>
      </c>
      <c r="P3" s="3">
        <f>O3/F3</f>
        <v>31.487889273356402</v>
      </c>
      <c r="Q3" s="3">
        <f>$D3*TCA!P3/100</f>
        <v>7.59</v>
      </c>
      <c r="R3" s="3">
        <f>$D3*TCA!Q3/100</f>
        <v>366</v>
      </c>
      <c r="S3" s="3">
        <f>$D3*TCA!R3/100</f>
        <v>21</v>
      </c>
      <c r="T3" s="3">
        <f>$D3*TCA!S3/100</f>
        <v>3.18</v>
      </c>
      <c r="U3" s="3">
        <f>$D3*TCA!T3/100</f>
        <v>4</v>
      </c>
      <c r="V3" s="3">
        <f>$D3*TCA!U3/100</f>
        <v>0</v>
      </c>
      <c r="W3" s="3">
        <f>$D3*TCA!V3/100</f>
        <v>49</v>
      </c>
      <c r="X3" s="3">
        <f>$D3*TCA!W3/100</f>
        <v>0</v>
      </c>
    </row>
    <row r="4" spans="1:24" x14ac:dyDescent="0.25">
      <c r="A4" s="3" t="s">
        <v>2025</v>
      </c>
      <c r="B4" s="3" t="s">
        <v>4</v>
      </c>
      <c r="C4" s="3" t="s">
        <v>5</v>
      </c>
      <c r="D4" s="3">
        <v>100</v>
      </c>
      <c r="E4" s="3">
        <f>$D4*TCA!E4/100</f>
        <v>125.96</v>
      </c>
      <c r="F4" s="3">
        <f>$D4*TCA!F4/100</f>
        <v>2.69</v>
      </c>
      <c r="G4" s="3">
        <f>$D4*TCA!G4/100</f>
        <v>0.28000000000000003</v>
      </c>
      <c r="H4" s="3">
        <f>$D4*TCA!H4/100</f>
        <v>28.17</v>
      </c>
      <c r="I4" s="3">
        <f>$D4*TCA!I4/100</f>
        <v>0.4</v>
      </c>
      <c r="J4" s="3">
        <f>$D4*TCA!J4/100</f>
        <v>0.08</v>
      </c>
      <c r="K4" s="3">
        <f>$D4*TCA!K4/100</f>
        <v>0.09</v>
      </c>
      <c r="L4" s="3">
        <f>$D4*TCA!L4/100</f>
        <v>0.08</v>
      </c>
      <c r="M4" s="3">
        <f>$D4*TCA!M4/100</f>
        <v>0</v>
      </c>
      <c r="N4" s="3">
        <f>$D4*TCA!N4/100</f>
        <v>10</v>
      </c>
      <c r="O4" s="3">
        <f>$D4*TCA!O4/100</f>
        <v>43</v>
      </c>
      <c r="P4" s="3">
        <f t="shared" ref="P4:P67" si="0">O4/F4</f>
        <v>15.985130111524164</v>
      </c>
      <c r="Q4" s="3">
        <f>$D4*TCA!P4/100</f>
        <v>0.2</v>
      </c>
      <c r="R4" s="3">
        <f>$D4*TCA!Q4/100</f>
        <v>35</v>
      </c>
      <c r="S4" s="3">
        <f>$D4*TCA!R4/100</f>
        <v>382</v>
      </c>
      <c r="T4" s="3">
        <f>$D4*TCA!S4/100</f>
        <v>0.49</v>
      </c>
      <c r="U4" s="3">
        <f>$D4*TCA!T4/100</f>
        <v>0</v>
      </c>
      <c r="V4" s="3">
        <f>$D4*TCA!U4/100</f>
        <v>0</v>
      </c>
      <c r="W4" s="3">
        <f>$D4*TCA!V4/100</f>
        <v>3</v>
      </c>
      <c r="X4" s="3">
        <f>$D4*TCA!W4/100</f>
        <v>0</v>
      </c>
    </row>
    <row r="5" spans="1:24" x14ac:dyDescent="0.25">
      <c r="A5" s="3" t="s">
        <v>2025</v>
      </c>
      <c r="B5" s="3" t="s">
        <v>6</v>
      </c>
      <c r="C5" s="3" t="s">
        <v>7</v>
      </c>
      <c r="D5" s="3">
        <v>100</v>
      </c>
      <c r="E5" s="3">
        <f>$D5*TCA!E5/100</f>
        <v>347.28</v>
      </c>
      <c r="F5" s="3">
        <f>$D5*TCA!F5/100</f>
        <v>6.5</v>
      </c>
      <c r="G5" s="3">
        <f>$D5*TCA!G5/100</f>
        <v>0.52</v>
      </c>
      <c r="H5" s="3">
        <f>$D5*TCA!H5/100</f>
        <v>79.150000000000006</v>
      </c>
      <c r="I5" s="3">
        <f>$D5*TCA!I5/100</f>
        <v>0</v>
      </c>
      <c r="J5" s="3">
        <f>$D5*TCA!J5/100</f>
        <v>0.14000000000000001</v>
      </c>
      <c r="K5" s="3">
        <f>$D5*TCA!K5/100</f>
        <v>0.16</v>
      </c>
      <c r="L5" s="3">
        <f>$D5*TCA!L5/100</f>
        <v>0.14000000000000001</v>
      </c>
      <c r="M5" s="3">
        <f>$D5*TCA!M5/100</f>
        <v>0</v>
      </c>
      <c r="N5" s="3">
        <f>$D5*TCA!N5/100</f>
        <v>3</v>
      </c>
      <c r="O5" s="3">
        <f>$D5*TCA!O5/100</f>
        <v>95</v>
      </c>
      <c r="P5" s="3">
        <f t="shared" si="0"/>
        <v>14.615384615384615</v>
      </c>
      <c r="Q5" s="3">
        <f>$D5*TCA!P5/100</f>
        <v>0.8</v>
      </c>
      <c r="R5" s="3">
        <f>$D5*TCA!Q5/100</f>
        <v>76</v>
      </c>
      <c r="S5" s="3">
        <f>$D5*TCA!R5/100</f>
        <v>1</v>
      </c>
      <c r="T5" s="3">
        <f>$D5*TCA!S5/100</f>
        <v>1.1000000000000001</v>
      </c>
      <c r="U5" s="3">
        <f>$D5*TCA!T5/100</f>
        <v>0</v>
      </c>
      <c r="V5" s="3">
        <f>$D5*TCA!U5/100</f>
        <v>0</v>
      </c>
      <c r="W5" s="3">
        <f>$D5*TCA!V5/100</f>
        <v>6</v>
      </c>
      <c r="X5" s="3">
        <f>$D5*TCA!W5/100</f>
        <v>0</v>
      </c>
    </row>
    <row r="6" spans="1:24" x14ac:dyDescent="0.25">
      <c r="A6" s="3" t="s">
        <v>2025</v>
      </c>
      <c r="B6" s="3" t="s">
        <v>8</v>
      </c>
      <c r="C6" s="3" t="s">
        <v>9</v>
      </c>
      <c r="D6" s="3">
        <v>100</v>
      </c>
      <c r="E6" s="3">
        <f>$D6*TCA!E6/100</f>
        <v>126.07</v>
      </c>
      <c r="F6" s="3">
        <f>$D6*TCA!F6/100</f>
        <v>2.36</v>
      </c>
      <c r="G6" s="3">
        <f>$D6*TCA!G6/100</f>
        <v>0.19</v>
      </c>
      <c r="H6" s="3">
        <f>$D6*TCA!H6/100</f>
        <v>28.73</v>
      </c>
      <c r="I6" s="3">
        <f>$D6*TCA!I6/100</f>
        <v>0</v>
      </c>
      <c r="J6" s="3">
        <f>$D6*TCA!J6/100</f>
        <v>0.05</v>
      </c>
      <c r="K6" s="3">
        <f>$D6*TCA!K6/100</f>
        <v>0.06</v>
      </c>
      <c r="L6" s="3">
        <f>$D6*TCA!L6/100</f>
        <v>0.05</v>
      </c>
      <c r="M6" s="3">
        <f>$D6*TCA!M6/100</f>
        <v>0</v>
      </c>
      <c r="N6" s="3">
        <f>$D6*TCA!N6/100</f>
        <v>1</v>
      </c>
      <c r="O6" s="3">
        <f>$D6*TCA!O6/100</f>
        <v>33</v>
      </c>
      <c r="P6" s="3">
        <f t="shared" si="0"/>
        <v>13.983050847457628</v>
      </c>
      <c r="Q6" s="3">
        <f>$D6*TCA!P6/100</f>
        <v>0.2</v>
      </c>
      <c r="R6" s="3">
        <f>$D6*TCA!Q6/100</f>
        <v>26</v>
      </c>
      <c r="S6" s="3">
        <f>$D6*TCA!R6/100</f>
        <v>0</v>
      </c>
      <c r="T6" s="3">
        <f>$D6*TCA!S6/100</f>
        <v>0.4</v>
      </c>
      <c r="U6" s="3">
        <f>$D6*TCA!T6/100</f>
        <v>0</v>
      </c>
      <c r="V6" s="3">
        <f>$D6*TCA!U6/100</f>
        <v>0</v>
      </c>
      <c r="W6" s="3">
        <f>$D6*TCA!V6/100</f>
        <v>2</v>
      </c>
      <c r="X6" s="3">
        <f>$D6*TCA!W6/100</f>
        <v>0</v>
      </c>
    </row>
    <row r="7" spans="1:24" x14ac:dyDescent="0.25">
      <c r="A7" s="3" t="s">
        <v>2025</v>
      </c>
      <c r="B7" s="3" t="s">
        <v>10</v>
      </c>
      <c r="C7" s="3" t="s">
        <v>11</v>
      </c>
      <c r="D7" s="3">
        <v>100</v>
      </c>
      <c r="E7" s="3">
        <f>$D7*TCA!E7/100</f>
        <v>354.26</v>
      </c>
      <c r="F7" s="3">
        <f>$D7*TCA!F7/100</f>
        <v>7.13</v>
      </c>
      <c r="G7" s="3">
        <f>$D7*TCA!G7/100</f>
        <v>0.66</v>
      </c>
      <c r="H7" s="3">
        <f>$D7*TCA!H7/100</f>
        <v>79.95</v>
      </c>
      <c r="I7" s="3">
        <f>$D7*TCA!I7/100</f>
        <v>1.3</v>
      </c>
      <c r="J7" s="3">
        <f>$D7*TCA!J7/100</f>
        <v>0.18</v>
      </c>
      <c r="K7" s="3">
        <f>$D7*TCA!K7/100</f>
        <v>0.21</v>
      </c>
      <c r="L7" s="3">
        <f>$D7*TCA!L7/100</f>
        <v>0.18</v>
      </c>
      <c r="M7" s="3">
        <f>$D7*TCA!M7/100</f>
        <v>0</v>
      </c>
      <c r="N7" s="3">
        <f>$D7*TCA!N7/100</f>
        <v>28</v>
      </c>
      <c r="O7" s="3">
        <f>$D7*TCA!O7/100</f>
        <v>115</v>
      </c>
      <c r="P7" s="3">
        <f t="shared" si="0"/>
        <v>16.129032258064516</v>
      </c>
      <c r="Q7" s="3">
        <f>$D7*TCA!P7/100</f>
        <v>0.8</v>
      </c>
      <c r="R7" s="3">
        <f>$D7*TCA!Q7/100</f>
        <v>115</v>
      </c>
      <c r="S7" s="3">
        <f>$D7*TCA!R7/100</f>
        <v>5</v>
      </c>
      <c r="T7" s="3">
        <f>$D7*TCA!S7/100</f>
        <v>1.0900000000000001</v>
      </c>
      <c r="U7" s="3">
        <f>$D7*TCA!T7/100</f>
        <v>0</v>
      </c>
      <c r="V7" s="3">
        <f>$D7*TCA!U7/100</f>
        <v>0</v>
      </c>
      <c r="W7" s="3">
        <f>$D7*TCA!V7/100</f>
        <v>8</v>
      </c>
      <c r="X7" s="3">
        <f>$D7*TCA!W7/100</f>
        <v>0</v>
      </c>
    </row>
    <row r="8" spans="1:24" x14ac:dyDescent="0.25">
      <c r="A8" s="3" t="s">
        <v>2025</v>
      </c>
      <c r="B8" s="3" t="s">
        <v>12</v>
      </c>
      <c r="C8" s="3" t="s">
        <v>13</v>
      </c>
      <c r="D8" s="3">
        <v>100</v>
      </c>
      <c r="E8" s="3">
        <f>$D8*TCA!E8/100</f>
        <v>119.17</v>
      </c>
      <c r="F8" s="3">
        <f>$D8*TCA!F8/100</f>
        <v>2.91</v>
      </c>
      <c r="G8" s="3">
        <f>$D8*TCA!G8/100</f>
        <v>0.37</v>
      </c>
      <c r="H8" s="3">
        <f>$D8*TCA!H8/100</f>
        <v>26.05</v>
      </c>
      <c r="I8" s="3">
        <f>$D8*TCA!I8/100</f>
        <v>0.9</v>
      </c>
      <c r="J8" s="3">
        <f>$D8*TCA!J8/100</f>
        <v>7.0000000000000007E-2</v>
      </c>
      <c r="K8" s="3">
        <f>$D8*TCA!K8/100</f>
        <v>7.0000000000000007E-2</v>
      </c>
      <c r="L8" s="3">
        <f>$D8*TCA!L8/100</f>
        <v>0.09</v>
      </c>
      <c r="M8" s="3">
        <f>$D8*TCA!M8/100</f>
        <v>0</v>
      </c>
      <c r="N8" s="3">
        <f>$D8*TCA!N8/100</f>
        <v>19</v>
      </c>
      <c r="O8" s="3">
        <f>$D8*TCA!O8/100</f>
        <v>55</v>
      </c>
      <c r="P8" s="3">
        <f t="shared" si="0"/>
        <v>18.900343642611684</v>
      </c>
      <c r="Q8" s="3">
        <f>$D8*TCA!P8/100</f>
        <v>0.24</v>
      </c>
      <c r="R8" s="3">
        <f>$D8*TCA!Q8/100</f>
        <v>56</v>
      </c>
      <c r="S8" s="3">
        <f>$D8*TCA!R8/100</f>
        <v>2</v>
      </c>
      <c r="T8" s="3">
        <f>$D8*TCA!S8/100</f>
        <v>0.37</v>
      </c>
      <c r="U8" s="3">
        <f>$D8*TCA!T8/100</f>
        <v>0</v>
      </c>
      <c r="V8" s="3">
        <f>$D8*TCA!U8/100</f>
        <v>0</v>
      </c>
      <c r="W8" s="3">
        <f>$D8*TCA!V8/100</f>
        <v>3</v>
      </c>
      <c r="X8" s="3">
        <f>$D8*TCA!W8/100</f>
        <v>0</v>
      </c>
    </row>
    <row r="9" spans="1:24" x14ac:dyDescent="0.25">
      <c r="A9" s="3" t="s">
        <v>2025</v>
      </c>
      <c r="B9" s="3" t="s">
        <v>14</v>
      </c>
      <c r="C9" s="3" t="s">
        <v>15</v>
      </c>
      <c r="D9" s="3">
        <v>100</v>
      </c>
      <c r="E9" s="3">
        <f>$D9*TCA!E9/100</f>
        <v>362.87</v>
      </c>
      <c r="F9" s="3">
        <f>$D9*TCA!F9/100</f>
        <v>7.51</v>
      </c>
      <c r="G9" s="3">
        <f>$D9*TCA!G9/100</f>
        <v>1.03</v>
      </c>
      <c r="H9" s="3">
        <f>$D9*TCA!H9/100</f>
        <v>80.89</v>
      </c>
      <c r="I9" s="3">
        <f>$D9*TCA!I9/100</f>
        <v>1.8</v>
      </c>
      <c r="J9" s="3">
        <f>$D9*TCA!J9/100</f>
        <v>0.28999999999999998</v>
      </c>
      <c r="K9" s="3">
        <f>$D9*TCA!K9/100</f>
        <v>0.26</v>
      </c>
      <c r="L9" s="3">
        <f>$D9*TCA!L9/100</f>
        <v>0.32</v>
      </c>
      <c r="M9" s="3">
        <f>$D9*TCA!M9/100</f>
        <v>0</v>
      </c>
      <c r="N9" s="3">
        <f>$D9*TCA!N9/100</f>
        <v>71</v>
      </c>
      <c r="O9" s="3">
        <f>$D9*TCA!O9/100</f>
        <v>153</v>
      </c>
      <c r="P9" s="3">
        <f t="shared" si="0"/>
        <v>20.3728362183755</v>
      </c>
      <c r="Q9" s="3">
        <f>$D9*TCA!P9/100</f>
        <v>0.74</v>
      </c>
      <c r="R9" s="3">
        <f>$D9*TCA!Q9/100</f>
        <v>174</v>
      </c>
      <c r="S9" s="3">
        <f>$D9*TCA!R9/100</f>
        <v>2</v>
      </c>
      <c r="T9" s="3">
        <f>$D9*TCA!S9/100</f>
        <v>1.02</v>
      </c>
      <c r="U9" s="3">
        <f>$D9*TCA!T9/100</f>
        <v>0</v>
      </c>
      <c r="V9" s="3">
        <f>$D9*TCA!U9/100</f>
        <v>0</v>
      </c>
      <c r="W9" s="3">
        <f>$D9*TCA!V9/100</f>
        <v>8</v>
      </c>
      <c r="X9" s="3">
        <f>$D9*TCA!W9/100</f>
        <v>0</v>
      </c>
    </row>
    <row r="10" spans="1:24" x14ac:dyDescent="0.25">
      <c r="A10" s="3" t="s">
        <v>2025</v>
      </c>
      <c r="B10" s="3" t="s">
        <v>16</v>
      </c>
      <c r="C10" s="3" t="s">
        <v>17</v>
      </c>
      <c r="D10" s="3">
        <v>100</v>
      </c>
      <c r="E10" s="3">
        <f>$D10*TCA!E10/100</f>
        <v>125.77</v>
      </c>
      <c r="F10" s="3">
        <f>$D10*TCA!F10/100</f>
        <v>2.38</v>
      </c>
      <c r="G10" s="3">
        <f>$D10*TCA!G10/100</f>
        <v>0.21</v>
      </c>
      <c r="H10" s="3">
        <f>$D10*TCA!H10/100</f>
        <v>28.59</v>
      </c>
      <c r="I10" s="3">
        <f>$D10*TCA!I10/100</f>
        <v>0</v>
      </c>
      <c r="J10" s="3">
        <f>$D10*TCA!J10/100</f>
        <v>0.06</v>
      </c>
      <c r="K10" s="3">
        <f>$D10*TCA!K10/100</f>
        <v>7.0000000000000007E-2</v>
      </c>
      <c r="L10" s="3">
        <f>$D10*TCA!L10/100</f>
        <v>0.06</v>
      </c>
      <c r="M10" s="3">
        <f>$D10*TCA!M10/100</f>
        <v>0</v>
      </c>
      <c r="N10" s="3">
        <f>$D10*TCA!N10/100</f>
        <v>3</v>
      </c>
      <c r="O10" s="3">
        <f>$D10*TCA!O10/100</f>
        <v>37</v>
      </c>
      <c r="P10" s="3">
        <f t="shared" si="0"/>
        <v>15.546218487394958</v>
      </c>
      <c r="Q10" s="3">
        <f>$D10*TCA!P10/100</f>
        <v>0.2</v>
      </c>
      <c r="R10" s="3">
        <f>$D10*TCA!Q10/100</f>
        <v>29</v>
      </c>
      <c r="S10" s="3">
        <f>$D10*TCA!R10/100</f>
        <v>0</v>
      </c>
      <c r="T10" s="3">
        <f>$D10*TCA!S10/100</f>
        <v>0.42</v>
      </c>
      <c r="U10" s="3">
        <f>$D10*TCA!T10/100</f>
        <v>0</v>
      </c>
      <c r="V10" s="3">
        <f>$D10*TCA!U10/100</f>
        <v>0</v>
      </c>
      <c r="W10" s="3">
        <f>$D10*TCA!V10/100</f>
        <v>2</v>
      </c>
      <c r="X10" s="3">
        <f>$D10*TCA!W10/100</f>
        <v>0</v>
      </c>
    </row>
    <row r="11" spans="1:24" x14ac:dyDescent="0.25">
      <c r="A11" s="3" t="s">
        <v>2025</v>
      </c>
      <c r="B11" s="3" t="s">
        <v>18</v>
      </c>
      <c r="C11" s="3" t="s">
        <v>19</v>
      </c>
      <c r="D11" s="3">
        <v>100</v>
      </c>
      <c r="E11" s="3">
        <f>$D11*TCA!E11/100</f>
        <v>349.02</v>
      </c>
      <c r="F11" s="3">
        <f>$D11*TCA!F11/100</f>
        <v>6.61</v>
      </c>
      <c r="G11" s="3">
        <f>$D11*TCA!G11/100</f>
        <v>0.57999999999999996</v>
      </c>
      <c r="H11" s="3">
        <f>$D11*TCA!H11/100</f>
        <v>79.34</v>
      </c>
      <c r="I11" s="3">
        <f>$D11*TCA!I11/100</f>
        <v>0</v>
      </c>
      <c r="J11" s="3">
        <f>$D11*TCA!J11/100</f>
        <v>0.16</v>
      </c>
      <c r="K11" s="3">
        <f>$D11*TCA!K11/100</f>
        <v>0.18</v>
      </c>
      <c r="L11" s="3">
        <f>$D11*TCA!L11/100</f>
        <v>0.16</v>
      </c>
      <c r="M11" s="3">
        <f>$D11*TCA!M11/100</f>
        <v>0</v>
      </c>
      <c r="N11" s="3">
        <f>$D11*TCA!N11/100</f>
        <v>9</v>
      </c>
      <c r="O11" s="3">
        <f>$D11*TCA!O11/100</f>
        <v>108</v>
      </c>
      <c r="P11" s="3">
        <f t="shared" si="0"/>
        <v>16.338880484114977</v>
      </c>
      <c r="Q11" s="3">
        <f>$D11*TCA!P11/100</f>
        <v>0.8</v>
      </c>
      <c r="R11" s="3">
        <f>$D11*TCA!Q11/100</f>
        <v>86</v>
      </c>
      <c r="S11" s="3">
        <f>$D11*TCA!R11/100</f>
        <v>1</v>
      </c>
      <c r="T11" s="3">
        <f>$D11*TCA!S11/100</f>
        <v>1.1599999999999999</v>
      </c>
      <c r="U11" s="3">
        <f>$D11*TCA!T11/100</f>
        <v>0</v>
      </c>
      <c r="V11" s="3">
        <f>$D11*TCA!U11/100</f>
        <v>0</v>
      </c>
      <c r="W11" s="3">
        <f>$D11*TCA!V11/100</f>
        <v>9</v>
      </c>
      <c r="X11" s="3">
        <f>$D11*TCA!W11/100</f>
        <v>0</v>
      </c>
    </row>
    <row r="12" spans="1:24" x14ac:dyDescent="0.25">
      <c r="A12" s="3" t="s">
        <v>2025</v>
      </c>
      <c r="B12" s="3" t="s">
        <v>20</v>
      </c>
      <c r="C12" s="3" t="s">
        <v>21</v>
      </c>
      <c r="D12" s="3">
        <v>100</v>
      </c>
      <c r="E12" s="3">
        <f>$D12*TCA!E12/100</f>
        <v>369.02</v>
      </c>
      <c r="F12" s="3">
        <f>$D12*TCA!F12/100</f>
        <v>7.82</v>
      </c>
      <c r="G12" s="3">
        <f>$D12*TCA!G12/100</f>
        <v>0.94</v>
      </c>
      <c r="H12" s="3">
        <f>$D12*TCA!H12/100</f>
        <v>82.32</v>
      </c>
      <c r="I12" s="3">
        <f>$D12*TCA!I12/100</f>
        <v>1.9</v>
      </c>
      <c r="J12" s="3">
        <f>$D12*TCA!J12/100</f>
        <v>0.15</v>
      </c>
      <c r="K12" s="3">
        <f>$D12*TCA!K12/100</f>
        <v>0.14000000000000001</v>
      </c>
      <c r="L12" s="3">
        <f>$D12*TCA!L12/100</f>
        <v>0.22</v>
      </c>
      <c r="M12" s="3">
        <f>$D12*TCA!M12/100</f>
        <v>0</v>
      </c>
      <c r="N12" s="3">
        <f>$D12*TCA!N12/100</f>
        <v>22</v>
      </c>
      <c r="O12" s="3">
        <f>$D12*TCA!O12/100</f>
        <v>118</v>
      </c>
      <c r="P12" s="3">
        <f t="shared" si="0"/>
        <v>15.089514066496163</v>
      </c>
      <c r="Q12" s="3">
        <f>$D12*TCA!P12/100</f>
        <v>6.3</v>
      </c>
      <c r="R12" s="3">
        <f>$D12*TCA!Q12/100</f>
        <v>27</v>
      </c>
      <c r="S12" s="3">
        <f>$D12*TCA!R12/100</f>
        <v>10</v>
      </c>
      <c r="T12" s="3">
        <f>$D12*TCA!S12/100</f>
        <v>1.43</v>
      </c>
      <c r="U12" s="3">
        <f>$D12*TCA!T12/100</f>
        <v>0</v>
      </c>
      <c r="V12" s="3">
        <f>$D12*TCA!U12/100</f>
        <v>0</v>
      </c>
      <c r="W12" s="3">
        <f>$D12*TCA!V12/100</f>
        <v>466</v>
      </c>
      <c r="X12" s="3">
        <f>$D12*TCA!W12/100</f>
        <v>0</v>
      </c>
    </row>
    <row r="13" spans="1:24" x14ac:dyDescent="0.25">
      <c r="A13" s="3" t="s">
        <v>2025</v>
      </c>
      <c r="B13" s="3" t="s">
        <v>22</v>
      </c>
      <c r="C13" s="3" t="s">
        <v>23</v>
      </c>
      <c r="D13" s="3">
        <v>100</v>
      </c>
      <c r="E13" s="3">
        <f>$D13*TCA!E13/100</f>
        <v>122.01</v>
      </c>
      <c r="F13" s="3">
        <f>$D13*TCA!F13/100</f>
        <v>2.74</v>
      </c>
      <c r="G13" s="3">
        <f>$D13*TCA!G13/100</f>
        <v>0.97</v>
      </c>
      <c r="H13" s="3">
        <f>$D13*TCA!H13/100</f>
        <v>25.58</v>
      </c>
      <c r="I13" s="3">
        <f>$D13*TCA!I13/100</f>
        <v>1.6</v>
      </c>
      <c r="J13" s="3">
        <f>$D13*TCA!J13/100</f>
        <v>0.26</v>
      </c>
      <c r="K13" s="3">
        <f>$D13*TCA!K13/100</f>
        <v>0.37</v>
      </c>
      <c r="L13" s="3">
        <f>$D13*TCA!L13/100</f>
        <v>0.37</v>
      </c>
      <c r="M13" s="3">
        <f>$D13*TCA!M13/100</f>
        <v>0</v>
      </c>
      <c r="N13" s="3">
        <f>$D13*TCA!N13/100</f>
        <v>3</v>
      </c>
      <c r="O13" s="3">
        <f>$D13*TCA!O13/100</f>
        <v>103</v>
      </c>
      <c r="P13" s="3">
        <f t="shared" si="0"/>
        <v>37.591240875912405</v>
      </c>
      <c r="Q13" s="3">
        <f>$D13*TCA!P13/100</f>
        <v>0.56000000000000005</v>
      </c>
      <c r="R13" s="3">
        <f>$D13*TCA!Q13/100</f>
        <v>86</v>
      </c>
      <c r="S13" s="3">
        <f>$D13*TCA!R13/100</f>
        <v>4</v>
      </c>
      <c r="T13" s="3">
        <f>$D13*TCA!S13/100</f>
        <v>0.71</v>
      </c>
      <c r="U13" s="3">
        <f>$D13*TCA!T13/100</f>
        <v>0</v>
      </c>
      <c r="V13" s="3">
        <f>$D13*TCA!U13/100</f>
        <v>0</v>
      </c>
      <c r="W13" s="3">
        <f>$D13*TCA!V13/100</f>
        <v>9</v>
      </c>
      <c r="X13" s="3">
        <f>$D13*TCA!W13/100</f>
        <v>0</v>
      </c>
    </row>
    <row r="14" spans="1:24" x14ac:dyDescent="0.25">
      <c r="A14" s="3" t="s">
        <v>2025</v>
      </c>
      <c r="B14" s="3" t="s">
        <v>24</v>
      </c>
      <c r="C14" s="3" t="s">
        <v>25</v>
      </c>
      <c r="D14" s="3">
        <v>100</v>
      </c>
      <c r="E14" s="3">
        <f>$D14*TCA!E14/100</f>
        <v>363.96</v>
      </c>
      <c r="F14" s="3">
        <f>$D14*TCA!F14/100</f>
        <v>7.54</v>
      </c>
      <c r="G14" s="3">
        <f>$D14*TCA!G14/100</f>
        <v>3.2</v>
      </c>
      <c r="H14" s="3">
        <f>$D14*TCA!H14/100</f>
        <v>76.25</v>
      </c>
      <c r="I14" s="3">
        <f>$D14*TCA!I14/100</f>
        <v>3.6</v>
      </c>
      <c r="J14" s="3">
        <f>$D14*TCA!J14/100</f>
        <v>0.59</v>
      </c>
      <c r="K14" s="3">
        <f>$D14*TCA!K14/100</f>
        <v>1.05</v>
      </c>
      <c r="L14" s="3">
        <f>$D14*TCA!L14/100</f>
        <v>1</v>
      </c>
      <c r="M14" s="3">
        <f>$D14*TCA!M14/100</f>
        <v>0</v>
      </c>
      <c r="N14" s="3">
        <f>$D14*TCA!N14/100</f>
        <v>9</v>
      </c>
      <c r="O14" s="3">
        <f>$D14*TCA!O14/100</f>
        <v>311</v>
      </c>
      <c r="P14" s="3">
        <f t="shared" si="0"/>
        <v>41.246684350132625</v>
      </c>
      <c r="Q14" s="3">
        <f>$D14*TCA!P14/100</f>
        <v>1.29</v>
      </c>
      <c r="R14" s="3">
        <f>$D14*TCA!Q14/100</f>
        <v>250</v>
      </c>
      <c r="S14" s="3">
        <f>$D14*TCA!R14/100</f>
        <v>5</v>
      </c>
      <c r="T14" s="3">
        <f>$D14*TCA!S14/100</f>
        <v>2.13</v>
      </c>
      <c r="U14" s="3">
        <f>$D14*TCA!T14/100</f>
        <v>0</v>
      </c>
      <c r="V14" s="3">
        <f>$D14*TCA!U14/100</f>
        <v>0</v>
      </c>
      <c r="W14" s="3">
        <f>$D14*TCA!V14/100</f>
        <v>23</v>
      </c>
      <c r="X14" s="3">
        <f>$D14*TCA!W14/100</f>
        <v>0</v>
      </c>
    </row>
    <row r="15" spans="1:24" x14ac:dyDescent="0.25">
      <c r="A15" s="3" t="s">
        <v>2025</v>
      </c>
      <c r="B15" s="3" t="s">
        <v>26</v>
      </c>
      <c r="C15" s="3" t="s">
        <v>27</v>
      </c>
      <c r="D15" s="3">
        <v>100</v>
      </c>
      <c r="E15" s="3">
        <f>$D15*TCA!E15/100</f>
        <v>110.79</v>
      </c>
      <c r="F15" s="3">
        <f>$D15*TCA!F15/100</f>
        <v>2.3199999999999998</v>
      </c>
      <c r="G15" s="3">
        <f>$D15*TCA!G15/100</f>
        <v>0.83</v>
      </c>
      <c r="H15" s="3">
        <f>$D15*TCA!H15/100</f>
        <v>23.51</v>
      </c>
      <c r="I15" s="3">
        <f>$D15*TCA!I15/100</f>
        <v>1.8</v>
      </c>
      <c r="J15" s="3">
        <f>$D15*TCA!J15/100</f>
        <v>0.17</v>
      </c>
      <c r="K15" s="3">
        <f>$D15*TCA!K15/100</f>
        <v>0.3</v>
      </c>
      <c r="L15" s="3">
        <f>$D15*TCA!L15/100</f>
        <v>0.3</v>
      </c>
      <c r="M15" s="3">
        <f>$D15*TCA!M15/100</f>
        <v>0</v>
      </c>
      <c r="N15" s="3">
        <f>$D15*TCA!N15/100</f>
        <v>10</v>
      </c>
      <c r="O15" s="3">
        <f>$D15*TCA!O15/100</f>
        <v>77</v>
      </c>
      <c r="P15" s="3">
        <f t="shared" si="0"/>
        <v>33.189655172413794</v>
      </c>
      <c r="Q15" s="3">
        <f>$D15*TCA!P15/100</f>
        <v>0.53</v>
      </c>
      <c r="R15" s="3">
        <f>$D15*TCA!Q15/100</f>
        <v>79</v>
      </c>
      <c r="S15" s="3">
        <f>$D15*TCA!R15/100</f>
        <v>1</v>
      </c>
      <c r="T15" s="3">
        <f>$D15*TCA!S15/100</f>
        <v>0.62</v>
      </c>
      <c r="U15" s="3">
        <f>$D15*TCA!T15/100</f>
        <v>0</v>
      </c>
      <c r="V15" s="3">
        <f>$D15*TCA!U15/100</f>
        <v>0</v>
      </c>
      <c r="W15" s="3">
        <f>$D15*TCA!V15/100</f>
        <v>4</v>
      </c>
      <c r="X15" s="3">
        <f>$D15*TCA!W15/100</f>
        <v>0</v>
      </c>
    </row>
    <row r="16" spans="1:24" x14ac:dyDescent="0.25">
      <c r="A16" s="3" t="s">
        <v>2025</v>
      </c>
      <c r="B16" s="3" t="s">
        <v>28</v>
      </c>
      <c r="C16" s="3" t="s">
        <v>29</v>
      </c>
      <c r="D16" s="3">
        <v>100</v>
      </c>
      <c r="E16" s="3">
        <f>$D16*TCA!E16/100</f>
        <v>358.8</v>
      </c>
      <c r="F16" s="3">
        <f>$D16*TCA!F16/100</f>
        <v>7.5</v>
      </c>
      <c r="G16" s="3">
        <f>$D16*TCA!G16/100</f>
        <v>2.68</v>
      </c>
      <c r="H16" s="3">
        <f>$D16*TCA!H16/100</f>
        <v>76.17</v>
      </c>
      <c r="I16" s="3">
        <f>$D16*TCA!I16/100</f>
        <v>3.4</v>
      </c>
      <c r="J16" s="3">
        <f>$D16*TCA!J16/100</f>
        <v>0.54</v>
      </c>
      <c r="K16" s="3">
        <f>$D16*TCA!K16/100</f>
        <v>0.97</v>
      </c>
      <c r="L16" s="3">
        <f>$D16*TCA!L16/100</f>
        <v>0.96</v>
      </c>
      <c r="M16" s="3">
        <f>$D16*TCA!M16/100</f>
        <v>0</v>
      </c>
      <c r="N16" s="3">
        <f>$D16*TCA!N16/100</f>
        <v>33</v>
      </c>
      <c r="O16" s="3">
        <f>$D16*TCA!O16/100</f>
        <v>264</v>
      </c>
      <c r="P16" s="3">
        <f t="shared" si="0"/>
        <v>35.200000000000003</v>
      </c>
      <c r="Q16" s="3">
        <f>$D16*TCA!P16/100</f>
        <v>1.8</v>
      </c>
      <c r="R16" s="3">
        <f>$D16*TCA!Q16/100</f>
        <v>268</v>
      </c>
      <c r="S16" s="3">
        <f>$D16*TCA!R16/100</f>
        <v>4</v>
      </c>
      <c r="T16" s="3">
        <f>$D16*TCA!S16/100</f>
        <v>2.02</v>
      </c>
      <c r="U16" s="3">
        <f>$D16*TCA!T16/100</f>
        <v>0</v>
      </c>
      <c r="V16" s="3">
        <f>$D16*TCA!U16/100</f>
        <v>0</v>
      </c>
      <c r="W16" s="3">
        <f>$D16*TCA!V16/100</f>
        <v>20</v>
      </c>
      <c r="X16" s="3">
        <f>$D16*TCA!W16/100</f>
        <v>0</v>
      </c>
    </row>
    <row r="17" spans="1:24" x14ac:dyDescent="0.25">
      <c r="A17" s="3" t="s">
        <v>2025</v>
      </c>
      <c r="B17" s="3" t="s">
        <v>30</v>
      </c>
      <c r="C17" s="3" t="s">
        <v>31</v>
      </c>
      <c r="D17" s="3">
        <v>100</v>
      </c>
      <c r="E17" s="3">
        <f>$D17*TCA!E17/100</f>
        <v>369.02</v>
      </c>
      <c r="F17" s="3">
        <f>$D17*TCA!F17/100</f>
        <v>7.82</v>
      </c>
      <c r="G17" s="3">
        <f>$D17*TCA!G17/100</f>
        <v>0.94</v>
      </c>
      <c r="H17" s="3">
        <f>$D17*TCA!H17/100</f>
        <v>82.32</v>
      </c>
      <c r="I17" s="3">
        <f>$D17*TCA!I17/100</f>
        <v>1.9</v>
      </c>
      <c r="J17" s="3">
        <f>$D17*TCA!J17/100</f>
        <v>0.15</v>
      </c>
      <c r="K17" s="3">
        <f>$D17*TCA!K17/100</f>
        <v>0.14000000000000001</v>
      </c>
      <c r="L17" s="3">
        <f>$D17*TCA!L17/100</f>
        <v>0.22</v>
      </c>
      <c r="M17" s="3">
        <f>$D17*TCA!M17/100</f>
        <v>0</v>
      </c>
      <c r="N17" s="3">
        <f>$D17*TCA!N17/100</f>
        <v>22</v>
      </c>
      <c r="O17" s="3">
        <f>$D17*TCA!O17/100</f>
        <v>118</v>
      </c>
      <c r="P17" s="3">
        <f t="shared" si="0"/>
        <v>15.089514066496163</v>
      </c>
      <c r="Q17" s="3">
        <f>$D17*TCA!P17/100</f>
        <v>6.3</v>
      </c>
      <c r="R17" s="3">
        <f>$D17*TCA!Q17/100</f>
        <v>27</v>
      </c>
      <c r="S17" s="3">
        <f>$D17*TCA!R17/100</f>
        <v>10</v>
      </c>
      <c r="T17" s="3">
        <f>$D17*TCA!S17/100</f>
        <v>1.43</v>
      </c>
      <c r="U17" s="3">
        <f>$D17*TCA!T17/100</f>
        <v>0</v>
      </c>
      <c r="V17" s="3">
        <f>$D17*TCA!U17/100</f>
        <v>0</v>
      </c>
      <c r="W17" s="3">
        <f>$D17*TCA!V17/100</f>
        <v>275</v>
      </c>
      <c r="X17" s="3">
        <f>$D17*TCA!W17/100</f>
        <v>0</v>
      </c>
    </row>
    <row r="18" spans="1:24" x14ac:dyDescent="0.25">
      <c r="A18" s="3" t="s">
        <v>2025</v>
      </c>
      <c r="B18" s="3" t="s">
        <v>32</v>
      </c>
      <c r="C18" s="3" t="s">
        <v>33</v>
      </c>
      <c r="D18" s="3">
        <v>100</v>
      </c>
      <c r="E18" s="3">
        <f>$D18*TCA!E18/100</f>
        <v>354.26</v>
      </c>
      <c r="F18" s="3">
        <f>$D18*TCA!F18/100</f>
        <v>7.13</v>
      </c>
      <c r="G18" s="3">
        <f>$D18*TCA!G18/100</f>
        <v>0.66</v>
      </c>
      <c r="H18" s="3">
        <f>$D18*TCA!H18/100</f>
        <v>79.95</v>
      </c>
      <c r="I18" s="3">
        <f>$D18*TCA!I18/100</f>
        <v>1.3</v>
      </c>
      <c r="J18" s="3">
        <f>$D18*TCA!J18/100</f>
        <v>0.18</v>
      </c>
      <c r="K18" s="3">
        <f>$D18*TCA!K18/100</f>
        <v>0.21</v>
      </c>
      <c r="L18" s="3">
        <f>$D18*TCA!L18/100</f>
        <v>0.18</v>
      </c>
      <c r="M18" s="3">
        <f>$D18*TCA!M18/100</f>
        <v>0</v>
      </c>
      <c r="N18" s="3">
        <f>$D18*TCA!N18/100</f>
        <v>28</v>
      </c>
      <c r="O18" s="3">
        <f>$D18*TCA!O18/100</f>
        <v>115</v>
      </c>
      <c r="P18" s="3">
        <f t="shared" si="0"/>
        <v>16.129032258064516</v>
      </c>
      <c r="Q18" s="3">
        <f>$D18*TCA!P18/100</f>
        <v>0.8</v>
      </c>
      <c r="R18" s="3">
        <f>$D18*TCA!Q18/100</f>
        <v>115</v>
      </c>
      <c r="S18" s="3">
        <f>$D18*TCA!R18/100</f>
        <v>5</v>
      </c>
      <c r="T18" s="3">
        <f>$D18*TCA!S18/100</f>
        <v>1.0900000000000001</v>
      </c>
      <c r="U18" s="3">
        <f>$D18*TCA!T18/100</f>
        <v>0</v>
      </c>
      <c r="V18" s="3">
        <f>$D18*TCA!U18/100</f>
        <v>0</v>
      </c>
      <c r="W18" s="3">
        <f>$D18*TCA!V18/100</f>
        <v>8</v>
      </c>
      <c r="X18" s="3">
        <f>$D18*TCA!W18/100</f>
        <v>0</v>
      </c>
    </row>
    <row r="19" spans="1:24" x14ac:dyDescent="0.25">
      <c r="A19" s="3" t="s">
        <v>2025</v>
      </c>
      <c r="B19" s="3" t="s">
        <v>34</v>
      </c>
      <c r="C19" s="3" t="s">
        <v>35</v>
      </c>
      <c r="D19" s="3">
        <v>100</v>
      </c>
      <c r="E19" s="3">
        <f>$D19*TCA!E19/100</f>
        <v>394.74</v>
      </c>
      <c r="F19" s="3">
        <f>$D19*TCA!F19/100</f>
        <v>16.89</v>
      </c>
      <c r="G19" s="3">
        <f>$D19*TCA!G19/100</f>
        <v>6.9</v>
      </c>
      <c r="H19" s="3">
        <f>$D19*TCA!H19/100</f>
        <v>66.27</v>
      </c>
      <c r="I19" s="3">
        <f>$D19*TCA!I19/100</f>
        <v>10.6</v>
      </c>
      <c r="J19" s="3">
        <f>$D19*TCA!J19/100</f>
        <v>1.22</v>
      </c>
      <c r="K19" s="3">
        <f>$D19*TCA!K19/100</f>
        <v>2.1800000000000002</v>
      </c>
      <c r="L19" s="3">
        <f>$D19*TCA!L19/100</f>
        <v>2.54</v>
      </c>
      <c r="M19" s="3">
        <f>$D19*TCA!M19/100</f>
        <v>0</v>
      </c>
      <c r="N19" s="3">
        <f>$D19*TCA!N19/100</f>
        <v>54</v>
      </c>
      <c r="O19" s="3">
        <f>$D19*TCA!O19/100</f>
        <v>523</v>
      </c>
      <c r="P19" s="3">
        <f t="shared" si="0"/>
        <v>30.965068087625813</v>
      </c>
      <c r="Q19" s="3">
        <f>$D19*TCA!P19/100</f>
        <v>4.72</v>
      </c>
      <c r="R19" s="3">
        <f>$D19*TCA!Q19/100</f>
        <v>429</v>
      </c>
      <c r="S19" s="3">
        <f>$D19*TCA!R19/100</f>
        <v>2</v>
      </c>
      <c r="T19" s="3">
        <f>$D19*TCA!S19/100</f>
        <v>3.97</v>
      </c>
      <c r="U19" s="3">
        <f>$D19*TCA!T19/100</f>
        <v>0</v>
      </c>
      <c r="V19" s="3">
        <f>$D19*TCA!U19/100</f>
        <v>0</v>
      </c>
      <c r="W19" s="3">
        <f>$D19*TCA!V19/100</f>
        <v>56</v>
      </c>
      <c r="X19" s="3">
        <f>$D19*TCA!W19/100</f>
        <v>0</v>
      </c>
    </row>
    <row r="20" spans="1:24" x14ac:dyDescent="0.25">
      <c r="A20" s="3" t="s">
        <v>2025</v>
      </c>
      <c r="B20" s="3" t="s">
        <v>36</v>
      </c>
      <c r="C20" s="3" t="s">
        <v>37</v>
      </c>
      <c r="D20" s="3">
        <v>100</v>
      </c>
      <c r="E20" s="3">
        <f>$D20*TCA!E20/100</f>
        <v>372.9</v>
      </c>
      <c r="F20" s="3">
        <f>$D20*TCA!F20/100</f>
        <v>15.5</v>
      </c>
      <c r="G20" s="3">
        <f>$D20*TCA!G20/100</f>
        <v>6.1</v>
      </c>
      <c r="H20" s="3">
        <f>$D20*TCA!H20/100</f>
        <v>64</v>
      </c>
      <c r="I20" s="3">
        <f>$D20*TCA!I20/100</f>
        <v>10.9</v>
      </c>
      <c r="J20" s="3">
        <f>$D20*TCA!J20/100</f>
        <v>1.08</v>
      </c>
      <c r="K20" s="3">
        <f>$D20*TCA!K20/100</f>
        <v>1.92</v>
      </c>
      <c r="L20" s="3">
        <f>$D20*TCA!L20/100</f>
        <v>2.23</v>
      </c>
      <c r="M20" s="3">
        <f>$D20*TCA!M20/100</f>
        <v>0</v>
      </c>
      <c r="N20" s="3">
        <f>$D20*TCA!N20/100</f>
        <v>357</v>
      </c>
      <c r="O20" s="3">
        <f>$D20*TCA!O20/100</f>
        <v>357</v>
      </c>
      <c r="P20" s="3">
        <f t="shared" si="0"/>
        <v>23.032258064516128</v>
      </c>
      <c r="Q20" s="3">
        <f>$D20*TCA!P20/100</f>
        <v>28.93</v>
      </c>
      <c r="R20" s="3">
        <f>$D20*TCA!Q20/100</f>
        <v>354</v>
      </c>
      <c r="S20" s="3">
        <f>$D20*TCA!R20/100</f>
        <v>286</v>
      </c>
      <c r="T20" s="3">
        <f>$D20*TCA!S20/100</f>
        <v>3.07</v>
      </c>
      <c r="U20" s="3">
        <f>$D20*TCA!T20/100</f>
        <v>0</v>
      </c>
      <c r="V20" s="3">
        <f>$D20*TCA!U20/100</f>
        <v>1072</v>
      </c>
      <c r="W20" s="3">
        <f>$D20*TCA!V20/100</f>
        <v>464</v>
      </c>
      <c r="X20" s="3">
        <f>$D20*TCA!W20/100</f>
        <v>0</v>
      </c>
    </row>
    <row r="21" spans="1:24" x14ac:dyDescent="0.25">
      <c r="A21" s="3" t="s">
        <v>2025</v>
      </c>
      <c r="B21" s="3" t="s">
        <v>38</v>
      </c>
      <c r="C21" s="3" t="s">
        <v>39</v>
      </c>
      <c r="D21" s="3">
        <v>100</v>
      </c>
      <c r="E21" s="3">
        <f>$D21*TCA!E21/100</f>
        <v>231.58</v>
      </c>
      <c r="F21" s="3">
        <f>$D21*TCA!F21/100</f>
        <v>3.99</v>
      </c>
      <c r="G21" s="3">
        <f>$D21*TCA!G21/100</f>
        <v>8.18</v>
      </c>
      <c r="H21" s="3">
        <f>$D21*TCA!H21/100</f>
        <v>35.5</v>
      </c>
      <c r="I21" s="3">
        <f>$D21*TCA!I21/100</f>
        <v>0</v>
      </c>
      <c r="J21" s="3">
        <f>$D21*TCA!J21/100</f>
        <v>0</v>
      </c>
      <c r="K21" s="3">
        <f>$D21*TCA!K21/100</f>
        <v>0</v>
      </c>
      <c r="L21" s="3">
        <f>$D21*TCA!L21/100</f>
        <v>0</v>
      </c>
      <c r="M21" s="3">
        <f>$D21*TCA!M21/100</f>
        <v>0</v>
      </c>
      <c r="N21" s="3">
        <f>$D21*TCA!N21/100</f>
        <v>18</v>
      </c>
      <c r="O21" s="3">
        <f>$D21*TCA!O21/100</f>
        <v>92</v>
      </c>
      <c r="P21" s="3">
        <f t="shared" si="0"/>
        <v>23.057644110275689</v>
      </c>
      <c r="Q21" s="3">
        <f>$D21*TCA!P21/100</f>
        <v>0.59</v>
      </c>
      <c r="R21" s="3">
        <f>$D21*TCA!Q21/100</f>
        <v>67</v>
      </c>
      <c r="S21" s="3">
        <f>$D21*TCA!R21/100</f>
        <v>178</v>
      </c>
      <c r="T21" s="3">
        <f>$D21*TCA!S21/100</f>
        <v>0.35</v>
      </c>
      <c r="U21" s="3">
        <f>$D21*TCA!T21/100</f>
        <v>0</v>
      </c>
      <c r="V21" s="3">
        <f>$D21*TCA!U21/100</f>
        <v>0</v>
      </c>
      <c r="W21" s="3">
        <f>$D21*TCA!V21/100</f>
        <v>0</v>
      </c>
      <c r="X21" s="3">
        <f>$D21*TCA!W21/100</f>
        <v>0</v>
      </c>
    </row>
    <row r="22" spans="1:24" x14ac:dyDescent="0.25">
      <c r="A22" s="3" t="s">
        <v>2025</v>
      </c>
      <c r="B22" s="3" t="s">
        <v>40</v>
      </c>
      <c r="C22" s="3" t="s">
        <v>41</v>
      </c>
      <c r="D22" s="3">
        <v>100</v>
      </c>
      <c r="E22" s="3">
        <f>$D22*TCA!E22/100</f>
        <v>360.96</v>
      </c>
      <c r="F22" s="3">
        <f>$D22*TCA!F22/100</f>
        <v>9.91</v>
      </c>
      <c r="G22" s="3">
        <f>$D22*TCA!G22/100</f>
        <v>1.1599999999999999</v>
      </c>
      <c r="H22" s="3">
        <f>$D22*TCA!H22/100</f>
        <v>77.72</v>
      </c>
      <c r="I22" s="3">
        <f>$D22*TCA!I22/100</f>
        <v>15.6</v>
      </c>
      <c r="J22" s="3">
        <f>$D22*TCA!J22/100</f>
        <v>0.24</v>
      </c>
      <c r="K22" s="3">
        <f>$D22*TCA!K22/100</f>
        <v>0.15</v>
      </c>
      <c r="L22" s="3">
        <f>$D22*TCA!L22/100</f>
        <v>0.56000000000000005</v>
      </c>
      <c r="M22" s="3">
        <f>$D22*TCA!M22/100</f>
        <v>0</v>
      </c>
      <c r="N22" s="3">
        <f>$D22*TCA!N22/100</f>
        <v>29</v>
      </c>
      <c r="O22" s="3">
        <f>$D22*TCA!O22/100</f>
        <v>221</v>
      </c>
      <c r="P22" s="3">
        <f t="shared" si="0"/>
        <v>22.300706357214935</v>
      </c>
      <c r="Q22" s="3">
        <f>$D22*TCA!P22/100</f>
        <v>2.5</v>
      </c>
      <c r="R22" s="3">
        <f>$D22*TCA!Q22/100</f>
        <v>280</v>
      </c>
      <c r="S22" s="3">
        <f>$D22*TCA!R22/100</f>
        <v>9</v>
      </c>
      <c r="T22" s="3">
        <f>$D22*TCA!S22/100</f>
        <v>213</v>
      </c>
      <c r="U22" s="3">
        <f>$D22*TCA!T22/100</f>
        <v>0</v>
      </c>
      <c r="V22" s="3">
        <f>$D22*TCA!U22/100</f>
        <v>1</v>
      </c>
      <c r="W22" s="3">
        <f>$D22*TCA!V22/100</f>
        <v>23</v>
      </c>
      <c r="X22" s="3">
        <f>$D22*TCA!W22/100</f>
        <v>0</v>
      </c>
    </row>
    <row r="23" spans="1:24" x14ac:dyDescent="0.25">
      <c r="A23" s="3" t="s">
        <v>2025</v>
      </c>
      <c r="B23" s="3" t="s">
        <v>42</v>
      </c>
      <c r="C23" s="3" t="s">
        <v>43</v>
      </c>
      <c r="D23" s="3">
        <v>100</v>
      </c>
      <c r="E23" s="3">
        <f>$D23*TCA!E23/100</f>
        <v>364.54</v>
      </c>
      <c r="F23" s="3">
        <f>$D23*TCA!F23/100</f>
        <v>12.48</v>
      </c>
      <c r="G23" s="3">
        <f>$D23*TCA!G23/100</f>
        <v>2.2999999999999998</v>
      </c>
      <c r="H23" s="3">
        <f>$D23*TCA!H23/100</f>
        <v>73.48</v>
      </c>
      <c r="I23" s="3">
        <f>$D23*TCA!I23/100</f>
        <v>17.3</v>
      </c>
      <c r="J23" s="3">
        <f>$D23*TCA!J23/100</f>
        <v>0.48</v>
      </c>
      <c r="K23" s="3">
        <f>$D23*TCA!K23/100</f>
        <v>0.28999999999999998</v>
      </c>
      <c r="L23" s="3">
        <f>$D23*TCA!L23/100</f>
        <v>1.1100000000000001</v>
      </c>
      <c r="M23" s="3">
        <f>$D23*TCA!M23/100</f>
        <v>0</v>
      </c>
      <c r="N23" s="3">
        <f>$D23*TCA!N23/100</f>
        <v>33</v>
      </c>
      <c r="O23" s="3">
        <f>$D23*TCA!O23/100</f>
        <v>264</v>
      </c>
      <c r="P23" s="3">
        <f t="shared" si="0"/>
        <v>21.153846153846153</v>
      </c>
      <c r="Q23" s="3">
        <f>$D23*TCA!P23/100</f>
        <v>3.6</v>
      </c>
      <c r="R23" s="3">
        <f>$D23*TCA!Q23/100</f>
        <v>452</v>
      </c>
      <c r="S23" s="3">
        <f>$D23*TCA!R23/100</f>
        <v>12</v>
      </c>
      <c r="T23" s="3">
        <f>$D23*TCA!S23/100</f>
        <v>2.77</v>
      </c>
      <c r="U23" s="3">
        <f>$D23*TCA!T23/100</f>
        <v>0</v>
      </c>
      <c r="V23" s="3">
        <f>$D23*TCA!U23/100</f>
        <v>1</v>
      </c>
      <c r="W23" s="3">
        <f>$D23*TCA!V23/100</f>
        <v>19</v>
      </c>
      <c r="X23" s="3">
        <f>$D23*TCA!W23/100</f>
        <v>0</v>
      </c>
    </row>
    <row r="24" spans="1:24" x14ac:dyDescent="0.25">
      <c r="A24" s="3" t="s">
        <v>2025</v>
      </c>
      <c r="B24" s="3" t="s">
        <v>44</v>
      </c>
      <c r="C24" s="3" t="s">
        <v>45</v>
      </c>
      <c r="D24" s="3">
        <v>100</v>
      </c>
      <c r="E24" s="3">
        <f>$D24*TCA!E24/100</f>
        <v>364.54</v>
      </c>
      <c r="F24" s="3">
        <f>$D24*TCA!F24/100</f>
        <v>12.48</v>
      </c>
      <c r="G24" s="3">
        <f>$D24*TCA!G24/100</f>
        <v>2.2999999999999998</v>
      </c>
      <c r="H24" s="3">
        <f>$D24*TCA!H24/100</f>
        <v>73.48</v>
      </c>
      <c r="I24" s="3">
        <f>$D24*TCA!I24/100</f>
        <v>17.3</v>
      </c>
      <c r="J24" s="3">
        <f>$D24*TCA!J24/100</f>
        <v>0.48</v>
      </c>
      <c r="K24" s="3">
        <f>$D24*TCA!K24/100</f>
        <v>0.28999999999999998</v>
      </c>
      <c r="L24" s="3">
        <f>$D24*TCA!L24/100</f>
        <v>1.1100000000000001</v>
      </c>
      <c r="M24" s="3">
        <f>$D24*TCA!M24/100</f>
        <v>0</v>
      </c>
      <c r="N24" s="3">
        <f>$D24*TCA!N24/100</f>
        <v>33</v>
      </c>
      <c r="O24" s="3">
        <f>$D24*TCA!O24/100</f>
        <v>264</v>
      </c>
      <c r="P24" s="3">
        <f t="shared" si="0"/>
        <v>21.153846153846153</v>
      </c>
      <c r="Q24" s="3">
        <f>$D24*TCA!P24/100</f>
        <v>3.6</v>
      </c>
      <c r="R24" s="3">
        <f>$D24*TCA!Q24/100</f>
        <v>452</v>
      </c>
      <c r="S24" s="3">
        <f>$D24*TCA!R24/100</f>
        <v>12</v>
      </c>
      <c r="T24" s="3">
        <f>$D24*TCA!S24/100</f>
        <v>2.77</v>
      </c>
      <c r="U24" s="3">
        <f>$D24*TCA!T24/100</f>
        <v>0</v>
      </c>
      <c r="V24" s="3">
        <f>$D24*TCA!U24/100</f>
        <v>1</v>
      </c>
      <c r="W24" s="3">
        <f>$D24*TCA!V24/100</f>
        <v>19</v>
      </c>
      <c r="X24" s="3">
        <f>$D24*TCA!W24/100</f>
        <v>0</v>
      </c>
    </row>
    <row r="25" spans="1:24" x14ac:dyDescent="0.25">
      <c r="A25" s="3" t="s">
        <v>2025</v>
      </c>
      <c r="B25" s="3" t="s">
        <v>46</v>
      </c>
      <c r="C25" s="3" t="s">
        <v>47</v>
      </c>
      <c r="D25" s="3">
        <v>100</v>
      </c>
      <c r="E25" s="3">
        <f>$D25*TCA!E25/100</f>
        <v>355.7</v>
      </c>
      <c r="F25" s="3">
        <f>$D25*TCA!F25/100</f>
        <v>0.19</v>
      </c>
      <c r="G25" s="3">
        <f>$D25*TCA!G25/100</f>
        <v>0.02</v>
      </c>
      <c r="H25" s="3">
        <f>$D25*TCA!H25/100</f>
        <v>88.69</v>
      </c>
      <c r="I25" s="3">
        <f>$D25*TCA!I25/100</f>
        <v>0.9</v>
      </c>
      <c r="J25" s="3">
        <f>$D25*TCA!J25/100</f>
        <v>0</v>
      </c>
      <c r="K25" s="3">
        <f>$D25*TCA!K25/100</f>
        <v>0</v>
      </c>
      <c r="L25" s="3">
        <f>$D25*TCA!L25/100</f>
        <v>0</v>
      </c>
      <c r="M25" s="3">
        <f>$D25*TCA!M25/100</f>
        <v>0</v>
      </c>
      <c r="N25" s="3">
        <f>$D25*TCA!N25/100</f>
        <v>20</v>
      </c>
      <c r="O25" s="3">
        <f>$D25*TCA!O25/100</f>
        <v>7</v>
      </c>
      <c r="P25" s="3">
        <f t="shared" si="0"/>
        <v>36.842105263157897</v>
      </c>
      <c r="Q25" s="3">
        <f>$D25*TCA!P25/100</f>
        <v>1.58</v>
      </c>
      <c r="R25" s="3">
        <f>$D25*TCA!Q25/100</f>
        <v>11</v>
      </c>
      <c r="S25" s="3">
        <f>$D25*TCA!R25/100</f>
        <v>1</v>
      </c>
      <c r="T25" s="3">
        <f>$D25*TCA!S25/100</f>
        <v>0.12</v>
      </c>
      <c r="U25" s="3">
        <f>$D25*TCA!T25/100</f>
        <v>0</v>
      </c>
      <c r="V25" s="3">
        <f>$D25*TCA!U25/100</f>
        <v>0</v>
      </c>
      <c r="W25" s="3">
        <f>$D25*TCA!V25/100</f>
        <v>4</v>
      </c>
      <c r="X25" s="3">
        <f>$D25*TCA!W25/100</f>
        <v>0</v>
      </c>
    </row>
    <row r="26" spans="1:24" x14ac:dyDescent="0.25">
      <c r="A26" s="3" t="s">
        <v>2025</v>
      </c>
      <c r="B26" s="3" t="s">
        <v>48</v>
      </c>
      <c r="C26" s="3" t="s">
        <v>49</v>
      </c>
      <c r="D26" s="3">
        <v>100</v>
      </c>
      <c r="E26" s="3">
        <f>$D26*TCA!E26/100</f>
        <v>360.58</v>
      </c>
      <c r="F26" s="3">
        <f>$D26*TCA!F26/100</f>
        <v>14.76</v>
      </c>
      <c r="G26" s="3">
        <f>$D26*TCA!G26/100</f>
        <v>2.5</v>
      </c>
      <c r="H26" s="3">
        <f>$D26*TCA!H26/100</f>
        <v>69.760000000000005</v>
      </c>
      <c r="I26" s="3">
        <f>$D26*TCA!I26/100</f>
        <v>14.6</v>
      </c>
      <c r="J26" s="3">
        <f>$D26*TCA!J26/100</f>
        <v>0.28999999999999998</v>
      </c>
      <c r="K26" s="3">
        <f>$D26*TCA!K26/100</f>
        <v>0.3</v>
      </c>
      <c r="L26" s="3">
        <f>$D26*TCA!L26/100</f>
        <v>1.1200000000000001</v>
      </c>
      <c r="M26" s="3">
        <f>$D26*TCA!M26/100</f>
        <v>0</v>
      </c>
      <c r="N26" s="3">
        <f>$D26*TCA!N26/100</f>
        <v>33</v>
      </c>
      <c r="O26" s="3">
        <f>$D26*TCA!O26/100</f>
        <v>374</v>
      </c>
      <c r="P26" s="3">
        <f t="shared" si="0"/>
        <v>25.338753387533874</v>
      </c>
      <c r="Q26" s="3">
        <f>$D26*TCA!P26/100</f>
        <v>2.67</v>
      </c>
      <c r="R26" s="3">
        <f>$D26*TCA!Q26/100</f>
        <v>264</v>
      </c>
      <c r="S26" s="3">
        <f>$D26*TCA!R26/100</f>
        <v>6</v>
      </c>
      <c r="T26" s="3">
        <f>$D26*TCA!S26/100</f>
        <v>3.73</v>
      </c>
      <c r="U26" s="3">
        <f>$D26*TCA!T26/100</f>
        <v>0</v>
      </c>
      <c r="V26" s="3">
        <f>$D26*TCA!U26/100</f>
        <v>1</v>
      </c>
      <c r="W26" s="3">
        <f>$D26*TCA!V26/100</f>
        <v>60</v>
      </c>
      <c r="X26" s="3">
        <f>$D26*TCA!W26/100</f>
        <v>0</v>
      </c>
    </row>
    <row r="27" spans="1:24" x14ac:dyDescent="0.25">
      <c r="A27" s="3" t="s">
        <v>2025</v>
      </c>
      <c r="B27" s="3" t="s">
        <v>50</v>
      </c>
      <c r="C27" s="3" t="s">
        <v>51</v>
      </c>
      <c r="D27" s="3">
        <v>100</v>
      </c>
      <c r="E27" s="3">
        <f>$D27*TCA!E27/100</f>
        <v>404.55</v>
      </c>
      <c r="F27" s="3">
        <f>$D27*TCA!F27/100</f>
        <v>13.64</v>
      </c>
      <c r="G27" s="3">
        <f>$D27*TCA!G27/100</f>
        <v>4.55</v>
      </c>
      <c r="H27" s="3">
        <f>$D27*TCA!H27/100</f>
        <v>77.27</v>
      </c>
      <c r="I27" s="3">
        <f>$D27*TCA!I27/100</f>
        <v>0</v>
      </c>
      <c r="J27" s="3">
        <f>$D27*TCA!J27/100</f>
        <v>0</v>
      </c>
      <c r="K27" s="3">
        <f>$D27*TCA!K27/100</f>
        <v>0</v>
      </c>
      <c r="L27" s="3">
        <f>$D27*TCA!L27/100</f>
        <v>0</v>
      </c>
      <c r="M27" s="3">
        <f>$D27*TCA!M27/100</f>
        <v>0</v>
      </c>
      <c r="N27" s="3">
        <f>$D27*TCA!N27/100</f>
        <v>0</v>
      </c>
      <c r="O27" s="3">
        <f>$D27*TCA!O27/100</f>
        <v>0</v>
      </c>
      <c r="P27" s="3">
        <f t="shared" si="0"/>
        <v>0</v>
      </c>
      <c r="Q27" s="3">
        <f>$D27*TCA!P27/100</f>
        <v>0</v>
      </c>
      <c r="R27" s="3">
        <f>$D27*TCA!Q27/100</f>
        <v>0</v>
      </c>
      <c r="S27" s="3">
        <f>$D27*TCA!R27/100</f>
        <v>68.180000000000007</v>
      </c>
      <c r="T27" s="3">
        <f>$D27*TCA!S27/100</f>
        <v>0</v>
      </c>
      <c r="U27" s="3">
        <f>$D27*TCA!T27/100</f>
        <v>0</v>
      </c>
      <c r="V27" s="3">
        <f>$D27*TCA!U27/100</f>
        <v>0</v>
      </c>
      <c r="W27" s="3">
        <f>$D27*TCA!V27/100</f>
        <v>0</v>
      </c>
      <c r="X27" s="3">
        <f>$D27*TCA!W27/100</f>
        <v>0</v>
      </c>
    </row>
    <row r="28" spans="1:24" x14ac:dyDescent="0.25">
      <c r="A28" s="3" t="s">
        <v>2025</v>
      </c>
      <c r="B28" s="3" t="s">
        <v>52</v>
      </c>
      <c r="C28" s="3" t="s">
        <v>53</v>
      </c>
      <c r="D28" s="3">
        <v>100</v>
      </c>
      <c r="E28" s="3">
        <f>$D28*TCA!E28/100</f>
        <v>391.46</v>
      </c>
      <c r="F28" s="3">
        <f>$D28*TCA!F28/100</f>
        <v>7.32</v>
      </c>
      <c r="G28" s="3">
        <f>$D28*TCA!G28/100</f>
        <v>1.22</v>
      </c>
      <c r="H28" s="3">
        <f>$D28*TCA!H28/100</f>
        <v>87.8</v>
      </c>
      <c r="I28" s="3">
        <f>$D28*TCA!I28/100</f>
        <v>0</v>
      </c>
      <c r="J28" s="3">
        <f>$D28*TCA!J28/100</f>
        <v>0</v>
      </c>
      <c r="K28" s="3">
        <f>$D28*TCA!K28/100</f>
        <v>0</v>
      </c>
      <c r="L28" s="3">
        <f>$D28*TCA!L28/100</f>
        <v>0</v>
      </c>
      <c r="M28" s="3">
        <f>$D28*TCA!M28/100</f>
        <v>0</v>
      </c>
      <c r="N28" s="3">
        <f>$D28*TCA!N28/100</f>
        <v>0</v>
      </c>
      <c r="O28" s="3">
        <f>$D28*TCA!O28/100</f>
        <v>98</v>
      </c>
      <c r="P28" s="3">
        <f t="shared" si="0"/>
        <v>13.387978142076502</v>
      </c>
      <c r="Q28" s="3">
        <f>$D28*TCA!P28/100</f>
        <v>30.73</v>
      </c>
      <c r="R28" s="3">
        <f>$D28*TCA!Q28/100</f>
        <v>98</v>
      </c>
      <c r="S28" s="3">
        <f>$D28*TCA!R28/100</f>
        <v>585</v>
      </c>
      <c r="T28" s="3">
        <f>$D28*TCA!S28/100</f>
        <v>18.29</v>
      </c>
      <c r="U28" s="3">
        <f>$D28*TCA!T28/100</f>
        <v>14.6</v>
      </c>
      <c r="V28" s="3">
        <f>$D28*TCA!U28/100</f>
        <v>731.7</v>
      </c>
      <c r="W28" s="3">
        <f>$D28*TCA!V28/100</f>
        <v>878</v>
      </c>
      <c r="X28" s="3">
        <f>$D28*TCA!W28/100</f>
        <v>8.7799999999999994</v>
      </c>
    </row>
    <row r="29" spans="1:24" x14ac:dyDescent="0.25">
      <c r="A29" s="3" t="s">
        <v>2025</v>
      </c>
      <c r="B29" s="3" t="s">
        <v>52</v>
      </c>
      <c r="C29" s="3" t="s">
        <v>54</v>
      </c>
      <c r="D29" s="3">
        <v>100</v>
      </c>
      <c r="E29" s="3">
        <f>$D29*TCA!E29/100</f>
        <v>389.7</v>
      </c>
      <c r="F29" s="3">
        <f>$D29*TCA!F29/100</f>
        <v>4.8</v>
      </c>
      <c r="G29" s="3">
        <f>$D29*TCA!G29/100</f>
        <v>1.3</v>
      </c>
      <c r="H29" s="3">
        <f>$D29*TCA!H29/100</f>
        <v>89.7</v>
      </c>
      <c r="I29" s="3">
        <f>$D29*TCA!I29/100</f>
        <v>8.4</v>
      </c>
      <c r="J29" s="3">
        <f>$D29*TCA!J29/100</f>
        <v>0.5</v>
      </c>
      <c r="K29" s="3">
        <f>$D29*TCA!K29/100</f>
        <v>0.2</v>
      </c>
      <c r="L29" s="3">
        <f>$D29*TCA!L29/100</f>
        <v>0.5</v>
      </c>
      <c r="M29" s="3">
        <f>$D29*TCA!M29/100</f>
        <v>0</v>
      </c>
      <c r="N29" s="3">
        <f>$D29*TCA!N29/100</f>
        <v>7</v>
      </c>
      <c r="O29" s="3">
        <f>$D29*TCA!O29/100</f>
        <v>52</v>
      </c>
      <c r="P29" s="3">
        <f t="shared" si="0"/>
        <v>10.833333333333334</v>
      </c>
      <c r="Q29" s="3">
        <f>$D29*TCA!P29/100</f>
        <v>6</v>
      </c>
      <c r="R29" s="3">
        <f>$D29*TCA!Q29/100</f>
        <v>113</v>
      </c>
      <c r="S29" s="3">
        <f>$D29*TCA!R29/100</f>
        <v>357</v>
      </c>
      <c r="T29" s="3">
        <f>$D29*TCA!S29/100</f>
        <v>5</v>
      </c>
      <c r="U29" s="3">
        <f>$D29*TCA!T29/100</f>
        <v>20</v>
      </c>
      <c r="V29" s="3">
        <f>$D29*TCA!U29/100</f>
        <v>467</v>
      </c>
      <c r="W29" s="3">
        <f>$D29*TCA!V29/100</f>
        <v>333</v>
      </c>
      <c r="X29" s="3">
        <f>$D29*TCA!W29/100</f>
        <v>5</v>
      </c>
    </row>
    <row r="30" spans="1:24" x14ac:dyDescent="0.25">
      <c r="A30" s="3" t="s">
        <v>2025</v>
      </c>
      <c r="B30" s="3" t="s">
        <v>55</v>
      </c>
      <c r="C30" s="3" t="s">
        <v>56</v>
      </c>
      <c r="D30" s="3">
        <v>100</v>
      </c>
      <c r="E30" s="3">
        <f>$D30*TCA!E30/100</f>
        <v>389.97</v>
      </c>
      <c r="F30" s="3">
        <f>$D30*TCA!F30/100</f>
        <v>3.33</v>
      </c>
      <c r="G30" s="3">
        <f>$D30*TCA!G30/100</f>
        <v>3.33</v>
      </c>
      <c r="H30" s="3">
        <f>$D30*TCA!H30/100</f>
        <v>86.67</v>
      </c>
      <c r="I30" s="3">
        <f>$D30*TCA!I30/100</f>
        <v>1.7</v>
      </c>
      <c r="J30" s="3">
        <f>$D30*TCA!J30/100</f>
        <v>0</v>
      </c>
      <c r="K30" s="3">
        <f>$D30*TCA!K30/100</f>
        <v>0</v>
      </c>
      <c r="L30" s="3">
        <f>$D30*TCA!L30/100</f>
        <v>0</v>
      </c>
      <c r="M30" s="3">
        <f>$D30*TCA!M30/100</f>
        <v>0</v>
      </c>
      <c r="N30" s="3">
        <f>$D30*TCA!N30/100</f>
        <v>0</v>
      </c>
      <c r="O30" s="3">
        <f>$D30*TCA!O30/100</f>
        <v>0</v>
      </c>
      <c r="P30" s="3">
        <f t="shared" si="0"/>
        <v>0</v>
      </c>
      <c r="Q30" s="3">
        <f>$D30*TCA!P30/100</f>
        <v>6</v>
      </c>
      <c r="R30" s="3">
        <f>$D30*TCA!Q30/100</f>
        <v>0</v>
      </c>
      <c r="S30" s="3">
        <f>$D30*TCA!R30/100</f>
        <v>300</v>
      </c>
      <c r="T30" s="3">
        <f>$D30*TCA!S30/100</f>
        <v>5</v>
      </c>
      <c r="U30" s="3">
        <f>$D30*TCA!T30/100</f>
        <v>0</v>
      </c>
      <c r="V30" s="3">
        <f>$D30*TCA!U30/100</f>
        <v>500.1</v>
      </c>
      <c r="W30" s="3">
        <f>$D30*TCA!V30/100</f>
        <v>0</v>
      </c>
      <c r="X30" s="3">
        <f>$D30*TCA!W30/100</f>
        <v>2</v>
      </c>
    </row>
    <row r="31" spans="1:24" x14ac:dyDescent="0.25">
      <c r="A31" s="3" t="s">
        <v>2025</v>
      </c>
      <c r="B31" s="3" t="s">
        <v>57</v>
      </c>
      <c r="C31" s="3" t="s">
        <v>58</v>
      </c>
      <c r="D31" s="3">
        <v>100</v>
      </c>
      <c r="E31" s="3">
        <f>$D31*TCA!E31/100</f>
        <v>364.52</v>
      </c>
      <c r="F31" s="3">
        <f>$D31*TCA!F31/100</f>
        <v>7.72</v>
      </c>
      <c r="G31" s="3">
        <f>$D31*TCA!G31/100</f>
        <v>2.72</v>
      </c>
      <c r="H31" s="3">
        <f>$D31*TCA!H31/100</f>
        <v>77.290000000000006</v>
      </c>
      <c r="I31" s="3">
        <f>$D31*TCA!I31/100</f>
        <v>11.4</v>
      </c>
      <c r="J31" s="3">
        <f>$D31*TCA!J31/100</f>
        <v>0.48</v>
      </c>
      <c r="K31" s="3">
        <f>$D31*TCA!K31/100</f>
        <v>0.34</v>
      </c>
      <c r="L31" s="3">
        <f>$D31*TCA!L31/100</f>
        <v>0.95</v>
      </c>
      <c r="M31" s="3">
        <f>$D31*TCA!M31/100</f>
        <v>0</v>
      </c>
      <c r="N31" s="3">
        <f>$D31*TCA!N31/100</f>
        <v>43</v>
      </c>
      <c r="O31" s="3">
        <f>$D31*TCA!O31/100</f>
        <v>347</v>
      </c>
      <c r="P31" s="3">
        <f t="shared" si="0"/>
        <v>44.948186528497409</v>
      </c>
      <c r="Q31" s="3">
        <f>$D31*TCA!P31/100</f>
        <v>12.33</v>
      </c>
      <c r="R31" s="3">
        <f>$D31*TCA!Q31/100</f>
        <v>653</v>
      </c>
      <c r="S31" s="3">
        <f>$D31*TCA!R31/100</f>
        <v>356</v>
      </c>
      <c r="T31" s="3" t="e">
        <f>$D31*TCA!S31/100</f>
        <v>#VALUE!</v>
      </c>
      <c r="U31" s="3">
        <f>$D31*TCA!T31/100</f>
        <v>0</v>
      </c>
      <c r="V31" s="3">
        <f>$D31*TCA!U31/100</f>
        <v>386</v>
      </c>
      <c r="W31" s="3">
        <f>$D31*TCA!V31/100</f>
        <v>201</v>
      </c>
      <c r="X31" s="3">
        <f>$D31*TCA!W31/100</f>
        <v>19</v>
      </c>
    </row>
    <row r="32" spans="1:24" x14ac:dyDescent="0.25">
      <c r="A32" s="3" t="s">
        <v>2025</v>
      </c>
      <c r="B32" s="3" t="s">
        <v>60</v>
      </c>
      <c r="C32" s="3" t="s">
        <v>61</v>
      </c>
      <c r="D32" s="3">
        <v>100</v>
      </c>
      <c r="E32" s="3">
        <f>$D32*TCA!E32/100</f>
        <v>392.3</v>
      </c>
      <c r="F32" s="3">
        <f>$D32*TCA!F32/100</f>
        <v>6.8</v>
      </c>
      <c r="G32" s="3">
        <f>$D32*TCA!G32/100</f>
        <v>1.9</v>
      </c>
      <c r="H32" s="3">
        <f>$D32*TCA!H32/100</f>
        <v>87</v>
      </c>
      <c r="I32" s="3">
        <f>$D32*TCA!I32/100</f>
        <v>3.4</v>
      </c>
      <c r="J32" s="3">
        <f>$D32*TCA!J32/100</f>
        <v>0.3</v>
      </c>
      <c r="K32" s="3">
        <f>$D32*TCA!K32/100</f>
        <v>1</v>
      </c>
      <c r="L32" s="3">
        <f>$D32*TCA!L32/100</f>
        <v>0.6</v>
      </c>
      <c r="M32" s="3">
        <f>$D32*TCA!M32/100</f>
        <v>0</v>
      </c>
      <c r="N32" s="3">
        <f>$D32*TCA!N32/100</f>
        <v>22</v>
      </c>
      <c r="O32" s="3">
        <f>$D32*TCA!O32/100</f>
        <v>60</v>
      </c>
      <c r="P32" s="3">
        <f t="shared" si="0"/>
        <v>8.8235294117647065</v>
      </c>
      <c r="Q32" s="3">
        <f>$D32*TCA!P32/100</f>
        <v>6.2</v>
      </c>
      <c r="R32" s="3">
        <f>$D32*TCA!Q32/100</f>
        <v>102</v>
      </c>
      <c r="S32" s="3">
        <f>$D32*TCA!R32/100</f>
        <v>700</v>
      </c>
      <c r="T32" s="3">
        <f>$D32*TCA!S32/100</f>
        <v>0.3</v>
      </c>
      <c r="U32" s="3">
        <f>$D32*TCA!T32/100</f>
        <v>20</v>
      </c>
      <c r="V32" s="3">
        <f>$D32*TCA!U32/100</f>
        <v>502</v>
      </c>
      <c r="W32" s="3">
        <f>$D32*TCA!V32/100</f>
        <v>553</v>
      </c>
      <c r="X32" s="3">
        <f>$D32*TCA!W32/100</f>
        <v>5</v>
      </c>
    </row>
    <row r="33" spans="1:24" x14ac:dyDescent="0.25">
      <c r="A33" s="3" t="s">
        <v>2025</v>
      </c>
      <c r="B33" s="3" t="s">
        <v>62</v>
      </c>
      <c r="C33" s="3" t="s">
        <v>63</v>
      </c>
      <c r="D33" s="3">
        <v>100</v>
      </c>
      <c r="E33" s="3">
        <f>$D33*TCA!E33/100</f>
        <v>448.57</v>
      </c>
      <c r="F33" s="3">
        <f>$D33*TCA!F33/100</f>
        <v>8.57</v>
      </c>
      <c r="G33" s="3">
        <f>$D33*TCA!G33/100</f>
        <v>14.29</v>
      </c>
      <c r="H33" s="3">
        <f>$D33*TCA!H33/100</f>
        <v>71.430000000000007</v>
      </c>
      <c r="I33" s="3">
        <f>$D33*TCA!I33/100</f>
        <v>2.86</v>
      </c>
      <c r="J33" s="3">
        <f>$D33*TCA!J33/100</f>
        <v>2.86</v>
      </c>
      <c r="K33" s="3">
        <f>$D33*TCA!K33/100</f>
        <v>4.29</v>
      </c>
      <c r="L33" s="3">
        <f>$D33*TCA!L33/100</f>
        <v>8.57</v>
      </c>
      <c r="M33" s="3">
        <f>$D33*TCA!M33/100</f>
        <v>0</v>
      </c>
      <c r="N33" s="3">
        <f>$D33*TCA!N33/100</f>
        <v>0</v>
      </c>
      <c r="O33" s="3">
        <f>$D33*TCA!O33/100</f>
        <v>0</v>
      </c>
      <c r="P33" s="3">
        <f t="shared" si="0"/>
        <v>0</v>
      </c>
      <c r="Q33" s="3">
        <f>$D33*TCA!P33/100</f>
        <v>0</v>
      </c>
      <c r="R33" s="3">
        <f>$D33*TCA!Q33/100</f>
        <v>0</v>
      </c>
      <c r="S33" s="3">
        <f>$D33*TCA!R33/100</f>
        <v>514.29</v>
      </c>
      <c r="T33" s="3">
        <f>$D33*TCA!S33/100</f>
        <v>0</v>
      </c>
      <c r="U33" s="3">
        <f>$D33*TCA!T33/100</f>
        <v>0</v>
      </c>
      <c r="V33" s="3">
        <f>$D33*TCA!U33/100</f>
        <v>0</v>
      </c>
      <c r="W33" s="3">
        <f>$D33*TCA!V33/100</f>
        <v>0</v>
      </c>
      <c r="X33" s="3">
        <f>$D33*TCA!W33/100</f>
        <v>0</v>
      </c>
    </row>
    <row r="34" spans="1:24" x14ac:dyDescent="0.25">
      <c r="A34" s="3" t="s">
        <v>2025</v>
      </c>
      <c r="B34" s="3" t="s">
        <v>64</v>
      </c>
      <c r="C34" s="3" t="s">
        <v>65</v>
      </c>
      <c r="D34" s="3">
        <v>100</v>
      </c>
      <c r="E34" s="3">
        <f>$D34*TCA!E34/100</f>
        <v>397.98</v>
      </c>
      <c r="F34" s="3">
        <f>$D34*TCA!F34/100</f>
        <v>5.04</v>
      </c>
      <c r="G34" s="3">
        <f>$D34*TCA!G34/100</f>
        <v>3.1</v>
      </c>
      <c r="H34" s="3">
        <f>$D34*TCA!H34/100</f>
        <v>87.48</v>
      </c>
      <c r="I34" s="3">
        <f>$D34*TCA!I34/100</f>
        <v>2.5</v>
      </c>
      <c r="J34" s="3">
        <f>$D34*TCA!J34/100</f>
        <v>1.52</v>
      </c>
      <c r="K34" s="3">
        <f>$D34*TCA!K34/100</f>
        <v>0.43</v>
      </c>
      <c r="L34" s="3">
        <f>$D34*TCA!L34/100</f>
        <v>0.68</v>
      </c>
      <c r="M34" s="3">
        <f>$D34*TCA!M34/100</f>
        <v>0</v>
      </c>
      <c r="N34" s="3">
        <f>$D34*TCA!N34/100</f>
        <v>14</v>
      </c>
      <c r="O34" s="3">
        <f>$D34*TCA!O34/100</f>
        <v>112</v>
      </c>
      <c r="P34" s="3">
        <f t="shared" si="0"/>
        <v>22.222222222222221</v>
      </c>
      <c r="Q34" s="3">
        <f>$D34*TCA!P34/100</f>
        <v>20.399999999999999</v>
      </c>
      <c r="R34" s="3">
        <f>$D34*TCA!Q34/100</f>
        <v>120</v>
      </c>
      <c r="S34" s="3">
        <f>$D34*TCA!R34/100</f>
        <v>501</v>
      </c>
      <c r="T34" s="3">
        <f>$D34*TCA!S34/100</f>
        <v>19</v>
      </c>
      <c r="U34" s="3">
        <f>$D34*TCA!T34/100</f>
        <v>47</v>
      </c>
      <c r="V34" s="3">
        <f>$D34*TCA!U34/100</f>
        <v>467</v>
      </c>
      <c r="W34" s="3">
        <f>$D34*TCA!V34/100</f>
        <v>585</v>
      </c>
      <c r="X34" s="3">
        <f>$D34*TCA!W34/100</f>
        <v>7.07</v>
      </c>
    </row>
    <row r="35" spans="1:24" x14ac:dyDescent="0.25">
      <c r="A35" s="3" t="s">
        <v>2025</v>
      </c>
      <c r="B35" s="3" t="s">
        <v>66</v>
      </c>
      <c r="C35" s="3" t="s">
        <v>67</v>
      </c>
      <c r="D35" s="3">
        <v>100</v>
      </c>
      <c r="E35" s="3">
        <f>$D35*TCA!E35/100</f>
        <v>471.11</v>
      </c>
      <c r="F35" s="3">
        <f>$D35*TCA!F35/100</f>
        <v>15.56</v>
      </c>
      <c r="G35" s="3">
        <f>$D35*TCA!G35/100</f>
        <v>17.78</v>
      </c>
      <c r="H35" s="3">
        <f>$D35*TCA!H35/100</f>
        <v>62.22</v>
      </c>
      <c r="I35" s="3">
        <f>$D35*TCA!I35/100</f>
        <v>8.89</v>
      </c>
      <c r="J35" s="3">
        <f>$D35*TCA!J35/100</f>
        <v>2.2200000000000002</v>
      </c>
      <c r="K35" s="3">
        <f>$D35*TCA!K35/100</f>
        <v>11.11</v>
      </c>
      <c r="L35" s="3">
        <f>$D35*TCA!L35/100</f>
        <v>3.33</v>
      </c>
      <c r="M35" s="3">
        <f>$D35*TCA!M35/100</f>
        <v>0</v>
      </c>
      <c r="N35" s="3">
        <f>$D35*TCA!N35/100</f>
        <v>0</v>
      </c>
      <c r="O35" s="3">
        <f>$D35*TCA!O35/100</f>
        <v>0</v>
      </c>
      <c r="P35" s="3">
        <f t="shared" si="0"/>
        <v>0</v>
      </c>
      <c r="Q35" s="3">
        <f>$D35*TCA!P35/100</f>
        <v>0</v>
      </c>
      <c r="R35" s="3">
        <f>$D35*TCA!Q35/100</f>
        <v>0</v>
      </c>
      <c r="S35" s="3">
        <f>$D35*TCA!R35/100</f>
        <v>66.67</v>
      </c>
      <c r="T35" s="3">
        <f>$D35*TCA!S35/100</f>
        <v>0</v>
      </c>
      <c r="U35" s="3">
        <f>$D35*TCA!T35/100</f>
        <v>0</v>
      </c>
      <c r="V35" s="3">
        <f>$D35*TCA!U35/100</f>
        <v>0</v>
      </c>
      <c r="W35" s="3">
        <f>$D35*TCA!V35/100</f>
        <v>0</v>
      </c>
      <c r="X35" s="3">
        <f>$D35*TCA!W35/100</f>
        <v>0</v>
      </c>
    </row>
    <row r="36" spans="1:24" x14ac:dyDescent="0.25">
      <c r="A36" s="3" t="s">
        <v>2025</v>
      </c>
      <c r="B36" s="3" t="s">
        <v>68</v>
      </c>
      <c r="C36" s="3" t="s">
        <v>69</v>
      </c>
      <c r="D36" s="3">
        <v>100</v>
      </c>
      <c r="E36" s="3">
        <f>$D36*TCA!E36/100</f>
        <v>441.38</v>
      </c>
      <c r="F36" s="3">
        <f>$D36*TCA!F36/100</f>
        <v>10.55</v>
      </c>
      <c r="G36" s="3">
        <f>$D36*TCA!G36/100</f>
        <v>11.62</v>
      </c>
      <c r="H36" s="3">
        <f>$D36*TCA!H36/100</f>
        <v>73.650000000000006</v>
      </c>
      <c r="I36" s="3">
        <f>$D36*TCA!I36/100</f>
        <v>10.199999999999999</v>
      </c>
      <c r="J36" s="3">
        <f>$D36*TCA!J36/100</f>
        <v>1.24</v>
      </c>
      <c r="K36" s="3">
        <f>$D36*TCA!K36/100</f>
        <v>6.6</v>
      </c>
      <c r="L36" s="3">
        <f>$D36*TCA!L36/100</f>
        <v>2.68</v>
      </c>
      <c r="M36" s="3">
        <f>$D36*TCA!M36/100</f>
        <v>2</v>
      </c>
      <c r="N36" s="3">
        <f>$D36*TCA!N36/100</f>
        <v>109</v>
      </c>
      <c r="O36" s="3">
        <f>$D36*TCA!O36/100</f>
        <v>357</v>
      </c>
      <c r="P36" s="3">
        <f t="shared" si="0"/>
        <v>33.838862559241704</v>
      </c>
      <c r="Q36" s="3">
        <f>$D36*TCA!P36/100</f>
        <v>392</v>
      </c>
      <c r="R36" s="3">
        <f>$D36*TCA!Q36/100</f>
        <v>483</v>
      </c>
      <c r="S36" s="3">
        <f>$D36*TCA!R36/100</f>
        <v>50</v>
      </c>
      <c r="T36" s="3">
        <f>$D36*TCA!S36/100</f>
        <v>2.95</v>
      </c>
      <c r="U36" s="3">
        <f>$D36*TCA!T36/100</f>
        <v>0.2</v>
      </c>
      <c r="V36" s="3">
        <f>$D36*TCA!U36/100</f>
        <v>2</v>
      </c>
      <c r="W36" s="3">
        <f>$D36*TCA!V36/100</f>
        <v>37</v>
      </c>
      <c r="X36" s="3">
        <f>$D36*TCA!W36/100</f>
        <v>0.17</v>
      </c>
    </row>
    <row r="37" spans="1:24" x14ac:dyDescent="0.25">
      <c r="A37" s="3" t="s">
        <v>2025</v>
      </c>
      <c r="B37" s="3" t="s">
        <v>70</v>
      </c>
      <c r="C37" s="3" t="s">
        <v>71</v>
      </c>
      <c r="D37" s="3">
        <v>100</v>
      </c>
      <c r="E37" s="3">
        <f>$D37*TCA!E37/100</f>
        <v>393.4</v>
      </c>
      <c r="F37" s="3">
        <f>$D37*TCA!F37/100</f>
        <v>8</v>
      </c>
      <c r="G37" s="3">
        <f>$D37*TCA!G37/100</f>
        <v>4.5999999999999996</v>
      </c>
      <c r="H37" s="3">
        <f>$D37*TCA!H37/100</f>
        <v>80</v>
      </c>
      <c r="I37" s="3">
        <f>$D37*TCA!I37/100</f>
        <v>5</v>
      </c>
      <c r="J37" s="3">
        <f>$D37*TCA!J37/100</f>
        <v>0.85</v>
      </c>
      <c r="K37" s="3">
        <f>$D37*TCA!K37/100</f>
        <v>2.12</v>
      </c>
      <c r="L37" s="3">
        <f>$D37*TCA!L37/100</f>
        <v>1.1399999999999999</v>
      </c>
      <c r="M37" s="3">
        <f>$D37*TCA!M37/100</f>
        <v>0</v>
      </c>
      <c r="N37" s="3">
        <f>$D37*TCA!N37/100</f>
        <v>36</v>
      </c>
      <c r="O37" s="3">
        <f>$D37*TCA!O37/100</f>
        <v>273</v>
      </c>
      <c r="P37" s="3">
        <f t="shared" si="0"/>
        <v>34.125</v>
      </c>
      <c r="Q37" s="3">
        <f>$D37*TCA!P37/100</f>
        <v>2</v>
      </c>
      <c r="R37" s="3">
        <f>$D37*TCA!Q37/100</f>
        <v>279</v>
      </c>
      <c r="S37" s="3">
        <f>$D37*TCA!R37/100</f>
        <v>376</v>
      </c>
      <c r="T37" s="3">
        <f>$D37*TCA!S37/100</f>
        <v>1.1000000000000001</v>
      </c>
      <c r="U37" s="3">
        <f>$D37*TCA!T37/100</f>
        <v>0</v>
      </c>
      <c r="V37" s="3">
        <f>$D37*TCA!U37/100</f>
        <v>0</v>
      </c>
      <c r="W37" s="3">
        <f>$D37*TCA!V37/100</f>
        <v>13</v>
      </c>
      <c r="X37" s="3">
        <f>$D37*TCA!W37/100</f>
        <v>0</v>
      </c>
    </row>
    <row r="38" spans="1:24" x14ac:dyDescent="0.25">
      <c r="A38" s="3" t="s">
        <v>2025</v>
      </c>
      <c r="B38" s="3" t="s">
        <v>72</v>
      </c>
      <c r="C38" s="3" t="s">
        <v>73</v>
      </c>
      <c r="D38" s="3">
        <v>100</v>
      </c>
      <c r="E38" s="3">
        <f>$D38*TCA!E38/100</f>
        <v>488.99</v>
      </c>
      <c r="F38" s="3">
        <f>$D38*TCA!F38/100</f>
        <v>13.67</v>
      </c>
      <c r="G38" s="3">
        <f>$D38*TCA!G38/100</f>
        <v>24.31</v>
      </c>
      <c r="H38" s="3">
        <f>$D38*TCA!H38/100</f>
        <v>53.88</v>
      </c>
      <c r="I38" s="3">
        <f>$D38*TCA!I38/100</f>
        <v>8.9</v>
      </c>
      <c r="J38" s="3">
        <f>$D38*TCA!J38/100</f>
        <v>3.96</v>
      </c>
      <c r="K38" s="3">
        <f>$D38*TCA!K38/100</f>
        <v>10.95</v>
      </c>
      <c r="L38" s="3">
        <f>$D38*TCA!L38/100</f>
        <v>7.81</v>
      </c>
      <c r="M38" s="3">
        <f>$D38*TCA!M38/100</f>
        <v>0</v>
      </c>
      <c r="N38" s="3">
        <f>$D38*TCA!N38/100</f>
        <v>76</v>
      </c>
      <c r="O38" s="3">
        <f>$D38*TCA!O38/100</f>
        <v>431</v>
      </c>
      <c r="P38" s="3">
        <f t="shared" si="0"/>
        <v>31.528895391367961</v>
      </c>
      <c r="Q38" s="3">
        <f>$D38*TCA!P38/100</f>
        <v>3.95</v>
      </c>
      <c r="R38" s="3">
        <f>$D38*TCA!Q38/100</f>
        <v>539</v>
      </c>
      <c r="S38" s="3">
        <f>$D38*TCA!R38/100</f>
        <v>26</v>
      </c>
      <c r="T38" s="3">
        <f>$D38*TCA!S38/100</f>
        <v>4.17</v>
      </c>
      <c r="U38" s="3">
        <f>$D38*TCA!T38/100</f>
        <v>1.2</v>
      </c>
      <c r="V38" s="3">
        <f>$D38*TCA!U38/100</f>
        <v>1</v>
      </c>
      <c r="W38" s="3">
        <f>$D38*TCA!V38/100</f>
        <v>84</v>
      </c>
      <c r="X38" s="3">
        <f>$D38*TCA!W38/100</f>
        <v>0</v>
      </c>
    </row>
    <row r="39" spans="1:24" x14ac:dyDescent="0.25">
      <c r="A39" s="3" t="s">
        <v>2025</v>
      </c>
      <c r="B39" s="3" t="s">
        <v>74</v>
      </c>
      <c r="C39" s="3" t="s">
        <v>75</v>
      </c>
      <c r="D39" s="3">
        <v>100</v>
      </c>
      <c r="E39" s="3">
        <f>$D39*TCA!E39/100</f>
        <v>379.08</v>
      </c>
      <c r="F39" s="3">
        <f>$D39*TCA!F39/100</f>
        <v>3.3</v>
      </c>
      <c r="G39" s="3">
        <f>$D39*TCA!G39/100</f>
        <v>0.52</v>
      </c>
      <c r="H39" s="3">
        <f>$D39*TCA!H39/100</f>
        <v>90.3</v>
      </c>
      <c r="I39" s="3">
        <f>$D39*TCA!I39/100</f>
        <v>3.2</v>
      </c>
      <c r="J39" s="3">
        <f>$D39*TCA!J39/100</f>
        <v>0.17</v>
      </c>
      <c r="K39" s="3">
        <f>$D39*TCA!K39/100</f>
        <v>0.09</v>
      </c>
      <c r="L39" s="3">
        <f>$D39*TCA!L39/100</f>
        <v>0.3</v>
      </c>
      <c r="M39" s="3">
        <f>$D39*TCA!M39/100</f>
        <v>0</v>
      </c>
      <c r="N39" s="3">
        <f>$D39*TCA!N39/100</f>
        <v>5</v>
      </c>
      <c r="O39" s="3">
        <f>$D39*TCA!O39/100</f>
        <v>34</v>
      </c>
      <c r="P39" s="3">
        <f t="shared" si="0"/>
        <v>10.303030303030303</v>
      </c>
      <c r="Q39" s="3">
        <f>$D39*TCA!P39/100</f>
        <v>14.5</v>
      </c>
      <c r="R39" s="3">
        <f>$D39*TCA!Q39/100</f>
        <v>73</v>
      </c>
      <c r="S39" s="3">
        <f>$D39*TCA!R39/100</f>
        <v>479</v>
      </c>
      <c r="T39" s="3">
        <f>$D39*TCA!S39/100</f>
        <v>0.18</v>
      </c>
      <c r="U39" s="3">
        <f>$D39*TCA!T39/100</f>
        <v>20</v>
      </c>
      <c r="V39" s="3">
        <f>$D39*TCA!U39/100</f>
        <v>517</v>
      </c>
      <c r="W39" s="3">
        <f>$D39*TCA!V39/100</f>
        <v>543</v>
      </c>
      <c r="X39" s="3">
        <f>$D39*TCA!W39/100</f>
        <v>5</v>
      </c>
    </row>
    <row r="40" spans="1:24" x14ac:dyDescent="0.25">
      <c r="A40" s="3" t="s">
        <v>2025</v>
      </c>
      <c r="B40" s="3" t="s">
        <v>76</v>
      </c>
      <c r="C40" s="3" t="s">
        <v>77</v>
      </c>
      <c r="D40" s="3">
        <v>100</v>
      </c>
      <c r="E40" s="3">
        <f>$D40*TCA!E40/100</f>
        <v>370</v>
      </c>
      <c r="F40" s="3">
        <f>$D40*TCA!F40/100</f>
        <v>7.5</v>
      </c>
      <c r="G40" s="3">
        <f>$D40*TCA!G40/100</f>
        <v>0.4</v>
      </c>
      <c r="H40" s="3">
        <f>$D40*TCA!H40/100</f>
        <v>84.1</v>
      </c>
      <c r="I40" s="3">
        <f>$D40*TCA!I40/100</f>
        <v>3.3</v>
      </c>
      <c r="J40" s="3">
        <f>$D40*TCA!J40/100</f>
        <v>0.12</v>
      </c>
      <c r="K40" s="3">
        <f>$D40*TCA!K40/100</f>
        <v>7.0000000000000007E-2</v>
      </c>
      <c r="L40" s="3">
        <f>$D40*TCA!L40/100</f>
        <v>0.2</v>
      </c>
      <c r="M40" s="3">
        <f>$D40*TCA!M40/100</f>
        <v>0</v>
      </c>
      <c r="N40" s="3">
        <f>$D40*TCA!N40/100</f>
        <v>5</v>
      </c>
      <c r="O40" s="3">
        <f>$D40*TCA!O40/100</f>
        <v>102</v>
      </c>
      <c r="P40" s="3">
        <f t="shared" si="0"/>
        <v>13.6</v>
      </c>
      <c r="Q40" s="3">
        <f>$D40*TCA!P40/100</f>
        <v>28.9</v>
      </c>
      <c r="R40" s="3">
        <f>$D40*TCA!Q40/100</f>
        <v>168</v>
      </c>
      <c r="S40" s="3">
        <f>$D40*TCA!R40/100</f>
        <v>729</v>
      </c>
      <c r="T40" s="3">
        <f>$D40*TCA!S40/100</f>
        <v>1</v>
      </c>
      <c r="U40" s="3">
        <f>$D40*TCA!T40/100</f>
        <v>21</v>
      </c>
      <c r="V40" s="3">
        <f>$D40*TCA!U40/100</f>
        <v>490</v>
      </c>
      <c r="W40" s="3">
        <f>$D40*TCA!V40/100</f>
        <v>34</v>
      </c>
      <c r="X40" s="3">
        <f>$D40*TCA!W40/100</f>
        <v>357</v>
      </c>
    </row>
    <row r="41" spans="1:24" x14ac:dyDescent="0.25">
      <c r="A41" s="3" t="s">
        <v>2025</v>
      </c>
      <c r="B41" s="3" t="s">
        <v>78</v>
      </c>
      <c r="C41" s="3" t="s">
        <v>79</v>
      </c>
      <c r="D41" s="3">
        <v>100</v>
      </c>
      <c r="E41" s="3">
        <f>$D41*TCA!E41/100</f>
        <v>393.62</v>
      </c>
      <c r="F41" s="3">
        <f>$D41*TCA!F41/100</f>
        <v>13.14</v>
      </c>
      <c r="G41" s="3">
        <f>$D41*TCA!G41/100</f>
        <v>4.9000000000000004</v>
      </c>
      <c r="H41" s="3">
        <f>$D41*TCA!H41/100</f>
        <v>74.239999999999995</v>
      </c>
      <c r="I41" s="3">
        <f>$D41*TCA!I41/100</f>
        <v>29.3</v>
      </c>
      <c r="J41" s="3">
        <f>$D41*TCA!J41/100</f>
        <v>0.64</v>
      </c>
      <c r="K41" s="3">
        <f>$D41*TCA!K41/100</f>
        <v>0.67</v>
      </c>
      <c r="L41" s="3">
        <f>$D41*TCA!L41/100</f>
        <v>2.11</v>
      </c>
      <c r="M41" s="3">
        <f>$D41*TCA!M41/100</f>
        <v>0</v>
      </c>
      <c r="N41" s="3">
        <f>$D41*TCA!N41/100</f>
        <v>389</v>
      </c>
      <c r="O41" s="3">
        <f>$D41*TCA!O41/100</f>
        <v>1150</v>
      </c>
      <c r="P41" s="3">
        <f t="shared" si="0"/>
        <v>87.519025875190252</v>
      </c>
      <c r="Q41" s="3">
        <f>$D41*TCA!P41/100</f>
        <v>17.600000000000001</v>
      </c>
      <c r="R41" s="3">
        <f>$D41*TCA!Q41/100</f>
        <v>1020</v>
      </c>
      <c r="S41" s="3">
        <f>$D41*TCA!R41/100</f>
        <v>242</v>
      </c>
      <c r="T41" s="3">
        <f>$D41*TCA!S41/100</f>
        <v>12.4</v>
      </c>
      <c r="U41" s="3">
        <f>$D41*TCA!T41/100</f>
        <v>20</v>
      </c>
      <c r="V41" s="3">
        <f>$D41*TCA!U41/100</f>
        <v>525</v>
      </c>
      <c r="W41" s="3">
        <f>$D41*TCA!V41/100</f>
        <v>2198</v>
      </c>
      <c r="X41" s="3">
        <f>$D41*TCA!W41/100</f>
        <v>18.8</v>
      </c>
    </row>
    <row r="42" spans="1:24" x14ac:dyDescent="0.25">
      <c r="A42" s="3" t="s">
        <v>2025</v>
      </c>
      <c r="B42" s="3" t="s">
        <v>80</v>
      </c>
      <c r="C42" s="3" t="s">
        <v>81</v>
      </c>
      <c r="D42" s="3">
        <v>100</v>
      </c>
      <c r="E42" s="3">
        <f>$D42*TCA!E42/100</f>
        <v>408.6</v>
      </c>
      <c r="F42" s="3">
        <f>$D42*TCA!F42/100</f>
        <v>5</v>
      </c>
      <c r="G42" s="3">
        <f>$D42*TCA!G42/100</f>
        <v>5.4</v>
      </c>
      <c r="H42" s="3">
        <f>$D42*TCA!H42/100</f>
        <v>85</v>
      </c>
      <c r="I42" s="3">
        <f>$D42*TCA!I42/100</f>
        <v>0</v>
      </c>
      <c r="J42" s="3">
        <f>$D42*TCA!J42/100</f>
        <v>1.3</v>
      </c>
      <c r="K42" s="3">
        <f>$D42*TCA!K42/100</f>
        <v>0</v>
      </c>
      <c r="L42" s="3">
        <f>$D42*TCA!L42/100</f>
        <v>0</v>
      </c>
      <c r="M42" s="3">
        <f>$D42*TCA!M42/100</f>
        <v>0</v>
      </c>
      <c r="N42" s="3">
        <f>$D42*TCA!N42/100</f>
        <v>333</v>
      </c>
      <c r="O42" s="3">
        <f>$D42*TCA!O42/100</f>
        <v>133</v>
      </c>
      <c r="P42" s="3">
        <f t="shared" si="0"/>
        <v>26.6</v>
      </c>
      <c r="Q42" s="3">
        <f>$D42*TCA!P42/100</f>
        <v>15</v>
      </c>
      <c r="R42" s="3">
        <f>$D42*TCA!Q42/100</f>
        <v>223</v>
      </c>
      <c r="S42" s="3">
        <f>$D42*TCA!R42/100</f>
        <v>615</v>
      </c>
      <c r="T42" s="3">
        <f>$D42*TCA!S42/100</f>
        <v>12.5</v>
      </c>
      <c r="U42" s="3">
        <f>$D42*TCA!T42/100</f>
        <v>20</v>
      </c>
      <c r="V42" s="3">
        <f>$D42*TCA!U42/100</f>
        <v>501</v>
      </c>
      <c r="W42" s="3">
        <f>$D42*TCA!V42/100</f>
        <v>553</v>
      </c>
      <c r="X42" s="3">
        <f>$D42*TCA!W42/100</f>
        <v>5</v>
      </c>
    </row>
    <row r="43" spans="1:24" x14ac:dyDescent="0.25">
      <c r="A43" s="3" t="s">
        <v>2025</v>
      </c>
      <c r="B43" s="3" t="s">
        <v>82</v>
      </c>
      <c r="C43" s="3" t="s">
        <v>83</v>
      </c>
      <c r="D43" s="3">
        <v>100</v>
      </c>
      <c r="E43" s="3">
        <f>$D43*TCA!E43/100</f>
        <v>381</v>
      </c>
      <c r="F43" s="3">
        <f>$D43*TCA!F43/100</f>
        <v>17.8</v>
      </c>
      <c r="G43" s="3">
        <f>$D43*TCA!G43/100</f>
        <v>1.8</v>
      </c>
      <c r="H43" s="3">
        <f>$D43*TCA!H43/100</f>
        <v>73.400000000000006</v>
      </c>
      <c r="I43" s="3">
        <f>$D43*TCA!I43/100</f>
        <v>1.4</v>
      </c>
      <c r="J43" s="3">
        <f>$D43*TCA!J43/100</f>
        <v>0.4</v>
      </c>
      <c r="K43" s="3">
        <f>$D43*TCA!K43/100</f>
        <v>0.3</v>
      </c>
      <c r="L43" s="3">
        <f>$D43*TCA!L43/100</f>
        <v>0.4</v>
      </c>
      <c r="M43" s="3">
        <f>$D43*TCA!M43/100</f>
        <v>0</v>
      </c>
      <c r="N43" s="3">
        <f>$D43*TCA!N43/100</f>
        <v>23</v>
      </c>
      <c r="O43" s="3">
        <f>$D43*TCA!O43/100</f>
        <v>48</v>
      </c>
      <c r="P43" s="3">
        <f t="shared" si="0"/>
        <v>2.696629213483146</v>
      </c>
      <c r="Q43" s="3">
        <f>$D43*TCA!P43/100</f>
        <v>28</v>
      </c>
      <c r="R43" s="3">
        <f>$D43*TCA!Q43/100</f>
        <v>53</v>
      </c>
      <c r="S43" s="3">
        <f>$D43*TCA!R43/100</f>
        <v>667</v>
      </c>
      <c r="T43" s="3">
        <f>$D43*TCA!S43/100</f>
        <v>0.7</v>
      </c>
      <c r="U43" s="3">
        <f>$D43*TCA!T43/100</f>
        <v>68</v>
      </c>
      <c r="V43" s="3">
        <f>$D43*TCA!U43/100</f>
        <v>500.1</v>
      </c>
      <c r="W43" s="3">
        <f>$D43*TCA!V43/100</f>
        <v>1290</v>
      </c>
      <c r="X43" s="3">
        <f>$D43*TCA!W43/100</f>
        <v>19.399999999999999</v>
      </c>
    </row>
    <row r="44" spans="1:24" x14ac:dyDescent="0.25">
      <c r="A44" s="3" t="s">
        <v>2025</v>
      </c>
      <c r="B44" s="3" t="s">
        <v>84</v>
      </c>
      <c r="C44" s="3" t="s">
        <v>85</v>
      </c>
      <c r="D44" s="3">
        <v>100</v>
      </c>
      <c r="E44" s="3">
        <f>$D44*TCA!E44/100</f>
        <v>413.5</v>
      </c>
      <c r="F44" s="3">
        <f>$D44*TCA!F44/100</f>
        <v>15</v>
      </c>
      <c r="G44" s="3">
        <f>$D44*TCA!G44/100</f>
        <v>9.5</v>
      </c>
      <c r="H44" s="3">
        <f>$D44*TCA!H44/100</f>
        <v>67</v>
      </c>
      <c r="I44" s="3">
        <f>$D44*TCA!I44/100</f>
        <v>2</v>
      </c>
      <c r="J44" s="3">
        <f>$D44*TCA!J44/100</f>
        <v>4.26</v>
      </c>
      <c r="K44" s="3">
        <f>$D44*TCA!K44/100</f>
        <v>3.2</v>
      </c>
      <c r="L44" s="3">
        <f>$D44*TCA!L44/100</f>
        <v>1.94</v>
      </c>
      <c r="M44" s="3">
        <f>$D44*TCA!M44/100</f>
        <v>21</v>
      </c>
      <c r="N44" s="3">
        <f>$D44*TCA!N44/100</f>
        <v>0</v>
      </c>
      <c r="O44" s="3">
        <f>$D44*TCA!O44/100</f>
        <v>0</v>
      </c>
      <c r="P44" s="3">
        <f t="shared" si="0"/>
        <v>0</v>
      </c>
      <c r="Q44" s="3">
        <f>$D44*TCA!P44/100</f>
        <v>0</v>
      </c>
      <c r="R44" s="3">
        <f>$D44*TCA!Q44/100</f>
        <v>0</v>
      </c>
      <c r="S44" s="3">
        <f>$D44*TCA!R44/100</f>
        <v>150</v>
      </c>
      <c r="T44" s="3">
        <f>$D44*TCA!S44/100</f>
        <v>0</v>
      </c>
      <c r="U44" s="3">
        <f>$D44*TCA!T44/100</f>
        <v>0</v>
      </c>
      <c r="V44" s="3">
        <f>$D44*TCA!U44/100</f>
        <v>0</v>
      </c>
      <c r="W44" s="3">
        <f>$D44*TCA!V44/100</f>
        <v>0</v>
      </c>
      <c r="X44" s="3">
        <f>$D44*TCA!W44/100</f>
        <v>0</v>
      </c>
    </row>
    <row r="45" spans="1:24" x14ac:dyDescent="0.25">
      <c r="A45" s="3" t="s">
        <v>2025</v>
      </c>
      <c r="B45" s="3" t="s">
        <v>86</v>
      </c>
      <c r="C45" s="3" t="s">
        <v>87</v>
      </c>
      <c r="D45" s="3">
        <v>100</v>
      </c>
      <c r="E45" s="3">
        <f>$D45*TCA!E45/100</f>
        <v>261.2</v>
      </c>
      <c r="F45" s="3">
        <f>$D45*TCA!F45/100</f>
        <v>4.54</v>
      </c>
      <c r="G45" s="3">
        <f>$D45*TCA!G45/100</f>
        <v>17.64</v>
      </c>
      <c r="H45" s="3">
        <f>$D45*TCA!H45/100</f>
        <v>21.07</v>
      </c>
      <c r="I45" s="3">
        <f>$D45*TCA!I45/100</f>
        <v>0</v>
      </c>
      <c r="J45" s="3">
        <f>$D45*TCA!J45/100</f>
        <v>0</v>
      </c>
      <c r="K45" s="3">
        <f>$D45*TCA!K45/100</f>
        <v>0</v>
      </c>
      <c r="L45" s="3">
        <f>$D45*TCA!L45/100</f>
        <v>0</v>
      </c>
      <c r="M45" s="3">
        <f>$D45*TCA!M45/100</f>
        <v>0</v>
      </c>
      <c r="N45" s="3">
        <f>$D45*TCA!N45/100</f>
        <v>52</v>
      </c>
      <c r="O45" s="3">
        <f>$D45*TCA!O45/100</f>
        <v>119</v>
      </c>
      <c r="P45" s="3">
        <f t="shared" si="0"/>
        <v>26.21145374449339</v>
      </c>
      <c r="Q45" s="3">
        <f>$D45*TCA!P45/100</f>
        <v>27.99</v>
      </c>
      <c r="R45" s="3">
        <f>$D45*TCA!Q45/100</f>
        <v>88</v>
      </c>
      <c r="S45" s="3">
        <f>$D45*TCA!R45/100</f>
        <v>461</v>
      </c>
      <c r="T45" s="3">
        <f>$D45*TCA!S45/100</f>
        <v>0.92</v>
      </c>
      <c r="U45" s="3">
        <f>$D45*TCA!T45/100</f>
        <v>0</v>
      </c>
      <c r="V45" s="3">
        <f>$D45*TCA!U45/100</f>
        <v>0</v>
      </c>
      <c r="W45" s="3">
        <f>$D45*TCA!V45/100</f>
        <v>0</v>
      </c>
      <c r="X45" s="3">
        <f>$D45*TCA!W45/100</f>
        <v>0</v>
      </c>
    </row>
    <row r="46" spans="1:24" x14ac:dyDescent="0.25">
      <c r="A46" s="3" t="s">
        <v>2025</v>
      </c>
      <c r="B46" s="3" t="s">
        <v>88</v>
      </c>
      <c r="C46" s="3" t="s">
        <v>89</v>
      </c>
      <c r="D46" s="3">
        <v>100</v>
      </c>
      <c r="E46" s="3">
        <f>$D46*TCA!E46/100</f>
        <v>349.5</v>
      </c>
      <c r="F46" s="3">
        <f>$D46*TCA!F46/100</f>
        <v>13</v>
      </c>
      <c r="G46" s="3">
        <f>$D46*TCA!G46/100</f>
        <v>1.5</v>
      </c>
      <c r="H46" s="3">
        <f>$D46*TCA!H46/100</f>
        <v>71</v>
      </c>
      <c r="I46" s="3">
        <f>$D46*TCA!I46/100</f>
        <v>3.4</v>
      </c>
      <c r="J46" s="3">
        <f>$D46*TCA!J46/100</f>
        <v>0.2</v>
      </c>
      <c r="K46" s="3">
        <f>$D46*TCA!K46/100</f>
        <v>0</v>
      </c>
      <c r="L46" s="3">
        <f>$D46*TCA!L46/100</f>
        <v>0</v>
      </c>
      <c r="M46" s="3">
        <f>$D46*TCA!M46/100</f>
        <v>0</v>
      </c>
      <c r="N46" s="3">
        <f>$D46*TCA!N46/100</f>
        <v>0</v>
      </c>
      <c r="O46" s="3">
        <f>$D46*TCA!O46/100</f>
        <v>0</v>
      </c>
      <c r="P46" s="3">
        <f t="shared" si="0"/>
        <v>0</v>
      </c>
      <c r="Q46" s="3">
        <f>$D46*TCA!P46/100</f>
        <v>0</v>
      </c>
      <c r="R46" s="3">
        <f>$D46*TCA!Q46/100</f>
        <v>0</v>
      </c>
      <c r="S46" s="3">
        <f>$D46*TCA!R46/100</f>
        <v>0.01</v>
      </c>
      <c r="T46" s="3">
        <f>$D46*TCA!S46/100</f>
        <v>0</v>
      </c>
      <c r="U46" s="3">
        <f>$D46*TCA!T46/100</f>
        <v>0</v>
      </c>
      <c r="V46" s="3">
        <f>$D46*TCA!U46/100</f>
        <v>0</v>
      </c>
      <c r="W46" s="3">
        <f>$D46*TCA!V46/100</f>
        <v>0</v>
      </c>
      <c r="X46" s="3">
        <f>$D46*TCA!W46/100</f>
        <v>0</v>
      </c>
    </row>
    <row r="47" spans="1:24" x14ac:dyDescent="0.25">
      <c r="A47" s="3" t="s">
        <v>2025</v>
      </c>
      <c r="B47" s="3" t="s">
        <v>90</v>
      </c>
      <c r="C47" s="3" t="s">
        <v>91</v>
      </c>
      <c r="D47" s="3">
        <v>100</v>
      </c>
      <c r="E47" s="3">
        <f>$D47*TCA!E47/100</f>
        <v>211.99</v>
      </c>
      <c r="F47" s="3">
        <f>$D47*TCA!F47/100</f>
        <v>2.42</v>
      </c>
      <c r="G47" s="3">
        <f>$D47*TCA!G47/100</f>
        <v>7.79</v>
      </c>
      <c r="H47" s="3">
        <f>$D47*TCA!H47/100</f>
        <v>33.049999999999997</v>
      </c>
      <c r="I47" s="3">
        <f>$D47*TCA!I47/100</f>
        <v>0</v>
      </c>
      <c r="J47" s="3">
        <f>$D47*TCA!J47/100</f>
        <v>0</v>
      </c>
      <c r="K47" s="3">
        <f>$D47*TCA!K47/100</f>
        <v>0</v>
      </c>
      <c r="L47" s="3">
        <f>$D47*TCA!L47/100</f>
        <v>0</v>
      </c>
      <c r="M47" s="3">
        <f>$D47*TCA!M47/100</f>
        <v>0</v>
      </c>
      <c r="N47" s="3">
        <f>$D47*TCA!N47/100</f>
        <v>21</v>
      </c>
      <c r="O47" s="3">
        <f>$D47*TCA!O47/100</f>
        <v>172</v>
      </c>
      <c r="P47" s="3">
        <f t="shared" si="0"/>
        <v>71.074380165289256</v>
      </c>
      <c r="Q47" s="3">
        <f>$D47*TCA!P47/100</f>
        <v>5.22</v>
      </c>
      <c r="R47" s="3">
        <f>$D47*TCA!Q47/100</f>
        <v>804</v>
      </c>
      <c r="S47" s="3">
        <f>$D47*TCA!R47/100</f>
        <v>76</v>
      </c>
      <c r="T47" s="3">
        <f>$D47*TCA!S47/100</f>
        <v>1.66</v>
      </c>
      <c r="U47" s="3">
        <f>$D47*TCA!T47/100</f>
        <v>0</v>
      </c>
      <c r="V47" s="3">
        <f>$D47*TCA!U47/100</f>
        <v>0</v>
      </c>
      <c r="W47" s="3">
        <f>$D47*TCA!V47/100</f>
        <v>0</v>
      </c>
      <c r="X47" s="3">
        <f>$D47*TCA!W47/100</f>
        <v>0</v>
      </c>
    </row>
    <row r="48" spans="1:24" x14ac:dyDescent="0.25">
      <c r="A48" s="3" t="s">
        <v>2025</v>
      </c>
      <c r="B48" s="3" t="s">
        <v>92</v>
      </c>
      <c r="C48" s="3" t="s">
        <v>93</v>
      </c>
      <c r="D48" s="3">
        <v>100</v>
      </c>
      <c r="E48" s="3">
        <f>$D48*TCA!E48/100</f>
        <v>137.5</v>
      </c>
      <c r="F48" s="3">
        <f>$D48*TCA!F48/100</f>
        <v>6.25</v>
      </c>
      <c r="G48" s="3">
        <f>$D48*TCA!G48/100</f>
        <v>2.5</v>
      </c>
      <c r="H48" s="3">
        <f>$D48*TCA!H48/100</f>
        <v>22.5</v>
      </c>
      <c r="I48" s="3">
        <f>$D48*TCA!I48/100</f>
        <v>0</v>
      </c>
      <c r="J48" s="3">
        <f>$D48*TCA!J48/100</f>
        <v>0.63</v>
      </c>
      <c r="K48" s="3">
        <f>$D48*TCA!K48/100</f>
        <v>1.25</v>
      </c>
      <c r="L48" s="3">
        <f>$D48*TCA!L48/100</f>
        <v>0</v>
      </c>
      <c r="M48" s="3">
        <f>$D48*TCA!M48/100</f>
        <v>5</v>
      </c>
      <c r="N48" s="3">
        <f>$D48*TCA!N48/100</f>
        <v>0</v>
      </c>
      <c r="O48" s="3">
        <f>$D48*TCA!O48/100</f>
        <v>0</v>
      </c>
      <c r="P48" s="3">
        <f t="shared" si="0"/>
        <v>0</v>
      </c>
      <c r="Q48" s="3">
        <f>$D48*TCA!P48/100</f>
        <v>0</v>
      </c>
      <c r="R48" s="3">
        <f>$D48*TCA!Q48/100</f>
        <v>0</v>
      </c>
      <c r="S48" s="3">
        <f>$D48*TCA!R48/100</f>
        <v>0</v>
      </c>
      <c r="T48" s="3">
        <f>$D48*TCA!S48/100</f>
        <v>0</v>
      </c>
      <c r="U48" s="3">
        <f>$D48*TCA!T48/100</f>
        <v>0</v>
      </c>
      <c r="V48" s="3">
        <f>$D48*TCA!U48/100</f>
        <v>0</v>
      </c>
      <c r="W48" s="3">
        <f>$D48*TCA!V48/100</f>
        <v>0</v>
      </c>
      <c r="X48" s="3">
        <f>$D48*TCA!W48/100</f>
        <v>0</v>
      </c>
    </row>
    <row r="49" spans="1:24" x14ac:dyDescent="0.25">
      <c r="A49" s="3" t="s">
        <v>2025</v>
      </c>
      <c r="B49" s="3" t="s">
        <v>94</v>
      </c>
      <c r="C49" s="3" t="s">
        <v>95</v>
      </c>
      <c r="D49" s="3">
        <v>100</v>
      </c>
      <c r="E49" s="3">
        <f>$D49*TCA!E49/100</f>
        <v>356.75</v>
      </c>
      <c r="F49" s="3">
        <f>$D49*TCA!F49/100</f>
        <v>8.7200000000000006</v>
      </c>
      <c r="G49" s="3">
        <f>$D49*TCA!G49/100</f>
        <v>12.15</v>
      </c>
      <c r="H49" s="3">
        <f>$D49*TCA!H49/100</f>
        <v>53.13</v>
      </c>
      <c r="I49" s="3">
        <f>$D49*TCA!I49/100</f>
        <v>0</v>
      </c>
      <c r="J49" s="3">
        <f>$D49*TCA!J49/100</f>
        <v>0</v>
      </c>
      <c r="K49" s="3">
        <f>$D49*TCA!K49/100</f>
        <v>0</v>
      </c>
      <c r="L49" s="3">
        <f>$D49*TCA!L49/100</f>
        <v>0</v>
      </c>
      <c r="M49" s="3">
        <f>$D49*TCA!M49/100</f>
        <v>0</v>
      </c>
      <c r="N49" s="3">
        <f>$D49*TCA!N49/100</f>
        <v>16</v>
      </c>
      <c r="O49" s="3">
        <f>$D49*TCA!O49/100</f>
        <v>145</v>
      </c>
      <c r="P49" s="3">
        <f t="shared" si="0"/>
        <v>16.628440366972477</v>
      </c>
      <c r="Q49" s="3">
        <f>$D49*TCA!P49/100</f>
        <v>1.61</v>
      </c>
      <c r="R49" s="3">
        <f>$D49*TCA!Q49/100</f>
        <v>61</v>
      </c>
      <c r="S49" s="3">
        <f>$D49*TCA!R49/100</f>
        <v>0</v>
      </c>
      <c r="T49" s="3">
        <f>$D49*TCA!S49/100</f>
        <v>0.61</v>
      </c>
      <c r="U49" s="3">
        <f>$D49*TCA!T49/100</f>
        <v>0</v>
      </c>
      <c r="V49" s="3">
        <f>$D49*TCA!U49/100</f>
        <v>0</v>
      </c>
      <c r="W49" s="3">
        <f>$D49*TCA!V49/100</f>
        <v>0</v>
      </c>
      <c r="X49" s="3">
        <f>$D49*TCA!W49/100</f>
        <v>0</v>
      </c>
    </row>
    <row r="50" spans="1:24" x14ac:dyDescent="0.25">
      <c r="A50" s="3" t="s">
        <v>2025</v>
      </c>
      <c r="B50" s="3" t="s">
        <v>96</v>
      </c>
      <c r="C50" s="3" t="s">
        <v>97</v>
      </c>
      <c r="D50" s="3">
        <v>100</v>
      </c>
      <c r="E50" s="3">
        <f>$D50*TCA!E50/100</f>
        <v>467.26</v>
      </c>
      <c r="F50" s="3">
        <f>$D50*TCA!F50/100</f>
        <v>5.95</v>
      </c>
      <c r="G50" s="3">
        <f>$D50*TCA!G50/100</f>
        <v>14.88</v>
      </c>
      <c r="H50" s="3">
        <f>$D50*TCA!H50/100</f>
        <v>77.38</v>
      </c>
      <c r="I50" s="3">
        <f>$D50*TCA!I50/100</f>
        <v>0</v>
      </c>
      <c r="J50" s="3">
        <f>$D50*TCA!J50/100</f>
        <v>7.44</v>
      </c>
      <c r="K50" s="3">
        <f>$D50*TCA!K50/100</f>
        <v>5.95</v>
      </c>
      <c r="L50" s="3">
        <f>$D50*TCA!L50/100</f>
        <v>1.49</v>
      </c>
      <c r="M50" s="3">
        <f>$D50*TCA!M50/100</f>
        <v>0</v>
      </c>
      <c r="N50" s="3">
        <f>$D50*TCA!N50/100</f>
        <v>0</v>
      </c>
      <c r="O50" s="3">
        <f>$D50*TCA!O50/100</f>
        <v>0</v>
      </c>
      <c r="P50" s="3">
        <f t="shared" si="0"/>
        <v>0</v>
      </c>
      <c r="Q50" s="3">
        <f>$D50*TCA!P50/100</f>
        <v>0</v>
      </c>
      <c r="R50" s="3">
        <f>$D50*TCA!Q50/100</f>
        <v>0</v>
      </c>
      <c r="S50" s="3">
        <f>$D50*TCA!R50/100</f>
        <v>193.45</v>
      </c>
      <c r="T50" s="3">
        <f>$D50*TCA!S50/100</f>
        <v>0</v>
      </c>
      <c r="U50" s="3">
        <f>$D50*TCA!T50/100</f>
        <v>0</v>
      </c>
      <c r="V50" s="3">
        <f>$D50*TCA!U50/100</f>
        <v>0</v>
      </c>
      <c r="W50" s="3">
        <f>$D50*TCA!V50/100</f>
        <v>0</v>
      </c>
      <c r="X50" s="3">
        <f>$D50*TCA!W50/100</f>
        <v>0</v>
      </c>
    </row>
    <row r="51" spans="1:24" x14ac:dyDescent="0.25">
      <c r="A51" s="3" t="s">
        <v>2025</v>
      </c>
      <c r="B51" s="3" t="s">
        <v>98</v>
      </c>
      <c r="C51" s="3" t="s">
        <v>99</v>
      </c>
      <c r="D51" s="3">
        <v>100</v>
      </c>
      <c r="E51" s="3">
        <f>$D51*TCA!E51/100</f>
        <v>455</v>
      </c>
      <c r="F51" s="3">
        <f>$D51*TCA!F51/100</f>
        <v>5.8</v>
      </c>
      <c r="G51" s="3">
        <f>$D51*TCA!G51/100</f>
        <v>15.4</v>
      </c>
      <c r="H51" s="3">
        <f>$D51*TCA!H51/100</f>
        <v>73.3</v>
      </c>
      <c r="I51" s="3">
        <f>$D51*TCA!I51/100</f>
        <v>3.6</v>
      </c>
      <c r="J51" s="3">
        <f>$D51*TCA!J51/100</f>
        <v>3.81</v>
      </c>
      <c r="K51" s="3">
        <f>$D51*TCA!K51/100</f>
        <v>6.09</v>
      </c>
      <c r="L51" s="3">
        <f>$D51*TCA!L51/100</f>
        <v>4.6500000000000004</v>
      </c>
      <c r="M51" s="3">
        <f>$D51*TCA!M51/100</f>
        <v>0</v>
      </c>
      <c r="N51" s="3">
        <f>$D51*TCA!N51/100</f>
        <v>19</v>
      </c>
      <c r="O51" s="3">
        <f>$D51*TCA!O51/100</f>
        <v>84</v>
      </c>
      <c r="P51" s="3">
        <f t="shared" si="0"/>
        <v>14.482758620689655</v>
      </c>
      <c r="Q51" s="3">
        <f>$D51*TCA!P51/100</f>
        <v>3.07</v>
      </c>
      <c r="R51" s="3">
        <f>$D51*TCA!Q51/100</f>
        <v>123</v>
      </c>
      <c r="S51" s="3">
        <f>$D51*TCA!R51/100</f>
        <v>377</v>
      </c>
      <c r="T51" s="3">
        <f>$D51*TCA!S51/100</f>
        <v>0.7</v>
      </c>
      <c r="U51" s="3">
        <f>$D51*TCA!T51/100</f>
        <v>0</v>
      </c>
      <c r="V51" s="3">
        <f>$D51*TCA!U51/100</f>
        <v>0</v>
      </c>
      <c r="W51" s="3">
        <f>$D51*TCA!V51/100</f>
        <v>115</v>
      </c>
      <c r="X51" s="3">
        <f>$D51*TCA!W51/100</f>
        <v>0</v>
      </c>
    </row>
    <row r="52" spans="1:24" x14ac:dyDescent="0.25">
      <c r="A52" s="3" t="s">
        <v>2025</v>
      </c>
      <c r="B52" s="3" t="s">
        <v>100</v>
      </c>
      <c r="C52" s="3" t="s">
        <v>101</v>
      </c>
      <c r="D52" s="3">
        <v>100</v>
      </c>
      <c r="E52" s="3">
        <f>$D52*TCA!E52/100</f>
        <v>443.8</v>
      </c>
      <c r="F52" s="3">
        <f>$D52*TCA!F52/100</f>
        <v>6.6</v>
      </c>
      <c r="G52" s="3">
        <f>$D52*TCA!G52/100</f>
        <v>14.2</v>
      </c>
      <c r="H52" s="3">
        <f>$D52*TCA!H52/100</f>
        <v>72.400000000000006</v>
      </c>
      <c r="I52" s="3">
        <f>$D52*TCA!I52/100</f>
        <v>3.4</v>
      </c>
      <c r="J52" s="3">
        <f>$D52*TCA!J52/100</f>
        <v>4.24</v>
      </c>
      <c r="K52" s="3">
        <f>$D52*TCA!K52/100</f>
        <v>4.8600000000000003</v>
      </c>
      <c r="L52" s="3">
        <f>$D52*TCA!L52/100</f>
        <v>4.1500000000000004</v>
      </c>
      <c r="M52" s="3">
        <f>$D52*TCA!M52/100</f>
        <v>2</v>
      </c>
      <c r="N52" s="3">
        <f>$D52*TCA!N52/100</f>
        <v>31</v>
      </c>
      <c r="O52" s="3">
        <f>$D52*TCA!O52/100</f>
        <v>132</v>
      </c>
      <c r="P52" s="3">
        <f t="shared" si="0"/>
        <v>20</v>
      </c>
      <c r="Q52" s="3">
        <f>$D52*TCA!P52/100</f>
        <v>4.01</v>
      </c>
      <c r="R52" s="3">
        <f>$D52*TCA!Q52/100</f>
        <v>210</v>
      </c>
      <c r="S52" s="3">
        <f>$D52*TCA!R52/100</f>
        <v>580</v>
      </c>
      <c r="T52" s="3">
        <f>$D52*TCA!S52/100</f>
        <v>1.0900000000000001</v>
      </c>
      <c r="U52" s="3">
        <f>$D52*TCA!T52/100</f>
        <v>0</v>
      </c>
      <c r="V52" s="3">
        <f>$D52*TCA!U52/100</f>
        <v>3</v>
      </c>
      <c r="W52" s="3">
        <f>$D52*TCA!V52/100</f>
        <v>96</v>
      </c>
      <c r="X52" s="3">
        <f>$D52*TCA!W52/100</f>
        <v>0.09</v>
      </c>
    </row>
    <row r="53" spans="1:24" x14ac:dyDescent="0.25">
      <c r="A53" s="3" t="s">
        <v>2025</v>
      </c>
      <c r="B53" s="3" t="s">
        <v>102</v>
      </c>
      <c r="C53" s="3" t="s">
        <v>103</v>
      </c>
      <c r="D53" s="3">
        <v>100</v>
      </c>
      <c r="E53" s="3">
        <f>$D53*TCA!E53/100</f>
        <v>481.9</v>
      </c>
      <c r="F53" s="3">
        <f>$D53*TCA!F53/100</f>
        <v>5.0999999999999996</v>
      </c>
      <c r="G53" s="3">
        <f>$D53*TCA!G53/100</f>
        <v>21.1</v>
      </c>
      <c r="H53" s="3">
        <f>$D53*TCA!H53/100</f>
        <v>67.900000000000006</v>
      </c>
      <c r="I53" s="3">
        <f>$D53*TCA!I53/100</f>
        <v>0.8</v>
      </c>
      <c r="J53" s="3">
        <f>$D53*TCA!J53/100</f>
        <v>5.43</v>
      </c>
      <c r="K53" s="3">
        <f>$D53*TCA!K53/100</f>
        <v>11.84</v>
      </c>
      <c r="L53" s="3">
        <f>$D53*TCA!L53/100</f>
        <v>2.66</v>
      </c>
      <c r="M53" s="3">
        <f>$D53*TCA!M53/100</f>
        <v>51</v>
      </c>
      <c r="N53" s="3">
        <f>$D53*TCA!N53/100</f>
        <v>21</v>
      </c>
      <c r="O53" s="3">
        <f>$D53*TCA!O53/100</f>
        <v>80</v>
      </c>
      <c r="P53" s="3">
        <f t="shared" si="0"/>
        <v>15.686274509803923</v>
      </c>
      <c r="Q53" s="3">
        <f>$D53*TCA!P53/100</f>
        <v>2.14</v>
      </c>
      <c r="R53" s="3">
        <f>$D53*TCA!Q53/100</f>
        <v>63</v>
      </c>
      <c r="S53" s="3">
        <f>$D53*TCA!R53/100</f>
        <v>357</v>
      </c>
      <c r="T53" s="3">
        <f>$D53*TCA!S53/100</f>
        <v>0.43</v>
      </c>
      <c r="U53" s="3">
        <f>$D53*TCA!T53/100</f>
        <v>0</v>
      </c>
      <c r="V53" s="3">
        <f>$D53*TCA!U53/100</f>
        <v>26</v>
      </c>
      <c r="W53" s="3">
        <f>$D53*TCA!V53/100</f>
        <v>82</v>
      </c>
      <c r="X53" s="3">
        <f>$D53*TCA!W53/100</f>
        <v>0.19</v>
      </c>
    </row>
    <row r="54" spans="1:24" x14ac:dyDescent="0.25">
      <c r="A54" s="3" t="s">
        <v>2025</v>
      </c>
      <c r="B54" s="3" t="s">
        <v>104</v>
      </c>
      <c r="C54" s="3" t="s">
        <v>105</v>
      </c>
      <c r="D54" s="3">
        <v>100</v>
      </c>
      <c r="E54" s="3">
        <f>$D54*TCA!E54/100</f>
        <v>515.5</v>
      </c>
      <c r="F54" s="3">
        <f>$D54*TCA!F54/100</f>
        <v>4.0999999999999996</v>
      </c>
      <c r="G54" s="3">
        <f>$D54*TCA!G54/100</f>
        <v>24.3</v>
      </c>
      <c r="H54" s="3">
        <f>$D54*TCA!H54/100</f>
        <v>70.099999999999994</v>
      </c>
      <c r="I54" s="3">
        <f>$D54*TCA!I54/100</f>
        <v>0.6</v>
      </c>
      <c r="J54" s="3">
        <f>$D54*TCA!J54/100</f>
        <v>3.62</v>
      </c>
      <c r="K54" s="3">
        <f>$D54*TCA!K54/100</f>
        <v>10.33</v>
      </c>
      <c r="L54" s="3">
        <f>$D54*TCA!L54/100</f>
        <v>9.16</v>
      </c>
      <c r="M54" s="3">
        <f>$D54*TCA!M54/100</f>
        <v>0</v>
      </c>
      <c r="N54" s="3">
        <f>$D54*TCA!N54/100</f>
        <v>18</v>
      </c>
      <c r="O54" s="3">
        <f>$D54*TCA!O54/100</f>
        <v>56</v>
      </c>
      <c r="P54" s="3">
        <f t="shared" si="0"/>
        <v>13.658536585365855</v>
      </c>
      <c r="Q54" s="3">
        <f>$D54*TCA!P54/100</f>
        <v>1.95</v>
      </c>
      <c r="R54" s="3">
        <f>$D54*TCA!Q54/100</f>
        <v>59</v>
      </c>
      <c r="S54" s="3">
        <f>$D54*TCA!R54/100</f>
        <v>147</v>
      </c>
      <c r="T54" s="3">
        <f>$D54*TCA!S54/100</f>
        <v>0.35</v>
      </c>
      <c r="U54" s="3">
        <f>$D54*TCA!T54/100</f>
        <v>0</v>
      </c>
      <c r="V54" s="3">
        <f>$D54*TCA!U54/100</f>
        <v>0</v>
      </c>
      <c r="W54" s="3">
        <f>$D54*TCA!V54/100</f>
        <v>84</v>
      </c>
      <c r="X54" s="3">
        <f>$D54*TCA!W54/100</f>
        <v>0</v>
      </c>
    </row>
    <row r="55" spans="1:24" x14ac:dyDescent="0.25">
      <c r="A55" s="3" t="s">
        <v>2025</v>
      </c>
      <c r="B55" s="3" t="s">
        <v>106</v>
      </c>
      <c r="C55" s="3" t="s">
        <v>107</v>
      </c>
      <c r="D55" s="3">
        <v>100</v>
      </c>
      <c r="E55" s="3">
        <f>$D55*TCA!E55/100</f>
        <v>422.67</v>
      </c>
      <c r="F55" s="3">
        <f>$D55*TCA!F55/100</f>
        <v>9.2200000000000006</v>
      </c>
      <c r="G55" s="3">
        <f>$D55*TCA!G55/100</f>
        <v>11.35</v>
      </c>
      <c r="H55" s="3">
        <f>$D55*TCA!H55/100</f>
        <v>70.91</v>
      </c>
      <c r="I55" s="3">
        <f>$D55*TCA!I55/100</f>
        <v>3</v>
      </c>
      <c r="J55" s="3">
        <f>$D55*TCA!J55/100</f>
        <v>1.66</v>
      </c>
      <c r="K55" s="3">
        <f>$D55*TCA!K55/100</f>
        <v>7</v>
      </c>
      <c r="L55" s="3">
        <f>$D55*TCA!L55/100</f>
        <v>1.25</v>
      </c>
      <c r="M55" s="3">
        <f>$D55*TCA!M55/100</f>
        <v>0</v>
      </c>
      <c r="N55" s="3">
        <f>$D55*TCA!N55/100</f>
        <v>68</v>
      </c>
      <c r="O55" s="3">
        <f>$D55*TCA!O55/100</f>
        <v>101</v>
      </c>
      <c r="P55" s="3">
        <f t="shared" si="0"/>
        <v>10.954446854663773</v>
      </c>
      <c r="Q55" s="3">
        <f>$D55*TCA!P55/100</f>
        <v>5.69</v>
      </c>
      <c r="R55" s="3">
        <f>$D55*TCA!Q55/100</f>
        <v>154</v>
      </c>
      <c r="S55" s="3">
        <f>$D55*TCA!R55/100</f>
        <v>1072</v>
      </c>
      <c r="T55" s="3">
        <f>$D55*TCA!S55/100</f>
        <v>0.83</v>
      </c>
      <c r="U55" s="3">
        <f>$D55*TCA!T55/100</f>
        <v>0</v>
      </c>
      <c r="V55" s="3">
        <f>$D55*TCA!U55/100</f>
        <v>0</v>
      </c>
      <c r="W55" s="3">
        <f>$D55*TCA!V55/100</f>
        <v>215</v>
      </c>
      <c r="X55" s="3">
        <f>$D55*TCA!W55/100</f>
        <v>0</v>
      </c>
    </row>
    <row r="56" spans="1:24" x14ac:dyDescent="0.25">
      <c r="A56" s="3" t="s">
        <v>2025</v>
      </c>
      <c r="B56" s="3" t="s">
        <v>108</v>
      </c>
      <c r="C56" s="3" t="s">
        <v>109</v>
      </c>
      <c r="D56" s="3">
        <v>100</v>
      </c>
      <c r="E56" s="3">
        <f>$D56*TCA!E56/100</f>
        <v>462.5</v>
      </c>
      <c r="F56" s="3">
        <f>$D56*TCA!F56/100</f>
        <v>6.2</v>
      </c>
      <c r="G56" s="3">
        <f>$D56*TCA!G56/100</f>
        <v>18.100000000000001</v>
      </c>
      <c r="H56" s="3">
        <f>$D56*TCA!H56/100</f>
        <v>68.7</v>
      </c>
      <c r="I56" s="3">
        <f>$D56*TCA!I56/100</f>
        <v>2.8</v>
      </c>
      <c r="J56" s="3">
        <f>$D56*TCA!J56/100</f>
        <v>4.5199999999999996</v>
      </c>
      <c r="K56" s="3">
        <f>$D56*TCA!K56/100</f>
        <v>10.02</v>
      </c>
      <c r="L56" s="3">
        <f>$D56*TCA!L56/100</f>
        <v>2.54</v>
      </c>
      <c r="M56" s="3">
        <f>$D56*TCA!M56/100</f>
        <v>0</v>
      </c>
      <c r="N56" s="3">
        <f>$D56*TCA!N56/100</f>
        <v>37</v>
      </c>
      <c r="O56" s="3">
        <f>$D56*TCA!O56/100</f>
        <v>138</v>
      </c>
      <c r="P56" s="3">
        <f t="shared" si="0"/>
        <v>22.258064516129032</v>
      </c>
      <c r="Q56" s="3">
        <f>$D56*TCA!P56/100</f>
        <v>2.58</v>
      </c>
      <c r="R56" s="3">
        <f>$D56*TCA!Q56/100</f>
        <v>142</v>
      </c>
      <c r="S56" s="3">
        <f>$D56*TCA!R56/100</f>
        <v>383</v>
      </c>
      <c r="T56" s="3">
        <f>$D56*TCA!S56/100</f>
        <v>0.79</v>
      </c>
      <c r="U56" s="3">
        <f>$D56*TCA!T56/100</f>
        <v>1</v>
      </c>
      <c r="V56" s="3">
        <f>$D56*TCA!U56/100</f>
        <v>5</v>
      </c>
      <c r="W56" s="3">
        <f>$D56*TCA!V56/100</f>
        <v>95</v>
      </c>
      <c r="X56" s="3">
        <f>$D56*TCA!W56/100</f>
        <v>0</v>
      </c>
    </row>
    <row r="57" spans="1:24" x14ac:dyDescent="0.25">
      <c r="A57" s="3" t="s">
        <v>2025</v>
      </c>
      <c r="B57" s="3" t="s">
        <v>110</v>
      </c>
      <c r="C57" s="3" t="s">
        <v>111</v>
      </c>
      <c r="D57" s="3">
        <v>100</v>
      </c>
      <c r="E57" s="3">
        <f>$D57*TCA!E57/100</f>
        <v>519.48</v>
      </c>
      <c r="F57" s="3">
        <f>$D57*TCA!F57/100</f>
        <v>6.66</v>
      </c>
      <c r="G57" s="3">
        <f>$D57*TCA!G57/100</f>
        <v>26.64</v>
      </c>
      <c r="H57" s="3">
        <f>$D57*TCA!H57/100</f>
        <v>63.27</v>
      </c>
      <c r="I57" s="3">
        <f>$D57*TCA!I57/100</f>
        <v>0</v>
      </c>
      <c r="J57" s="3">
        <f>$D57*TCA!J57/100</f>
        <v>16.649999999999999</v>
      </c>
      <c r="K57" s="3">
        <f>$D57*TCA!K57/100</f>
        <v>8.33</v>
      </c>
      <c r="L57" s="3">
        <f>$D57*TCA!L57/100</f>
        <v>3.33</v>
      </c>
      <c r="M57" s="3">
        <f>$D57*TCA!M57/100</f>
        <v>36.630000000000003</v>
      </c>
      <c r="N57" s="3">
        <f>$D57*TCA!N57/100</f>
        <v>0</v>
      </c>
      <c r="O57" s="3">
        <f>$D57*TCA!O57/100</f>
        <v>0</v>
      </c>
      <c r="P57" s="3">
        <f t="shared" si="0"/>
        <v>0</v>
      </c>
      <c r="Q57" s="3">
        <f>$D57*TCA!P57/100</f>
        <v>0.03</v>
      </c>
      <c r="R57" s="3">
        <f>$D57*TCA!Q57/100</f>
        <v>0</v>
      </c>
      <c r="S57" s="3">
        <f>$D57*TCA!R57/100</f>
        <v>49.95</v>
      </c>
      <c r="T57" s="3">
        <f>$D57*TCA!S57/100</f>
        <v>0</v>
      </c>
      <c r="U57" s="3">
        <f>$D57*TCA!T57/100</f>
        <v>0</v>
      </c>
      <c r="V57" s="3">
        <f>$D57*TCA!U57/100</f>
        <v>0</v>
      </c>
      <c r="W57" s="3">
        <f>$D57*TCA!V57/100</f>
        <v>0</v>
      </c>
      <c r="X57" s="3">
        <f>$D57*TCA!W57/100</f>
        <v>0</v>
      </c>
    </row>
    <row r="58" spans="1:24" x14ac:dyDescent="0.25">
      <c r="A58" s="3" t="s">
        <v>2025</v>
      </c>
      <c r="B58" s="3" t="s">
        <v>112</v>
      </c>
      <c r="C58" s="3" t="s">
        <v>113</v>
      </c>
      <c r="D58" s="3">
        <v>100</v>
      </c>
      <c r="E58" s="3">
        <f>$D58*TCA!E58/100</f>
        <v>519.48</v>
      </c>
      <c r="F58" s="3">
        <f>$D58*TCA!F58/100</f>
        <v>6.66</v>
      </c>
      <c r="G58" s="3">
        <f>$D58*TCA!G58/100</f>
        <v>26.64</v>
      </c>
      <c r="H58" s="3">
        <f>$D58*TCA!H58/100</f>
        <v>63.27</v>
      </c>
      <c r="I58" s="3">
        <f>$D58*TCA!I58/100</f>
        <v>0</v>
      </c>
      <c r="J58" s="3">
        <f>$D58*TCA!J58/100</f>
        <v>13.32</v>
      </c>
      <c r="K58" s="3">
        <f>$D58*TCA!K58/100</f>
        <v>9.99</v>
      </c>
      <c r="L58" s="3">
        <f>$D58*TCA!L58/100</f>
        <v>3.33</v>
      </c>
      <c r="M58" s="3">
        <f>$D58*TCA!M58/100</f>
        <v>29.97</v>
      </c>
      <c r="N58" s="3">
        <f>$D58*TCA!N58/100</f>
        <v>0</v>
      </c>
      <c r="O58" s="3">
        <f>$D58*TCA!O58/100</f>
        <v>0</v>
      </c>
      <c r="P58" s="3">
        <f t="shared" si="0"/>
        <v>0</v>
      </c>
      <c r="Q58" s="3">
        <f>$D58*TCA!P58/100</f>
        <v>0</v>
      </c>
      <c r="R58" s="3">
        <f>$D58*TCA!Q58/100</f>
        <v>0</v>
      </c>
      <c r="S58" s="3">
        <f>$D58*TCA!R58/100</f>
        <v>299.7</v>
      </c>
      <c r="T58" s="3">
        <f>$D58*TCA!S58/100</f>
        <v>0</v>
      </c>
      <c r="U58" s="3">
        <f>$D58*TCA!T58/100</f>
        <v>0</v>
      </c>
      <c r="V58" s="3">
        <f>$D58*TCA!U58/100</f>
        <v>0</v>
      </c>
      <c r="W58" s="3">
        <f>$D58*TCA!V58/100</f>
        <v>0</v>
      </c>
      <c r="X58" s="3">
        <f>$D58*TCA!W58/100</f>
        <v>0</v>
      </c>
    </row>
    <row r="59" spans="1:24" x14ac:dyDescent="0.25">
      <c r="A59" s="3" t="s">
        <v>2025</v>
      </c>
      <c r="B59" s="3" t="s">
        <v>114</v>
      </c>
      <c r="C59" s="3" t="s">
        <v>115</v>
      </c>
      <c r="D59" s="3">
        <v>100</v>
      </c>
      <c r="E59" s="3">
        <f>$D59*TCA!E59/100</f>
        <v>493.54</v>
      </c>
      <c r="F59" s="3">
        <f>$D59*TCA!F59/100</f>
        <v>4.78</v>
      </c>
      <c r="G59" s="3">
        <f>$D59*TCA!G59/100</f>
        <v>21.5</v>
      </c>
      <c r="H59" s="3">
        <f>$D59*TCA!H59/100</f>
        <v>70.23</v>
      </c>
      <c r="I59" s="3">
        <f>$D59*TCA!I59/100</f>
        <v>3.2</v>
      </c>
      <c r="J59" s="3">
        <f>$D59*TCA!J59/100</f>
        <v>4.1399999999999997</v>
      </c>
      <c r="K59" s="3">
        <f>$D59*TCA!K59/100</f>
        <v>3.17</v>
      </c>
      <c r="L59" s="3">
        <f>$D59*TCA!L59/100</f>
        <v>0.82</v>
      </c>
      <c r="M59" s="3">
        <f>$D59*TCA!M59/100</f>
        <v>0</v>
      </c>
      <c r="N59" s="3">
        <f>$D59*TCA!N59/100</f>
        <v>24</v>
      </c>
      <c r="O59" s="3">
        <f>$D59*TCA!O59/100</f>
        <v>103</v>
      </c>
      <c r="P59" s="3">
        <f t="shared" si="0"/>
        <v>21.548117154811713</v>
      </c>
      <c r="Q59" s="3">
        <f>$D59*TCA!P59/100</f>
        <v>4.9000000000000004</v>
      </c>
      <c r="R59" s="3">
        <f>$D59*TCA!Q59/100</f>
        <v>194</v>
      </c>
      <c r="S59" s="3">
        <f>$D59*TCA!R59/100</f>
        <v>528</v>
      </c>
      <c r="T59" s="3">
        <f>$D59*TCA!S59/100</f>
        <v>1.23</v>
      </c>
      <c r="U59" s="3">
        <f>$D59*TCA!T59/100</f>
        <v>0</v>
      </c>
      <c r="V59" s="3">
        <f>$D59*TCA!U59/100</f>
        <v>3</v>
      </c>
      <c r="W59" s="3">
        <f>$D59*TCA!V59/100</f>
        <v>30</v>
      </c>
      <c r="X59" s="3">
        <f>$D59*TCA!W59/100</f>
        <v>0.02</v>
      </c>
    </row>
    <row r="60" spans="1:24" x14ac:dyDescent="0.25">
      <c r="A60" s="3" t="s">
        <v>2025</v>
      </c>
      <c r="B60" s="3" t="s">
        <v>116</v>
      </c>
      <c r="C60" s="3" t="s">
        <v>117</v>
      </c>
      <c r="D60" s="3">
        <v>100</v>
      </c>
      <c r="E60" s="3">
        <f>$D60*TCA!E60/100</f>
        <v>446.15</v>
      </c>
      <c r="F60" s="3">
        <f>$D60*TCA!F60/100</f>
        <v>7.69</v>
      </c>
      <c r="G60" s="3">
        <f>$D60*TCA!G60/100</f>
        <v>15.38</v>
      </c>
      <c r="H60" s="3">
        <f>$D60*TCA!H60/100</f>
        <v>69.23</v>
      </c>
      <c r="I60" s="3">
        <f>$D60*TCA!I60/100</f>
        <v>0</v>
      </c>
      <c r="J60" s="3">
        <f>$D60*TCA!J60/100</f>
        <v>5.77</v>
      </c>
      <c r="K60" s="3">
        <f>$D60*TCA!K60/100</f>
        <v>7.69</v>
      </c>
      <c r="L60" s="3">
        <f>$D60*TCA!L60/100</f>
        <v>0</v>
      </c>
      <c r="M60" s="3">
        <f>$D60*TCA!M60/100</f>
        <v>0</v>
      </c>
      <c r="N60" s="3">
        <f>$D60*TCA!N60/100</f>
        <v>0</v>
      </c>
      <c r="O60" s="3">
        <f>$D60*TCA!O60/100</f>
        <v>0</v>
      </c>
      <c r="P60" s="3">
        <f t="shared" si="0"/>
        <v>0</v>
      </c>
      <c r="Q60" s="3">
        <f>$D60*TCA!P60/100</f>
        <v>0</v>
      </c>
      <c r="R60" s="3">
        <f>$D60*TCA!Q60/100</f>
        <v>0</v>
      </c>
      <c r="S60" s="3">
        <f>$D60*TCA!R60/100</f>
        <v>769.23</v>
      </c>
      <c r="T60" s="3">
        <f>$D60*TCA!S60/100</f>
        <v>0</v>
      </c>
      <c r="U60" s="3">
        <f>$D60*TCA!T60/100</f>
        <v>0</v>
      </c>
      <c r="V60" s="3">
        <f>$D60*TCA!U60/100</f>
        <v>0</v>
      </c>
      <c r="W60" s="3">
        <f>$D60*TCA!V60/100</f>
        <v>0</v>
      </c>
      <c r="X60" s="3">
        <f>$D60*TCA!W60/100</f>
        <v>0</v>
      </c>
    </row>
    <row r="61" spans="1:24" x14ac:dyDescent="0.25">
      <c r="A61" s="3" t="s">
        <v>2025</v>
      </c>
      <c r="B61" s="3" t="s">
        <v>118</v>
      </c>
      <c r="C61" s="3" t="s">
        <v>119</v>
      </c>
      <c r="D61" s="3">
        <v>100</v>
      </c>
      <c r="E61" s="3">
        <f>$D61*TCA!E61/100</f>
        <v>477.78</v>
      </c>
      <c r="F61" s="3">
        <f>$D61*TCA!F61/100</f>
        <v>7.41</v>
      </c>
      <c r="G61" s="3">
        <f>$D61*TCA!G61/100</f>
        <v>18.52</v>
      </c>
      <c r="H61" s="3">
        <f>$D61*TCA!H61/100</f>
        <v>70.37</v>
      </c>
      <c r="I61" s="3">
        <f>$D61*TCA!I61/100</f>
        <v>0</v>
      </c>
      <c r="J61" s="3">
        <f>$D61*TCA!J61/100</f>
        <v>7.41</v>
      </c>
      <c r="K61" s="3">
        <f>$D61*TCA!K61/100</f>
        <v>7.41</v>
      </c>
      <c r="L61" s="3">
        <f>$D61*TCA!L61/100</f>
        <v>1.85</v>
      </c>
      <c r="M61" s="3">
        <f>$D61*TCA!M61/100</f>
        <v>0</v>
      </c>
      <c r="N61" s="3">
        <f>$D61*TCA!N61/100</f>
        <v>0</v>
      </c>
      <c r="O61" s="3">
        <f>$D61*TCA!O61/100</f>
        <v>0</v>
      </c>
      <c r="P61" s="3">
        <f t="shared" si="0"/>
        <v>0</v>
      </c>
      <c r="Q61" s="3">
        <f>$D61*TCA!P61/100</f>
        <v>0</v>
      </c>
      <c r="R61" s="3">
        <f>$D61*TCA!Q61/100</f>
        <v>0</v>
      </c>
      <c r="S61" s="3">
        <f>$D61*TCA!R61/100</f>
        <v>666.67</v>
      </c>
      <c r="T61" s="3">
        <f>$D61*TCA!S61/100</f>
        <v>0</v>
      </c>
      <c r="U61" s="3">
        <f>$D61*TCA!T61/100</f>
        <v>0</v>
      </c>
      <c r="V61" s="3">
        <f>$D61*TCA!U61/100</f>
        <v>0</v>
      </c>
      <c r="W61" s="3">
        <f>$D61*TCA!V61/100</f>
        <v>0</v>
      </c>
      <c r="X61" s="3">
        <f>$D61*TCA!W61/100</f>
        <v>0</v>
      </c>
    </row>
    <row r="62" spans="1:24" x14ac:dyDescent="0.25">
      <c r="A62" s="3" t="s">
        <v>2025</v>
      </c>
      <c r="B62" s="3" t="s">
        <v>120</v>
      </c>
      <c r="C62" s="3" t="s">
        <v>121</v>
      </c>
      <c r="D62" s="3">
        <v>100</v>
      </c>
      <c r="E62" s="3">
        <f>$D62*TCA!E62/100</f>
        <v>486.67</v>
      </c>
      <c r="F62" s="3">
        <f>$D62*TCA!F62/100</f>
        <v>10</v>
      </c>
      <c r="G62" s="3">
        <f>$D62*TCA!G62/100</f>
        <v>20</v>
      </c>
      <c r="H62" s="3">
        <f>$D62*TCA!H62/100</f>
        <v>66.67</v>
      </c>
      <c r="I62" s="3">
        <f>$D62*TCA!I62/100</f>
        <v>0</v>
      </c>
      <c r="J62" s="3">
        <f>$D62*TCA!J62/100</f>
        <v>8.33</v>
      </c>
      <c r="K62" s="3">
        <f>$D62*TCA!K62/100</f>
        <v>8.33</v>
      </c>
      <c r="L62" s="3">
        <f>$D62*TCA!L62/100</f>
        <v>1.67</v>
      </c>
      <c r="M62" s="3">
        <f>$D62*TCA!M62/100</f>
        <v>0</v>
      </c>
      <c r="N62" s="3">
        <f>$D62*TCA!N62/100</f>
        <v>0</v>
      </c>
      <c r="O62" s="3">
        <f>$D62*TCA!O62/100</f>
        <v>0</v>
      </c>
      <c r="P62" s="3">
        <f t="shared" si="0"/>
        <v>0</v>
      </c>
      <c r="Q62" s="3">
        <f>$D62*TCA!P62/100</f>
        <v>0</v>
      </c>
      <c r="R62" s="3">
        <f>$D62*TCA!Q62/100</f>
        <v>0</v>
      </c>
      <c r="S62" s="3">
        <f>$D62*TCA!R62/100</f>
        <v>800</v>
      </c>
      <c r="T62" s="3">
        <f>$D62*TCA!S62/100</f>
        <v>0</v>
      </c>
      <c r="U62" s="3">
        <f>$D62*TCA!T62/100</f>
        <v>0</v>
      </c>
      <c r="V62" s="3">
        <f>$D62*TCA!U62/100</f>
        <v>0</v>
      </c>
      <c r="W62" s="3">
        <f>$D62*TCA!V62/100</f>
        <v>0</v>
      </c>
      <c r="X62" s="3">
        <f>$D62*TCA!W62/100</f>
        <v>0</v>
      </c>
    </row>
    <row r="63" spans="1:24" x14ac:dyDescent="0.25">
      <c r="A63" s="3" t="s">
        <v>2025</v>
      </c>
      <c r="B63" s="3" t="s">
        <v>122</v>
      </c>
      <c r="C63" s="3" t="s">
        <v>123</v>
      </c>
      <c r="D63" s="3">
        <v>100</v>
      </c>
      <c r="E63" s="3">
        <f>$D63*TCA!E63/100</f>
        <v>484</v>
      </c>
      <c r="F63" s="3">
        <f>$D63*TCA!F63/100</f>
        <v>4</v>
      </c>
      <c r="G63" s="3">
        <f>$D63*TCA!G63/100</f>
        <v>20</v>
      </c>
      <c r="H63" s="3">
        <f>$D63*TCA!H63/100</f>
        <v>72</v>
      </c>
      <c r="I63" s="3">
        <f>$D63*TCA!I63/100</f>
        <v>4</v>
      </c>
      <c r="J63" s="3">
        <f>$D63*TCA!J63/100</f>
        <v>12</v>
      </c>
      <c r="K63" s="3">
        <f>$D63*TCA!K63/100</f>
        <v>0</v>
      </c>
      <c r="L63" s="3">
        <f>$D63*TCA!L63/100</f>
        <v>0</v>
      </c>
      <c r="M63" s="3">
        <f>$D63*TCA!M63/100</f>
        <v>0</v>
      </c>
      <c r="N63" s="3">
        <f>$D63*TCA!N63/100</f>
        <v>0</v>
      </c>
      <c r="O63" s="3">
        <f>$D63*TCA!O63/100</f>
        <v>0</v>
      </c>
      <c r="P63" s="3">
        <f t="shared" si="0"/>
        <v>0</v>
      </c>
      <c r="Q63" s="3">
        <f>$D63*TCA!P63/100</f>
        <v>0</v>
      </c>
      <c r="R63" s="3">
        <f>$D63*TCA!Q63/100</f>
        <v>0</v>
      </c>
      <c r="S63" s="3">
        <f>$D63*TCA!R63/100</f>
        <v>160</v>
      </c>
      <c r="T63" s="3">
        <f>$D63*TCA!S63/100</f>
        <v>0</v>
      </c>
      <c r="U63" s="3">
        <f>$D63*TCA!T63/100</f>
        <v>0</v>
      </c>
      <c r="V63" s="3">
        <f>$D63*TCA!U63/100</f>
        <v>0</v>
      </c>
      <c r="W63" s="3">
        <f>$D63*TCA!V63/100</f>
        <v>0</v>
      </c>
      <c r="X63" s="3">
        <f>$D63*TCA!W63/100</f>
        <v>0</v>
      </c>
    </row>
    <row r="64" spans="1:24" x14ac:dyDescent="0.25">
      <c r="A64" s="3" t="s">
        <v>2025</v>
      </c>
      <c r="B64" s="3" t="s">
        <v>124</v>
      </c>
      <c r="C64" s="3" t="s">
        <v>125</v>
      </c>
      <c r="D64" s="3">
        <v>100</v>
      </c>
      <c r="E64" s="3">
        <f>$D64*TCA!E64/100</f>
        <v>476.2</v>
      </c>
      <c r="F64" s="3">
        <f>$D64*TCA!F64/100</f>
        <v>10.1</v>
      </c>
      <c r="G64" s="3">
        <f>$D64*TCA!G64/100</f>
        <v>19.8</v>
      </c>
      <c r="H64" s="3">
        <f>$D64*TCA!H64/100</f>
        <v>64.400000000000006</v>
      </c>
      <c r="I64" s="3">
        <f>$D64*TCA!I64/100</f>
        <v>5.3</v>
      </c>
      <c r="J64" s="3">
        <f>$D64*TCA!J64/100</f>
        <v>2.37</v>
      </c>
      <c r="K64" s="3">
        <f>$D64*TCA!K64/100</f>
        <v>4.38</v>
      </c>
      <c r="L64" s="3">
        <f>$D64*TCA!L64/100</f>
        <v>12.05</v>
      </c>
      <c r="M64" s="3">
        <f>$D64*TCA!M64/100</f>
        <v>0</v>
      </c>
      <c r="N64" s="3">
        <f>$D64*TCA!N64/100</f>
        <v>61</v>
      </c>
      <c r="O64" s="3">
        <f>$D64*TCA!O64/100</f>
        <v>277</v>
      </c>
      <c r="P64" s="3">
        <f t="shared" si="0"/>
        <v>27.425742574257427</v>
      </c>
      <c r="Q64" s="3">
        <f>$D64*TCA!P64/100</f>
        <v>2.95</v>
      </c>
      <c r="R64" s="3">
        <f>$D64*TCA!Q64/100</f>
        <v>336</v>
      </c>
      <c r="S64" s="3">
        <f>$D64*TCA!R64/100</f>
        <v>294</v>
      </c>
      <c r="T64" s="3">
        <f>$D64*TCA!S64/100</f>
        <v>2.0299999999999998</v>
      </c>
      <c r="U64" s="3">
        <f>$D64*TCA!T64/100</f>
        <v>0.9</v>
      </c>
      <c r="V64" s="3">
        <f>$D64*TCA!U64/100</f>
        <v>2</v>
      </c>
      <c r="W64" s="3">
        <f>$D64*TCA!V64/100</f>
        <v>23</v>
      </c>
      <c r="X64" s="3">
        <f>$D64*TCA!W64/100</f>
        <v>0</v>
      </c>
    </row>
    <row r="65" spans="1:24" x14ac:dyDescent="0.25">
      <c r="A65" s="3" t="s">
        <v>2025</v>
      </c>
      <c r="B65" s="3" t="s">
        <v>126</v>
      </c>
      <c r="C65" s="3" t="s">
        <v>127</v>
      </c>
      <c r="D65" s="3">
        <v>100</v>
      </c>
      <c r="E65" s="3">
        <f>$D65*TCA!E65/100</f>
        <v>390.1</v>
      </c>
      <c r="F65" s="3">
        <f>$D65*TCA!F65/100</f>
        <v>12</v>
      </c>
      <c r="G65" s="3">
        <f>$D65*TCA!G65/100</f>
        <v>6.1</v>
      </c>
      <c r="H65" s="3">
        <f>$D65*TCA!H65/100</f>
        <v>71.8</v>
      </c>
      <c r="I65" s="3">
        <f>$D65*TCA!I65/100</f>
        <v>3.5</v>
      </c>
      <c r="J65" s="3">
        <f>$D65*TCA!J65/100</f>
        <v>0</v>
      </c>
      <c r="K65" s="3">
        <f>$D65*TCA!K65/100</f>
        <v>0</v>
      </c>
      <c r="L65" s="3">
        <f>$D65*TCA!L65/100</f>
        <v>0</v>
      </c>
      <c r="M65" s="3">
        <f>$D65*TCA!M65/100</f>
        <v>0</v>
      </c>
      <c r="N65" s="3">
        <f>$D65*TCA!N65/100</f>
        <v>0</v>
      </c>
      <c r="O65" s="3">
        <f>$D65*TCA!O65/100</f>
        <v>530</v>
      </c>
      <c r="P65" s="3">
        <f t="shared" si="0"/>
        <v>44.166666666666664</v>
      </c>
      <c r="Q65" s="3">
        <f>$D65*TCA!P65/100</f>
        <v>0</v>
      </c>
      <c r="R65" s="3">
        <f>$D65*TCA!Q65/100</f>
        <v>0</v>
      </c>
      <c r="S65" s="3">
        <f>$D65*TCA!R65/100</f>
        <v>0</v>
      </c>
      <c r="T65" s="3">
        <f>$D65*TCA!S65/100</f>
        <v>0</v>
      </c>
      <c r="U65" s="3">
        <f>$D65*TCA!T65/100</f>
        <v>0</v>
      </c>
      <c r="V65" s="3">
        <f>$D65*TCA!U65/100</f>
        <v>0</v>
      </c>
      <c r="W65" s="3">
        <f>$D65*TCA!V65/100</f>
        <v>0</v>
      </c>
      <c r="X65" s="3">
        <f>$D65*TCA!W65/100</f>
        <v>0</v>
      </c>
    </row>
    <row r="66" spans="1:24" x14ac:dyDescent="0.25">
      <c r="A66" s="3" t="s">
        <v>2025</v>
      </c>
      <c r="B66" s="3" t="s">
        <v>128</v>
      </c>
      <c r="C66" s="3" t="s">
        <v>129</v>
      </c>
      <c r="D66" s="3">
        <v>100</v>
      </c>
      <c r="E66" s="3">
        <f>$D66*TCA!E66/100</f>
        <v>359.49</v>
      </c>
      <c r="F66" s="3">
        <f>$D66*TCA!F66/100</f>
        <v>8.48</v>
      </c>
      <c r="G66" s="3">
        <f>$D66*TCA!G66/100</f>
        <v>1.65</v>
      </c>
      <c r="H66" s="3">
        <f>$D66*TCA!H66/100</f>
        <v>77.680000000000007</v>
      </c>
      <c r="I66" s="3">
        <f>$D66*TCA!I66/100</f>
        <v>7.4</v>
      </c>
      <c r="J66" s="3">
        <f>$D66*TCA!J66/100</f>
        <v>0.22</v>
      </c>
      <c r="K66" s="3">
        <f>$D66*TCA!K66/100</f>
        <v>0.41</v>
      </c>
      <c r="L66" s="3">
        <f>$D66*TCA!L66/100</f>
        <v>0.71</v>
      </c>
      <c r="M66" s="3">
        <f>$D66*TCA!M66/100</f>
        <v>0</v>
      </c>
      <c r="N66" s="3">
        <f>$D66*TCA!N66/100</f>
        <v>5</v>
      </c>
      <c r="O66" s="3">
        <f>$D66*TCA!O66/100</f>
        <v>84</v>
      </c>
      <c r="P66" s="3">
        <f t="shared" si="0"/>
        <v>9.9056603773584904</v>
      </c>
      <c r="Q66" s="3">
        <f>$D66*TCA!P66/100</f>
        <v>4.13</v>
      </c>
      <c r="R66" s="3">
        <f>$D66*TCA!Q66/100</f>
        <v>0</v>
      </c>
      <c r="S66" s="3">
        <f>$D66*TCA!R66/100</f>
        <v>3</v>
      </c>
      <c r="T66" s="3">
        <f>$D66*TCA!S66/100</f>
        <v>0.72</v>
      </c>
      <c r="U66" s="3">
        <f>$D66*TCA!T66/100</f>
        <v>0</v>
      </c>
      <c r="V66" s="3">
        <f>$D66*TCA!U66/100</f>
        <v>0</v>
      </c>
      <c r="W66" s="3">
        <f>$D66*TCA!V66/100</f>
        <v>363</v>
      </c>
      <c r="X66" s="3">
        <f>$D66*TCA!W66/100</f>
        <v>0</v>
      </c>
    </row>
    <row r="67" spans="1:24" x14ac:dyDescent="0.25">
      <c r="A67" s="3" t="s">
        <v>2025</v>
      </c>
      <c r="B67" s="3" t="s">
        <v>130</v>
      </c>
      <c r="C67" s="3" t="s">
        <v>131</v>
      </c>
      <c r="D67" s="3">
        <v>100</v>
      </c>
      <c r="E67" s="3">
        <f>$D67*TCA!E67/100</f>
        <v>377.32</v>
      </c>
      <c r="F67" s="3">
        <f>$D67*TCA!F67/100</f>
        <v>9.09</v>
      </c>
      <c r="G67" s="3">
        <f>$D67*TCA!G67/100</f>
        <v>1.52</v>
      </c>
      <c r="H67" s="3">
        <f>$D67*TCA!H67/100</f>
        <v>81.819999999999993</v>
      </c>
      <c r="I67" s="3">
        <f>$D67*TCA!I67/100</f>
        <v>9.1</v>
      </c>
      <c r="J67" s="3">
        <f>$D67*TCA!J67/100</f>
        <v>0</v>
      </c>
      <c r="K67" s="3">
        <f>$D67*TCA!K67/100</f>
        <v>0</v>
      </c>
      <c r="L67" s="3">
        <f>$D67*TCA!L67/100</f>
        <v>0</v>
      </c>
      <c r="M67" s="3">
        <f>$D67*TCA!M67/100</f>
        <v>0</v>
      </c>
      <c r="N67" s="3">
        <f>$D67*TCA!N67/100</f>
        <v>27</v>
      </c>
      <c r="O67" s="3">
        <f>$D67*TCA!O67/100</f>
        <v>0</v>
      </c>
      <c r="P67" s="3">
        <f t="shared" si="0"/>
        <v>0</v>
      </c>
      <c r="Q67" s="3">
        <f>$D67*TCA!P67/100</f>
        <v>0.03</v>
      </c>
      <c r="R67" s="3">
        <f>$D67*TCA!Q67/100</f>
        <v>327</v>
      </c>
      <c r="S67" s="3">
        <f>$D67*TCA!R67/100</f>
        <v>0</v>
      </c>
      <c r="T67" s="3">
        <f>$D67*TCA!S67/100</f>
        <v>0</v>
      </c>
      <c r="U67" s="3">
        <f>$D67*TCA!T67/100</f>
        <v>0</v>
      </c>
      <c r="V67" s="3">
        <f>$D67*TCA!U67/100</f>
        <v>0</v>
      </c>
      <c r="W67" s="3">
        <f>$D67*TCA!V67/100</f>
        <v>0</v>
      </c>
      <c r="X67" s="3">
        <f>$D67*TCA!W67/100</f>
        <v>0</v>
      </c>
    </row>
    <row r="68" spans="1:24" x14ac:dyDescent="0.25">
      <c r="A68" s="3" t="s">
        <v>2025</v>
      </c>
      <c r="B68" s="3" t="s">
        <v>132</v>
      </c>
      <c r="C68" s="3" t="s">
        <v>133</v>
      </c>
      <c r="D68" s="3">
        <v>100</v>
      </c>
      <c r="E68" s="3">
        <f>$D68*TCA!E68/100</f>
        <v>363.45</v>
      </c>
      <c r="F68" s="3">
        <f>$D68*TCA!F68/100</f>
        <v>9.39</v>
      </c>
      <c r="G68" s="3">
        <f>$D68*TCA!G68/100</f>
        <v>1.77</v>
      </c>
      <c r="H68" s="3">
        <f>$D68*TCA!H68/100</f>
        <v>77.489999999999995</v>
      </c>
      <c r="I68" s="3">
        <f>$D68*TCA!I68/100</f>
        <v>14.6</v>
      </c>
      <c r="J68" s="3">
        <f>$D68*TCA!J68/100</f>
        <v>0.2</v>
      </c>
      <c r="K68" s="3">
        <f>$D68*TCA!K68/100</f>
        <v>0.21</v>
      </c>
      <c r="L68" s="3">
        <f>$D68*TCA!L68/100</f>
        <v>0.77</v>
      </c>
      <c r="M68" s="3">
        <f>$D68*TCA!M68/100</f>
        <v>0</v>
      </c>
      <c r="N68" s="3">
        <f>$D68*TCA!N68/100</f>
        <v>24</v>
      </c>
      <c r="O68" s="3">
        <f>$D68*TCA!O68/100</f>
        <v>207</v>
      </c>
      <c r="P68" s="3">
        <f t="shared" ref="P68:P131" si="1">O68/F68</f>
        <v>22.04472843450479</v>
      </c>
      <c r="Q68" s="3">
        <f>$D68*TCA!P68/100</f>
        <v>2.12</v>
      </c>
      <c r="R68" s="3">
        <f>$D68*TCA!Q68/100</f>
        <v>340</v>
      </c>
      <c r="S68" s="3">
        <f>$D68*TCA!R68/100</f>
        <v>3</v>
      </c>
      <c r="T68" s="3">
        <f>$D68*TCA!S68/100</f>
        <v>1.99</v>
      </c>
      <c r="U68" s="3">
        <f>$D68*TCA!T68/100</f>
        <v>0</v>
      </c>
      <c r="V68" s="3">
        <f>$D68*TCA!U68/100</f>
        <v>0</v>
      </c>
      <c r="W68" s="3">
        <f>$D68*TCA!V68/100</f>
        <v>19</v>
      </c>
      <c r="X68" s="3">
        <f>$D68*TCA!W68/100</f>
        <v>0</v>
      </c>
    </row>
    <row r="69" spans="1:24" x14ac:dyDescent="0.25">
      <c r="A69" s="3" t="s">
        <v>2025</v>
      </c>
      <c r="B69" s="3" t="s">
        <v>134</v>
      </c>
      <c r="C69" s="3" t="s">
        <v>135</v>
      </c>
      <c r="D69" s="3">
        <v>100</v>
      </c>
      <c r="E69" s="3">
        <f>$D69*TCA!E69/100</f>
        <v>364.6</v>
      </c>
      <c r="F69" s="3">
        <f>$D69*TCA!F69/100</f>
        <v>7.3</v>
      </c>
      <c r="G69" s="3">
        <f>$D69*TCA!G69/100</f>
        <v>3.4</v>
      </c>
      <c r="H69" s="3">
        <f>$D69*TCA!H69/100</f>
        <v>76.2</v>
      </c>
      <c r="I69" s="3">
        <f>$D69*TCA!I69/100</f>
        <v>0</v>
      </c>
      <c r="J69" s="3">
        <f>$D69*TCA!J69/100</f>
        <v>0</v>
      </c>
      <c r="K69" s="3">
        <f>$D69*TCA!K69/100</f>
        <v>0</v>
      </c>
      <c r="L69" s="3">
        <f>$D69*TCA!L69/100</f>
        <v>0</v>
      </c>
      <c r="M69" s="3">
        <f>$D69*TCA!M69/100</f>
        <v>0</v>
      </c>
      <c r="N69" s="3">
        <f>$D69*TCA!N69/100</f>
        <v>12</v>
      </c>
      <c r="O69" s="3">
        <f>$D69*TCA!O69/100</f>
        <v>328</v>
      </c>
      <c r="P69" s="3">
        <f t="shared" si="1"/>
        <v>44.93150684931507</v>
      </c>
      <c r="Q69" s="3">
        <f>$D69*TCA!P69/100</f>
        <v>0.2</v>
      </c>
      <c r="R69" s="3">
        <f>$D69*TCA!Q69/100</f>
        <v>0</v>
      </c>
      <c r="S69" s="3">
        <f>$D69*TCA!R69/100</f>
        <v>0</v>
      </c>
      <c r="T69" s="3">
        <f>$D69*TCA!S69/100</f>
        <v>0</v>
      </c>
      <c r="U69" s="3">
        <f>$D69*TCA!T69/100</f>
        <v>2.1</v>
      </c>
      <c r="V69" s="3">
        <f>$D69*TCA!U69/100</f>
        <v>8</v>
      </c>
      <c r="W69" s="3">
        <f>$D69*TCA!V69/100</f>
        <v>0</v>
      </c>
      <c r="X69" s="3">
        <f>$D69*TCA!W69/100</f>
        <v>0</v>
      </c>
    </row>
    <row r="70" spans="1:24" x14ac:dyDescent="0.25">
      <c r="A70" s="3" t="s">
        <v>2025</v>
      </c>
      <c r="B70" s="3" t="s">
        <v>136</v>
      </c>
      <c r="C70" s="3" t="s">
        <v>137</v>
      </c>
      <c r="D70" s="3">
        <v>100</v>
      </c>
      <c r="E70" s="3">
        <f>$D70*TCA!E70/100</f>
        <v>360.1</v>
      </c>
      <c r="F70" s="3">
        <f>$D70*TCA!F70/100</f>
        <v>8.5</v>
      </c>
      <c r="G70" s="3">
        <f>$D70*TCA!G70/100</f>
        <v>1.7</v>
      </c>
      <c r="H70" s="3">
        <f>$D70*TCA!H70/100</f>
        <v>77.7</v>
      </c>
      <c r="I70" s="3">
        <f>$D70*TCA!I70/100</f>
        <v>7.4</v>
      </c>
      <c r="J70" s="3">
        <f>$D70*TCA!J70/100</f>
        <v>0</v>
      </c>
      <c r="K70" s="3">
        <f>$D70*TCA!K70/100</f>
        <v>0</v>
      </c>
      <c r="L70" s="3">
        <f>$D70*TCA!L70/100</f>
        <v>0</v>
      </c>
      <c r="M70" s="3">
        <f>$D70*TCA!M70/100</f>
        <v>0</v>
      </c>
      <c r="N70" s="3">
        <f>$D70*TCA!N70/100</f>
        <v>110</v>
      </c>
      <c r="O70" s="3">
        <f>$D70*TCA!O70/100</f>
        <v>84</v>
      </c>
      <c r="P70" s="3">
        <f t="shared" si="1"/>
        <v>9.882352941176471</v>
      </c>
      <c r="Q70" s="3">
        <f>$D70*TCA!P70/100</f>
        <v>2.9</v>
      </c>
      <c r="R70" s="3">
        <f>$D70*TCA!Q70/100</f>
        <v>162</v>
      </c>
      <c r="S70" s="3">
        <f>$D70*TCA!R70/100</f>
        <v>3</v>
      </c>
      <c r="T70" s="3">
        <f>$D70*TCA!S70/100</f>
        <v>0.7</v>
      </c>
      <c r="U70" s="3">
        <f>$D70*TCA!T70/100</f>
        <v>0</v>
      </c>
      <c r="V70" s="3">
        <f>$D70*TCA!U70/100</f>
        <v>662</v>
      </c>
      <c r="W70" s="3">
        <f>$D70*TCA!V70/100</f>
        <v>0</v>
      </c>
      <c r="X70" s="3">
        <f>$D70*TCA!W70/100</f>
        <v>0</v>
      </c>
    </row>
    <row r="71" spans="1:24" x14ac:dyDescent="0.25">
      <c r="A71" s="3" t="s">
        <v>2025</v>
      </c>
      <c r="B71" s="3" t="s">
        <v>138</v>
      </c>
      <c r="C71" s="3" t="s">
        <v>139</v>
      </c>
      <c r="D71" s="3">
        <v>100</v>
      </c>
      <c r="E71" s="3">
        <f>$D71*TCA!E71/100</f>
        <v>358.9</v>
      </c>
      <c r="F71" s="3">
        <f>$D71*TCA!F71/100</f>
        <v>13.8</v>
      </c>
      <c r="G71" s="3">
        <f>$D71*TCA!G71/100</f>
        <v>2.1</v>
      </c>
      <c r="H71" s="3">
        <f>$D71*TCA!H71/100</f>
        <v>71.2</v>
      </c>
      <c r="I71" s="3">
        <f>$D71*TCA!I71/100</f>
        <v>11.4</v>
      </c>
      <c r="J71" s="3">
        <f>$D71*TCA!J71/100</f>
        <v>0.4</v>
      </c>
      <c r="K71" s="3">
        <f>$D71*TCA!K71/100</f>
        <v>0.3</v>
      </c>
      <c r="L71" s="3">
        <f>$D71*TCA!L71/100</f>
        <v>1.1000000000000001</v>
      </c>
      <c r="M71" s="3">
        <f>$D71*TCA!M71/100</f>
        <v>0</v>
      </c>
      <c r="N71" s="3">
        <f>$D71*TCA!N71/100</f>
        <v>48</v>
      </c>
      <c r="O71" s="3">
        <f>$D71*TCA!O71/100</f>
        <v>390</v>
      </c>
      <c r="P71" s="3">
        <f t="shared" si="1"/>
        <v>28.260869565217391</v>
      </c>
      <c r="Q71" s="3">
        <f>$D71*TCA!P71/100</f>
        <v>4</v>
      </c>
      <c r="R71" s="3">
        <f>$D71*TCA!Q71/100</f>
        <v>500</v>
      </c>
      <c r="S71" s="3">
        <f>$D71*TCA!R71/100</f>
        <v>3</v>
      </c>
      <c r="T71" s="3">
        <f>$D71*TCA!S71/100</f>
        <v>3.4</v>
      </c>
      <c r="U71" s="3">
        <f>$D71*TCA!T71/100</f>
        <v>0</v>
      </c>
      <c r="V71" s="3">
        <f>$D71*TCA!U71/100</f>
        <v>0</v>
      </c>
      <c r="W71" s="3">
        <f>$D71*TCA!V71/100</f>
        <v>49</v>
      </c>
      <c r="X71" s="3">
        <f>$D71*TCA!W71/100</f>
        <v>0</v>
      </c>
    </row>
    <row r="72" spans="1:24" x14ac:dyDescent="0.25">
      <c r="A72" s="3" t="s">
        <v>2025</v>
      </c>
      <c r="B72" s="3" t="s">
        <v>140</v>
      </c>
      <c r="C72" s="3" t="s">
        <v>141</v>
      </c>
      <c r="D72" s="3">
        <v>100</v>
      </c>
      <c r="E72" s="3">
        <f>$D72*TCA!E72/100</f>
        <v>355.38</v>
      </c>
      <c r="F72" s="3">
        <f>$D72*TCA!F72/100</f>
        <v>10.33</v>
      </c>
      <c r="G72" s="3">
        <f>$D72*TCA!G72/100</f>
        <v>0.98</v>
      </c>
      <c r="H72" s="3">
        <f>$D72*TCA!H72/100</f>
        <v>76.31</v>
      </c>
      <c r="I72" s="3">
        <f>$D72*TCA!I72/100</f>
        <v>2.7</v>
      </c>
      <c r="J72" s="3">
        <f>$D72*TCA!J72/100</f>
        <v>0.16</v>
      </c>
      <c r="K72" s="3">
        <f>$D72*TCA!K72/100</f>
        <v>0.09</v>
      </c>
      <c r="L72" s="3">
        <f>$D72*TCA!L72/100</f>
        <v>0.41</v>
      </c>
      <c r="M72" s="3">
        <f>$D72*TCA!M72/100</f>
        <v>0</v>
      </c>
      <c r="N72" s="3">
        <f>$D72*TCA!N72/100</f>
        <v>15</v>
      </c>
      <c r="O72" s="3">
        <f>$D72*TCA!O72/100</f>
        <v>108</v>
      </c>
      <c r="P72" s="3">
        <f t="shared" si="1"/>
        <v>10.454985479186835</v>
      </c>
      <c r="Q72" s="3">
        <f>$D72*TCA!P72/100</f>
        <v>4.6399999999999997</v>
      </c>
      <c r="R72" s="3">
        <f>$D72*TCA!Q72/100</f>
        <v>107</v>
      </c>
      <c r="S72" s="3">
        <f>$D72*TCA!R72/100</f>
        <v>2</v>
      </c>
      <c r="T72" s="3">
        <f>$D72*TCA!S72/100</f>
        <v>0.7</v>
      </c>
      <c r="U72" s="3">
        <f>$D72*TCA!T72/100</f>
        <v>0</v>
      </c>
      <c r="V72" s="3">
        <f>$D72*TCA!U72/100</f>
        <v>0</v>
      </c>
      <c r="W72" s="3">
        <f>$D72*TCA!V72/100</f>
        <v>291</v>
      </c>
      <c r="X72" s="3">
        <f>$D72*TCA!W72/100</f>
        <v>0</v>
      </c>
    </row>
    <row r="73" spans="1:24" x14ac:dyDescent="0.25">
      <c r="A73" s="3" t="s">
        <v>2025</v>
      </c>
      <c r="B73" s="3" t="s">
        <v>142</v>
      </c>
      <c r="C73" s="3" t="s">
        <v>143</v>
      </c>
      <c r="D73" s="3">
        <v>100</v>
      </c>
      <c r="E73" s="3">
        <f>$D73*TCA!E73/100</f>
        <v>256</v>
      </c>
      <c r="F73" s="3">
        <f>$D73*TCA!F73/100</f>
        <v>4.67</v>
      </c>
      <c r="G73" s="3">
        <f>$D73*TCA!G73/100</f>
        <v>13.33</v>
      </c>
      <c r="H73" s="3">
        <f>$D73*TCA!H73/100</f>
        <v>29.33</v>
      </c>
      <c r="I73" s="3">
        <f>$D73*TCA!I73/100</f>
        <v>0</v>
      </c>
      <c r="J73" s="3">
        <f>$D73*TCA!J73/100</f>
        <v>4.67</v>
      </c>
      <c r="K73" s="3">
        <f>$D73*TCA!K73/100</f>
        <v>0</v>
      </c>
      <c r="L73" s="3">
        <f>$D73*TCA!L73/100</f>
        <v>0</v>
      </c>
      <c r="M73" s="3">
        <f>$D73*TCA!M73/100</f>
        <v>58.67</v>
      </c>
      <c r="N73" s="3">
        <f>$D73*TCA!N73/100</f>
        <v>0</v>
      </c>
      <c r="O73" s="3">
        <f>$D73*TCA!O73/100</f>
        <v>0</v>
      </c>
      <c r="P73" s="3">
        <f t="shared" si="1"/>
        <v>0</v>
      </c>
      <c r="Q73" s="3">
        <f>$D73*TCA!P73/100</f>
        <v>0</v>
      </c>
      <c r="R73" s="3">
        <f>$D73*TCA!Q73/100</f>
        <v>0</v>
      </c>
      <c r="S73" s="3">
        <f>$D73*TCA!R73/100</f>
        <v>0</v>
      </c>
      <c r="T73" s="3">
        <f>$D73*TCA!S73/100</f>
        <v>0</v>
      </c>
      <c r="U73" s="3">
        <f>$D73*TCA!T73/100</f>
        <v>0</v>
      </c>
      <c r="V73" s="3">
        <f>$D73*TCA!U73/100</f>
        <v>0</v>
      </c>
      <c r="W73" s="3">
        <f>$D73*TCA!V73/100</f>
        <v>0</v>
      </c>
      <c r="X73" s="3">
        <f>$D73*TCA!W73/100</f>
        <v>0</v>
      </c>
    </row>
    <row r="74" spans="1:24" x14ac:dyDescent="0.25">
      <c r="A74" s="3" t="s">
        <v>2025</v>
      </c>
      <c r="B74" s="3" t="s">
        <v>144</v>
      </c>
      <c r="C74" s="3" t="s">
        <v>145</v>
      </c>
      <c r="D74" s="3">
        <v>100</v>
      </c>
      <c r="E74" s="3">
        <f>$D74*TCA!E74/100</f>
        <v>346.6</v>
      </c>
      <c r="F74" s="3">
        <f>$D74*TCA!F74/100</f>
        <v>0.6</v>
      </c>
      <c r="G74" s="3">
        <f>$D74*TCA!G74/100</f>
        <v>0.2</v>
      </c>
      <c r="H74" s="3">
        <f>$D74*TCA!H74/100</f>
        <v>85.6</v>
      </c>
      <c r="I74" s="3">
        <f>$D74*TCA!I74/100</f>
        <v>0.9</v>
      </c>
      <c r="J74" s="3">
        <f>$D74*TCA!J74/100</f>
        <v>0.01</v>
      </c>
      <c r="K74" s="3">
        <f>$D74*TCA!K74/100</f>
        <v>0.02</v>
      </c>
      <c r="L74" s="3">
        <f>$D74*TCA!L74/100</f>
        <v>0.03</v>
      </c>
      <c r="M74" s="3">
        <f>$D74*TCA!M74/100</f>
        <v>0</v>
      </c>
      <c r="N74" s="3">
        <f>$D74*TCA!N74/100</f>
        <v>8</v>
      </c>
      <c r="O74" s="3">
        <f>$D74*TCA!O74/100</f>
        <v>16</v>
      </c>
      <c r="P74" s="3">
        <f t="shared" si="1"/>
        <v>26.666666666666668</v>
      </c>
      <c r="Q74" s="3">
        <f>$D74*TCA!P74/100</f>
        <v>0</v>
      </c>
      <c r="R74" s="3">
        <f>$D74*TCA!Q74/100</f>
        <v>3</v>
      </c>
      <c r="S74" s="3">
        <f>$D74*TCA!R74/100</f>
        <v>9</v>
      </c>
      <c r="T74" s="3">
        <f>$D74*TCA!S74/100</f>
        <v>0.06</v>
      </c>
      <c r="U74" s="3">
        <f>$D74*TCA!T74/100</f>
        <v>0</v>
      </c>
      <c r="V74" s="3">
        <f>$D74*TCA!U74/100</f>
        <v>0</v>
      </c>
      <c r="W74" s="3">
        <f>$D74*TCA!V74/100</f>
        <v>0</v>
      </c>
      <c r="X74" s="3">
        <f>$D74*TCA!W74/100</f>
        <v>0</v>
      </c>
    </row>
    <row r="75" spans="1:24" x14ac:dyDescent="0.25">
      <c r="A75" s="3" t="s">
        <v>2025</v>
      </c>
      <c r="B75" s="3" t="s">
        <v>146</v>
      </c>
      <c r="C75" s="3" t="s">
        <v>147</v>
      </c>
      <c r="D75" s="3">
        <v>100</v>
      </c>
      <c r="E75" s="3">
        <f>$D75*TCA!E75/100</f>
        <v>377.38</v>
      </c>
      <c r="F75" s="3">
        <f>$D75*TCA!F75/100</f>
        <v>9.42</v>
      </c>
      <c r="G75" s="3">
        <f>$D75*TCA!G75/100</f>
        <v>4.74</v>
      </c>
      <c r="H75" s="3">
        <f>$D75*TCA!H75/100</f>
        <v>74.260000000000005</v>
      </c>
      <c r="I75" s="3">
        <f>$D75*TCA!I75/100</f>
        <v>7.3</v>
      </c>
      <c r="J75" s="3">
        <f>$D75*TCA!J75/100</f>
        <v>0.67</v>
      </c>
      <c r="K75" s="3">
        <f>$D75*TCA!K75/100</f>
        <v>1.25</v>
      </c>
      <c r="L75" s="3">
        <f>$D75*TCA!L75/100</f>
        <v>2.16</v>
      </c>
      <c r="M75" s="3">
        <f>$D75*TCA!M75/100</f>
        <v>0</v>
      </c>
      <c r="N75" s="3">
        <f>$D75*TCA!N75/100</f>
        <v>7</v>
      </c>
      <c r="O75" s="3">
        <f>$D75*TCA!O75/100</f>
        <v>210</v>
      </c>
      <c r="P75" s="3">
        <f t="shared" si="1"/>
        <v>22.29299363057325</v>
      </c>
      <c r="Q75" s="3">
        <f>$D75*TCA!P75/100</f>
        <v>2.71</v>
      </c>
      <c r="R75" s="3">
        <f>$D75*TCA!Q75/100</f>
        <v>287</v>
      </c>
      <c r="S75" s="3">
        <f>$D75*TCA!R75/100</f>
        <v>35</v>
      </c>
      <c r="T75" s="3">
        <f>$D75*TCA!S75/100</f>
        <v>2.21</v>
      </c>
      <c r="U75" s="3">
        <f>$D75*TCA!T75/100</f>
        <v>0</v>
      </c>
      <c r="V75" s="3">
        <f>$D75*TCA!U75/100</f>
        <v>11</v>
      </c>
      <c r="W75" s="3">
        <f>$D75*TCA!V75/100</f>
        <v>19</v>
      </c>
      <c r="X75" s="3">
        <f>$D75*TCA!W75/100</f>
        <v>0</v>
      </c>
    </row>
    <row r="76" spans="1:24" x14ac:dyDescent="0.25">
      <c r="A76" s="3" t="s">
        <v>2025</v>
      </c>
      <c r="B76" s="3" t="s">
        <v>148</v>
      </c>
      <c r="C76" s="3" t="s">
        <v>149</v>
      </c>
      <c r="D76" s="3">
        <v>100</v>
      </c>
      <c r="E76" s="3">
        <f>$D76*TCA!E76/100</f>
        <v>366.4</v>
      </c>
      <c r="F76" s="3">
        <f>$D76*TCA!F76/100</f>
        <v>7.7</v>
      </c>
      <c r="G76" s="3">
        <f>$D76*TCA!G76/100</f>
        <v>5.2</v>
      </c>
      <c r="H76" s="3">
        <f>$D76*TCA!H76/100</f>
        <v>72.2</v>
      </c>
      <c r="I76" s="3">
        <f>$D76*TCA!I76/100</f>
        <v>0</v>
      </c>
      <c r="J76" s="3">
        <f>$D76*TCA!J76/100</f>
        <v>0</v>
      </c>
      <c r="K76" s="3">
        <f>$D76*TCA!K76/100</f>
        <v>0</v>
      </c>
      <c r="L76" s="3">
        <f>$D76*TCA!L76/100</f>
        <v>0</v>
      </c>
      <c r="M76" s="3">
        <f>$D76*TCA!M76/100</f>
        <v>0</v>
      </c>
      <c r="N76" s="3">
        <f>$D76*TCA!N76/100</f>
        <v>5</v>
      </c>
      <c r="O76" s="3">
        <f>$D76*TCA!O76/100</f>
        <v>14</v>
      </c>
      <c r="P76" s="3">
        <f t="shared" si="1"/>
        <v>1.8181818181818181</v>
      </c>
      <c r="Q76" s="3">
        <f>$D76*TCA!P76/100</f>
        <v>2.5</v>
      </c>
      <c r="R76" s="3">
        <f>$D76*TCA!Q76/100</f>
        <v>0</v>
      </c>
      <c r="S76" s="3">
        <f>$D76*TCA!R76/100</f>
        <v>0</v>
      </c>
      <c r="T76" s="3">
        <f>$D76*TCA!S76/100</f>
        <v>0</v>
      </c>
      <c r="U76" s="3">
        <f>$D76*TCA!T76/100</f>
        <v>2</v>
      </c>
      <c r="V76" s="3">
        <f>$D76*TCA!U76/100</f>
        <v>7</v>
      </c>
      <c r="W76" s="3">
        <f>$D76*TCA!V76/100</f>
        <v>310</v>
      </c>
      <c r="X76" s="3">
        <f>$D76*TCA!W76/100</f>
        <v>0</v>
      </c>
    </row>
    <row r="77" spans="1:24" x14ac:dyDescent="0.25">
      <c r="A77" s="3" t="s">
        <v>2025</v>
      </c>
      <c r="B77" s="3" t="s">
        <v>150</v>
      </c>
      <c r="C77" s="3" t="s">
        <v>151</v>
      </c>
      <c r="D77" s="3">
        <v>100</v>
      </c>
      <c r="E77" s="3">
        <f>$D77*TCA!E77/100</f>
        <v>468.32</v>
      </c>
      <c r="F77" s="3">
        <f>$D77*TCA!F77/100</f>
        <v>0</v>
      </c>
      <c r="G77" s="3">
        <f>$D77*TCA!G77/100</f>
        <v>0</v>
      </c>
      <c r="H77" s="3">
        <f>$D77*TCA!H77/100</f>
        <v>0</v>
      </c>
      <c r="I77" s="3">
        <f>$D77*TCA!I77/100</f>
        <v>0</v>
      </c>
      <c r="J77" s="3">
        <f>$D77*TCA!J77/100</f>
        <v>0</v>
      </c>
      <c r="K77" s="3">
        <f>$D77*TCA!K77/100</f>
        <v>0</v>
      </c>
      <c r="L77" s="3">
        <f>$D77*TCA!L77/100</f>
        <v>0</v>
      </c>
      <c r="M77" s="3">
        <f>$D77*TCA!M77/100</f>
        <v>0</v>
      </c>
      <c r="N77" s="3">
        <f>$D77*TCA!N77/100</f>
        <v>0</v>
      </c>
      <c r="O77" s="3">
        <f>$D77*TCA!O77/100</f>
        <v>0</v>
      </c>
      <c r="P77" s="3" t="e">
        <f t="shared" si="1"/>
        <v>#DIV/0!</v>
      </c>
      <c r="Q77" s="3">
        <f>$D77*TCA!P77/100</f>
        <v>1.2</v>
      </c>
      <c r="R77" s="3">
        <f>$D77*TCA!Q77/100</f>
        <v>0</v>
      </c>
      <c r="S77" s="3">
        <f>$D77*TCA!R77/100</f>
        <v>600</v>
      </c>
      <c r="T77" s="3">
        <f>$D77*TCA!S77/100</f>
        <v>0</v>
      </c>
      <c r="U77" s="3">
        <f>$D77*TCA!T77/100</f>
        <v>0</v>
      </c>
      <c r="V77" s="3">
        <f>$D77*TCA!U77/100</f>
        <v>0</v>
      </c>
      <c r="W77" s="3">
        <f>$D77*TCA!V77/100</f>
        <v>0</v>
      </c>
      <c r="X77" s="3">
        <f>$D77*TCA!W77/100</f>
        <v>0</v>
      </c>
    </row>
    <row r="78" spans="1:24" x14ac:dyDescent="0.25">
      <c r="A78" s="3" t="s">
        <v>2025</v>
      </c>
      <c r="B78" s="3" t="s">
        <v>152</v>
      </c>
      <c r="C78" s="3" t="s">
        <v>153</v>
      </c>
      <c r="D78" s="3">
        <v>100</v>
      </c>
      <c r="E78" s="3">
        <f>$D78*TCA!E78/100</f>
        <v>303.3</v>
      </c>
      <c r="F78" s="3">
        <f>$D78*TCA!F78/100</f>
        <v>8.6999999999999993</v>
      </c>
      <c r="G78" s="3">
        <f>$D78*TCA!G78/100</f>
        <v>0.9</v>
      </c>
      <c r="H78" s="3">
        <f>$D78*TCA!H78/100</f>
        <v>65.099999999999994</v>
      </c>
      <c r="I78" s="3">
        <f>$D78*TCA!I78/100</f>
        <v>0</v>
      </c>
      <c r="J78" s="3">
        <f>$D78*TCA!J78/100</f>
        <v>0</v>
      </c>
      <c r="K78" s="3">
        <f>$D78*TCA!K78/100</f>
        <v>0</v>
      </c>
      <c r="L78" s="3">
        <f>$D78*TCA!L78/100</f>
        <v>0</v>
      </c>
      <c r="M78" s="3">
        <f>$D78*TCA!M78/100</f>
        <v>0</v>
      </c>
      <c r="N78" s="3">
        <f>$D78*TCA!N78/100</f>
        <v>4</v>
      </c>
      <c r="O78" s="3">
        <f>$D78*TCA!O78/100</f>
        <v>71</v>
      </c>
      <c r="P78" s="3">
        <f t="shared" si="1"/>
        <v>8.1609195402298855</v>
      </c>
      <c r="Q78" s="3">
        <f>$D78*TCA!P78/100</f>
        <v>2</v>
      </c>
      <c r="R78" s="3">
        <f>$D78*TCA!Q78/100</f>
        <v>0</v>
      </c>
      <c r="S78" s="3">
        <f>$D78*TCA!R78/100</f>
        <v>0</v>
      </c>
      <c r="T78" s="3">
        <f>$D78*TCA!S78/100</f>
        <v>0</v>
      </c>
      <c r="U78" s="3">
        <f>$D78*TCA!T78/100</f>
        <v>0</v>
      </c>
      <c r="V78" s="3">
        <f>$D78*TCA!U78/100</f>
        <v>0</v>
      </c>
      <c r="W78" s="3">
        <f>$D78*TCA!V78/100</f>
        <v>0</v>
      </c>
      <c r="X78" s="3">
        <f>$D78*TCA!W78/100</f>
        <v>0</v>
      </c>
    </row>
    <row r="79" spans="1:24" x14ac:dyDescent="0.25">
      <c r="A79" s="3" t="s">
        <v>2025</v>
      </c>
      <c r="B79" s="3" t="s">
        <v>154</v>
      </c>
      <c r="C79" s="3" t="s">
        <v>155</v>
      </c>
      <c r="D79" s="3">
        <v>100</v>
      </c>
      <c r="E79" s="3">
        <f>$D79*TCA!E79/100</f>
        <v>351.1</v>
      </c>
      <c r="F79" s="3">
        <f>$D79*TCA!F79/100</f>
        <v>5.7</v>
      </c>
      <c r="G79" s="3">
        <f>$D79*TCA!G79/100</f>
        <v>1.5</v>
      </c>
      <c r="H79" s="3">
        <f>$D79*TCA!H79/100</f>
        <v>78.7</v>
      </c>
      <c r="I79" s="3">
        <f>$D79*TCA!I79/100</f>
        <v>0</v>
      </c>
      <c r="J79" s="3">
        <f>$D79*TCA!J79/100</f>
        <v>0</v>
      </c>
      <c r="K79" s="3">
        <f>$D79*TCA!K79/100</f>
        <v>0</v>
      </c>
      <c r="L79" s="3">
        <f>$D79*TCA!L79/100</f>
        <v>0</v>
      </c>
      <c r="M79" s="3">
        <f>$D79*TCA!M79/100</f>
        <v>0</v>
      </c>
      <c r="N79" s="3">
        <f>$D79*TCA!N79/100</f>
        <v>9</v>
      </c>
      <c r="O79" s="3">
        <f>$D79*TCA!O79/100</f>
        <v>166</v>
      </c>
      <c r="P79" s="3">
        <f t="shared" si="1"/>
        <v>29.12280701754386</v>
      </c>
      <c r="Q79" s="3">
        <f>$D79*TCA!P79/100</f>
        <v>4.4000000000000004</v>
      </c>
      <c r="R79" s="3">
        <f>$D79*TCA!Q79/100</f>
        <v>0</v>
      </c>
      <c r="S79" s="3">
        <f>$D79*TCA!R79/100</f>
        <v>0</v>
      </c>
      <c r="T79" s="3">
        <f>$D79*TCA!S79/100</f>
        <v>0</v>
      </c>
      <c r="U79" s="3">
        <f>$D79*TCA!T79/100</f>
        <v>2.1</v>
      </c>
      <c r="V79" s="3">
        <f>$D79*TCA!U79/100</f>
        <v>0</v>
      </c>
      <c r="W79" s="3">
        <f>$D79*TCA!V79/100</f>
        <v>0</v>
      </c>
      <c r="X79" s="3">
        <f>$D79*TCA!W79/100</f>
        <v>0</v>
      </c>
    </row>
    <row r="80" spans="1:24" x14ac:dyDescent="0.25">
      <c r="A80" s="3" t="s">
        <v>2025</v>
      </c>
      <c r="B80" s="3" t="s">
        <v>156</v>
      </c>
      <c r="C80" s="3" t="s">
        <v>157</v>
      </c>
      <c r="D80" s="3">
        <v>100</v>
      </c>
      <c r="E80" s="3">
        <f>$D80*TCA!E80/100</f>
        <v>420.29</v>
      </c>
      <c r="F80" s="3">
        <f>$D80*TCA!F80/100</f>
        <v>3.12</v>
      </c>
      <c r="G80" s="3">
        <f>$D80*TCA!G80/100</f>
        <v>7.81</v>
      </c>
      <c r="H80" s="3">
        <f>$D80*TCA!H80/100</f>
        <v>84.38</v>
      </c>
      <c r="I80" s="3">
        <f>$D80*TCA!I80/100</f>
        <v>3.01</v>
      </c>
      <c r="J80" s="3">
        <f>$D80*TCA!J80/100</f>
        <v>4.6900000000000004</v>
      </c>
      <c r="K80" s="3">
        <f>$D80*TCA!K80/100</f>
        <v>0</v>
      </c>
      <c r="L80" s="3">
        <f>$D80*TCA!L80/100</f>
        <v>0</v>
      </c>
      <c r="M80" s="3">
        <f>$D80*TCA!M80/100</f>
        <v>16</v>
      </c>
      <c r="N80" s="3">
        <f>$D80*TCA!N80/100</f>
        <v>62</v>
      </c>
      <c r="O80" s="3">
        <f>$D80*TCA!O80/100</f>
        <v>0</v>
      </c>
      <c r="P80" s="3">
        <f t="shared" si="1"/>
        <v>0</v>
      </c>
      <c r="Q80" s="3">
        <f>$D80*TCA!P80/100</f>
        <v>2.25</v>
      </c>
      <c r="R80" s="3">
        <f>$D80*TCA!Q80/100</f>
        <v>452</v>
      </c>
      <c r="S80" s="3">
        <f>$D80*TCA!R80/100</f>
        <v>281</v>
      </c>
      <c r="T80" s="3">
        <f>$D80*TCA!S80/100</f>
        <v>0</v>
      </c>
      <c r="U80" s="3">
        <f>$D80*TCA!T80/100</f>
        <v>0</v>
      </c>
      <c r="V80" s="3">
        <f>$D80*TCA!U80/100</f>
        <v>93.6</v>
      </c>
      <c r="W80" s="3">
        <f>$D80*TCA!V80/100</f>
        <v>0</v>
      </c>
      <c r="X80" s="3">
        <f>$D80*TCA!W80/100</f>
        <v>0</v>
      </c>
    </row>
    <row r="81" spans="1:24" x14ac:dyDescent="0.25">
      <c r="A81" s="3" t="s">
        <v>2025</v>
      </c>
      <c r="B81" s="3" t="s">
        <v>158</v>
      </c>
      <c r="C81" s="3" t="s">
        <v>159</v>
      </c>
      <c r="D81" s="3">
        <v>100</v>
      </c>
      <c r="E81" s="3">
        <f>$D81*TCA!E81/100</f>
        <v>517.70000000000005</v>
      </c>
      <c r="F81" s="3">
        <f>$D81*TCA!F81/100</f>
        <v>9</v>
      </c>
      <c r="G81" s="3">
        <f>$D81*TCA!G81/100</f>
        <v>28.1</v>
      </c>
      <c r="H81" s="3">
        <f>$D81*TCA!H81/100</f>
        <v>57.2</v>
      </c>
      <c r="I81" s="3">
        <f>$D81*TCA!I81/100</f>
        <v>10</v>
      </c>
      <c r="J81" s="3">
        <f>$D81*TCA!J81/100</f>
        <v>4.8899999999999997</v>
      </c>
      <c r="K81" s="3">
        <f>$D81*TCA!K81/100</f>
        <v>8.17</v>
      </c>
      <c r="L81" s="3">
        <f>$D81*TCA!L81/100</f>
        <v>13.42</v>
      </c>
      <c r="M81" s="3">
        <f>$D81*TCA!M81/100</f>
        <v>0</v>
      </c>
      <c r="N81" s="3">
        <f>$D81*TCA!N81/100</f>
        <v>10</v>
      </c>
      <c r="O81" s="3">
        <f>$D81*TCA!O81/100</f>
        <v>250</v>
      </c>
      <c r="P81" s="3">
        <f t="shared" si="1"/>
        <v>27.777777777777779</v>
      </c>
      <c r="Q81" s="3">
        <f>$D81*TCA!P81/100</f>
        <v>2.78</v>
      </c>
      <c r="R81" s="3">
        <f>$D81*TCA!Q81/100</f>
        <v>225</v>
      </c>
      <c r="S81" s="3">
        <f>$D81*TCA!R81/100</f>
        <v>884</v>
      </c>
      <c r="T81" s="3">
        <f>$D81*TCA!S81/100</f>
        <v>2.64</v>
      </c>
      <c r="U81" s="3">
        <f>$D81*TCA!T81/100</f>
        <v>0</v>
      </c>
      <c r="V81" s="3">
        <f>$D81*TCA!U81/100</f>
        <v>1</v>
      </c>
      <c r="W81" s="3">
        <f>$D81*TCA!V81/100</f>
        <v>17</v>
      </c>
      <c r="X81" s="3">
        <f>$D81*TCA!W81/100</f>
        <v>0</v>
      </c>
    </row>
    <row r="82" spans="1:24" x14ac:dyDescent="0.25">
      <c r="A82" s="3" t="s">
        <v>2025</v>
      </c>
      <c r="B82" s="3" t="s">
        <v>160</v>
      </c>
      <c r="C82" s="3" t="s">
        <v>161</v>
      </c>
      <c r="D82" s="3">
        <v>100</v>
      </c>
      <c r="E82" s="3">
        <f>$D82*TCA!E82/100</f>
        <v>503.33</v>
      </c>
      <c r="F82" s="3">
        <f>$D82*TCA!F82/100</f>
        <v>23.33</v>
      </c>
      <c r="G82" s="3">
        <f>$D82*TCA!G82/100</f>
        <v>23.33</v>
      </c>
      <c r="H82" s="3">
        <f>$D82*TCA!H82/100</f>
        <v>50</v>
      </c>
      <c r="I82" s="3">
        <f>$D82*TCA!I82/100</f>
        <v>0</v>
      </c>
      <c r="J82" s="3">
        <f>$D82*TCA!J82/100</f>
        <v>3.33</v>
      </c>
      <c r="K82" s="3">
        <f>$D82*TCA!K82/100</f>
        <v>13.33</v>
      </c>
      <c r="L82" s="3">
        <f>$D82*TCA!L82/100</f>
        <v>3.33</v>
      </c>
      <c r="M82" s="3">
        <f>$D82*TCA!M82/100</f>
        <v>86.67</v>
      </c>
      <c r="N82" s="3">
        <f>$D82*TCA!N82/100</f>
        <v>0</v>
      </c>
      <c r="O82" s="3">
        <f>$D82*TCA!O82/100</f>
        <v>0</v>
      </c>
      <c r="P82" s="3">
        <f t="shared" si="1"/>
        <v>0</v>
      </c>
      <c r="Q82" s="3">
        <f>$D82*TCA!P82/100</f>
        <v>0</v>
      </c>
      <c r="R82" s="3">
        <f>$D82*TCA!Q82/100</f>
        <v>0</v>
      </c>
      <c r="S82" s="3">
        <f>$D82*TCA!R82/100</f>
        <v>0</v>
      </c>
      <c r="T82" s="3">
        <f>$D82*TCA!S82/100</f>
        <v>0</v>
      </c>
      <c r="U82" s="3">
        <f>$D82*TCA!T82/100</f>
        <v>0</v>
      </c>
      <c r="V82" s="3">
        <f>$D82*TCA!U82/100</f>
        <v>0</v>
      </c>
      <c r="W82" s="3">
        <f>$D82*TCA!V82/100</f>
        <v>0</v>
      </c>
      <c r="X82" s="3">
        <f>$D82*TCA!W82/100</f>
        <v>0</v>
      </c>
    </row>
    <row r="83" spans="1:24" x14ac:dyDescent="0.25">
      <c r="A83" s="3" t="s">
        <v>2025</v>
      </c>
      <c r="B83" s="3" t="s">
        <v>162</v>
      </c>
      <c r="C83" s="3" t="s">
        <v>163</v>
      </c>
      <c r="D83" s="3">
        <v>100</v>
      </c>
      <c r="E83" s="3">
        <f>$D83*TCA!E83/100</f>
        <v>197.56</v>
      </c>
      <c r="F83" s="3">
        <f>$D83*TCA!F83/100</f>
        <v>4.88</v>
      </c>
      <c r="G83" s="3">
        <f>$D83*TCA!G83/100</f>
        <v>2.44</v>
      </c>
      <c r="H83" s="3">
        <f>$D83*TCA!H83/100</f>
        <v>39.020000000000003</v>
      </c>
      <c r="I83" s="3">
        <f>$D83*TCA!I83/100</f>
        <v>2.4</v>
      </c>
      <c r="J83" s="3">
        <f>$D83*TCA!J83/100</f>
        <v>0</v>
      </c>
      <c r="K83" s="3">
        <f>$D83*TCA!K83/100</f>
        <v>0</v>
      </c>
      <c r="L83" s="3">
        <f>$D83*TCA!L83/100</f>
        <v>0</v>
      </c>
      <c r="M83" s="3">
        <f>$D83*TCA!M83/100</f>
        <v>0</v>
      </c>
      <c r="N83" s="3">
        <f>$D83*TCA!N83/100</f>
        <v>49</v>
      </c>
      <c r="O83" s="3">
        <f>$D83*TCA!O83/100</f>
        <v>0</v>
      </c>
      <c r="P83" s="3">
        <f t="shared" si="1"/>
        <v>0</v>
      </c>
      <c r="Q83" s="3">
        <f>$D83*TCA!P83/100</f>
        <v>0.88</v>
      </c>
      <c r="R83" s="3">
        <f>$D83*TCA!Q83/100</f>
        <v>0</v>
      </c>
      <c r="S83" s="3">
        <f>$D83*TCA!R83/100</f>
        <v>220</v>
      </c>
      <c r="T83" s="3">
        <f>$D83*TCA!S83/100</f>
        <v>0</v>
      </c>
      <c r="U83" s="3">
        <f>$D83*TCA!T83/100</f>
        <v>0</v>
      </c>
      <c r="V83" s="3">
        <f>$D83*TCA!U83/100</f>
        <v>0</v>
      </c>
      <c r="W83" s="3">
        <f>$D83*TCA!V83/100</f>
        <v>0</v>
      </c>
      <c r="X83" s="3">
        <f>$D83*TCA!W83/100</f>
        <v>0</v>
      </c>
    </row>
    <row r="84" spans="1:24" x14ac:dyDescent="0.25">
      <c r="A84" s="3" t="s">
        <v>2025</v>
      </c>
      <c r="B84" s="3" t="s">
        <v>164</v>
      </c>
      <c r="C84" s="3" t="s">
        <v>165</v>
      </c>
      <c r="D84" s="3">
        <v>100</v>
      </c>
      <c r="E84" s="3">
        <f>$D84*TCA!E84/100</f>
        <v>377.38</v>
      </c>
      <c r="F84" s="3">
        <f>$D84*TCA!F84/100</f>
        <v>9.42</v>
      </c>
      <c r="G84" s="3">
        <f>$D84*TCA!G84/100</f>
        <v>4.74</v>
      </c>
      <c r="H84" s="3">
        <f>$D84*TCA!H84/100</f>
        <v>74.260000000000005</v>
      </c>
      <c r="I84" s="3">
        <f>$D84*TCA!I84/100</f>
        <v>0</v>
      </c>
      <c r="J84" s="3">
        <f>$D84*TCA!J84/100</f>
        <v>0.67</v>
      </c>
      <c r="K84" s="3">
        <f>$D84*TCA!K84/100</f>
        <v>1.25</v>
      </c>
      <c r="L84" s="3">
        <f>$D84*TCA!L84/100</f>
        <v>2.16</v>
      </c>
      <c r="M84" s="3">
        <f>$D84*TCA!M84/100</f>
        <v>0</v>
      </c>
      <c r="N84" s="3">
        <f>$D84*TCA!N84/100</f>
        <v>7</v>
      </c>
      <c r="O84" s="3">
        <f>$D84*TCA!O84/100</f>
        <v>210</v>
      </c>
      <c r="P84" s="3">
        <f t="shared" si="1"/>
        <v>22.29299363057325</v>
      </c>
      <c r="Q84" s="3">
        <f>$D84*TCA!P84/100</f>
        <v>2.71</v>
      </c>
      <c r="R84" s="3">
        <f>$D84*TCA!Q84/100</f>
        <v>287</v>
      </c>
      <c r="S84" s="3">
        <f>$D84*TCA!R84/100</f>
        <v>35</v>
      </c>
      <c r="T84" s="3">
        <f>$D84*TCA!S84/100</f>
        <v>2.21</v>
      </c>
      <c r="U84" s="3">
        <f>$D84*TCA!T84/100</f>
        <v>0</v>
      </c>
      <c r="V84" s="3">
        <f>$D84*TCA!U84/100</f>
        <v>0</v>
      </c>
      <c r="W84" s="3">
        <f>$D84*TCA!V84/100</f>
        <v>0</v>
      </c>
      <c r="X84" s="3">
        <f>$D84*TCA!W84/100</f>
        <v>0</v>
      </c>
    </row>
    <row r="85" spans="1:24" x14ac:dyDescent="0.25">
      <c r="A85" s="3" t="s">
        <v>2025</v>
      </c>
      <c r="B85" s="3" t="s">
        <v>166</v>
      </c>
      <c r="C85" s="3" t="s">
        <v>167</v>
      </c>
      <c r="D85" s="3">
        <v>100</v>
      </c>
      <c r="E85" s="3">
        <f>$D85*TCA!E85/100</f>
        <v>403.74</v>
      </c>
      <c r="F85" s="3">
        <f>$D85*TCA!F85/100</f>
        <v>12.94</v>
      </c>
      <c r="G85" s="3">
        <f>$D85*TCA!G85/100</f>
        <v>4.54</v>
      </c>
      <c r="H85" s="3">
        <f>$D85*TCA!H85/100</f>
        <v>77.78</v>
      </c>
      <c r="I85" s="3">
        <f>$D85*TCA!I85/100</f>
        <v>14.5</v>
      </c>
      <c r="J85" s="3">
        <f>$D85*TCA!J85/100</f>
        <v>0.64</v>
      </c>
      <c r="K85" s="3">
        <f>$D85*TCA!K85/100</f>
        <v>0.95</v>
      </c>
      <c r="L85" s="3">
        <f>$D85*TCA!L85/100</f>
        <v>2.3199999999999998</v>
      </c>
      <c r="M85" s="3">
        <f>$D85*TCA!M85/100</f>
        <v>0</v>
      </c>
      <c r="N85" s="3">
        <f>$D85*TCA!N85/100</f>
        <v>7</v>
      </c>
      <c r="O85" s="3">
        <f>$D85*TCA!O85/100</f>
        <v>358</v>
      </c>
      <c r="P85" s="3">
        <f t="shared" si="1"/>
        <v>27.666151468315302</v>
      </c>
      <c r="Q85" s="3">
        <f>$D85*TCA!P85/100</f>
        <v>3.19</v>
      </c>
      <c r="R85" s="3">
        <f>$D85*TCA!Q85/100</f>
        <v>329</v>
      </c>
      <c r="S85" s="3">
        <f>$D85*TCA!R85/100</f>
        <v>8</v>
      </c>
      <c r="T85" s="3">
        <f>$D85*TCA!S85/100</f>
        <v>3.08</v>
      </c>
      <c r="U85" s="3">
        <f>$D85*TCA!T85/100</f>
        <v>0</v>
      </c>
      <c r="V85" s="3">
        <f>$D85*TCA!U85/100</f>
        <v>10</v>
      </c>
      <c r="W85" s="3">
        <f>$D85*TCA!V85/100</f>
        <v>31</v>
      </c>
      <c r="X85" s="3">
        <f>$D85*TCA!W85/100</f>
        <v>0</v>
      </c>
    </row>
    <row r="86" spans="1:24" x14ac:dyDescent="0.25">
      <c r="A86" s="3" t="s">
        <v>2025</v>
      </c>
      <c r="B86" s="3" t="s">
        <v>168</v>
      </c>
      <c r="C86" s="3" t="s">
        <v>169</v>
      </c>
      <c r="D86" s="3">
        <v>100</v>
      </c>
      <c r="E86" s="3">
        <f>$D86*TCA!E86/100</f>
        <v>506.67</v>
      </c>
      <c r="F86" s="3">
        <f>$D86*TCA!F86/100</f>
        <v>10</v>
      </c>
      <c r="G86" s="3">
        <f>$D86*TCA!G86/100</f>
        <v>26.67</v>
      </c>
      <c r="H86" s="3">
        <f>$D86*TCA!H86/100</f>
        <v>56.67</v>
      </c>
      <c r="I86" s="3">
        <f>$D86*TCA!I86/100</f>
        <v>3.33</v>
      </c>
      <c r="J86" s="3">
        <f>$D86*TCA!J86/100</f>
        <v>6.67</v>
      </c>
      <c r="K86" s="3">
        <f>$D86*TCA!K86/100</f>
        <v>10</v>
      </c>
      <c r="L86" s="3">
        <f>$D86*TCA!L86/100</f>
        <v>10</v>
      </c>
      <c r="M86" s="3">
        <f>$D86*TCA!M86/100</f>
        <v>0</v>
      </c>
      <c r="N86" s="3">
        <f>$D86*TCA!N86/100</f>
        <v>0</v>
      </c>
      <c r="O86" s="3">
        <f>$D86*TCA!O86/100</f>
        <v>0</v>
      </c>
      <c r="P86" s="3">
        <f t="shared" si="1"/>
        <v>0</v>
      </c>
      <c r="Q86" s="3">
        <f>$D86*TCA!P86/100</f>
        <v>0</v>
      </c>
      <c r="R86" s="3">
        <f>$D86*TCA!Q86/100</f>
        <v>0</v>
      </c>
      <c r="S86" s="3">
        <f>$D86*TCA!R86/100</f>
        <v>566.66999999999996</v>
      </c>
      <c r="T86" s="3">
        <f>$D86*TCA!S86/100</f>
        <v>0</v>
      </c>
      <c r="U86" s="3">
        <f>$D86*TCA!T86/100</f>
        <v>0</v>
      </c>
      <c r="V86" s="3">
        <f>$D86*TCA!U86/100</f>
        <v>0</v>
      </c>
      <c r="W86" s="3">
        <f>$D86*TCA!V86/100</f>
        <v>0</v>
      </c>
      <c r="X86" s="3">
        <f>$D86*TCA!W86/100</f>
        <v>0</v>
      </c>
    </row>
    <row r="87" spans="1:24" x14ac:dyDescent="0.25">
      <c r="A87" s="3" t="s">
        <v>2025</v>
      </c>
      <c r="B87" s="3" t="s">
        <v>170</v>
      </c>
      <c r="C87" s="3" t="s">
        <v>171</v>
      </c>
      <c r="D87" s="3">
        <v>100</v>
      </c>
      <c r="E87" s="3">
        <f>$D87*TCA!E87/100</f>
        <v>470</v>
      </c>
      <c r="F87" s="3">
        <f>$D87*TCA!F87/100</f>
        <v>10</v>
      </c>
      <c r="G87" s="3">
        <f>$D87*TCA!G87/100</f>
        <v>16.670000000000002</v>
      </c>
      <c r="H87" s="3">
        <f>$D87*TCA!H87/100</f>
        <v>70</v>
      </c>
      <c r="I87" s="3">
        <f>$D87*TCA!I87/100</f>
        <v>0</v>
      </c>
      <c r="J87" s="3">
        <f>$D87*TCA!J87/100</f>
        <v>3.33</v>
      </c>
      <c r="K87" s="3">
        <f>$D87*TCA!K87/100</f>
        <v>6.67</v>
      </c>
      <c r="L87" s="3">
        <f>$D87*TCA!L87/100</f>
        <v>8.33</v>
      </c>
      <c r="M87" s="3">
        <f>$D87*TCA!M87/100</f>
        <v>0</v>
      </c>
      <c r="N87" s="3">
        <f>$D87*TCA!N87/100</f>
        <v>0</v>
      </c>
      <c r="O87" s="3">
        <f>$D87*TCA!O87/100</f>
        <v>0</v>
      </c>
      <c r="P87" s="3">
        <f t="shared" si="1"/>
        <v>0</v>
      </c>
      <c r="Q87" s="3">
        <f>$D87*TCA!P87/100</f>
        <v>0</v>
      </c>
      <c r="R87" s="3">
        <f>$D87*TCA!Q87/100</f>
        <v>0</v>
      </c>
      <c r="S87" s="3">
        <f>$D87*TCA!R87/100</f>
        <v>500</v>
      </c>
      <c r="T87" s="3">
        <f>$D87*TCA!S87/100</f>
        <v>0</v>
      </c>
      <c r="U87" s="3">
        <f>$D87*TCA!T87/100</f>
        <v>0</v>
      </c>
      <c r="V87" s="3">
        <f>$D87*TCA!U87/100</f>
        <v>0</v>
      </c>
      <c r="W87" s="3">
        <f>$D87*TCA!V87/100</f>
        <v>0</v>
      </c>
      <c r="X87" s="3">
        <f>$D87*TCA!W87/100</f>
        <v>0</v>
      </c>
    </row>
    <row r="88" spans="1:24" x14ac:dyDescent="0.25">
      <c r="A88" s="3" t="s">
        <v>2025</v>
      </c>
      <c r="B88" s="3" t="s">
        <v>172</v>
      </c>
      <c r="C88" s="3" t="s">
        <v>173</v>
      </c>
      <c r="D88" s="3">
        <v>100</v>
      </c>
      <c r="E88" s="3">
        <f>$D88*TCA!E88/100</f>
        <v>486.67</v>
      </c>
      <c r="F88" s="3">
        <f>$D88*TCA!F88/100</f>
        <v>6.67</v>
      </c>
      <c r="G88" s="3">
        <f>$D88*TCA!G88/100</f>
        <v>20</v>
      </c>
      <c r="H88" s="3">
        <f>$D88*TCA!H88/100</f>
        <v>70</v>
      </c>
      <c r="I88" s="3">
        <f>$D88*TCA!I88/100</f>
        <v>0</v>
      </c>
      <c r="J88" s="3">
        <f>$D88*TCA!J88/100</f>
        <v>5</v>
      </c>
      <c r="K88" s="3">
        <f>$D88*TCA!K88/100</f>
        <v>6.67</v>
      </c>
      <c r="L88" s="3">
        <f>$D88*TCA!L88/100</f>
        <v>6.67</v>
      </c>
      <c r="M88" s="3">
        <f>$D88*TCA!M88/100</f>
        <v>0</v>
      </c>
      <c r="N88" s="3">
        <f>$D88*TCA!N88/100</f>
        <v>0</v>
      </c>
      <c r="O88" s="3">
        <f>$D88*TCA!O88/100</f>
        <v>0</v>
      </c>
      <c r="P88" s="3">
        <f t="shared" si="1"/>
        <v>0</v>
      </c>
      <c r="Q88" s="3">
        <f>$D88*TCA!P88/100</f>
        <v>0</v>
      </c>
      <c r="R88" s="3">
        <f>$D88*TCA!Q88/100</f>
        <v>0</v>
      </c>
      <c r="S88" s="3">
        <f>$D88*TCA!R88/100</f>
        <v>416.67</v>
      </c>
      <c r="T88" s="3">
        <f>$D88*TCA!S88/100</f>
        <v>0</v>
      </c>
      <c r="U88" s="3">
        <f>$D88*TCA!T88/100</f>
        <v>0</v>
      </c>
      <c r="V88" s="3">
        <f>$D88*TCA!U88/100</f>
        <v>0</v>
      </c>
      <c r="W88" s="3">
        <f>$D88*TCA!V88/100</f>
        <v>0</v>
      </c>
      <c r="X88" s="3">
        <f>$D88*TCA!W88/100</f>
        <v>0</v>
      </c>
    </row>
    <row r="89" spans="1:24" x14ac:dyDescent="0.25">
      <c r="A89" s="3" t="s">
        <v>2025</v>
      </c>
      <c r="B89" s="3" t="s">
        <v>174</v>
      </c>
      <c r="C89" s="3" t="s">
        <v>175</v>
      </c>
      <c r="D89" s="3">
        <v>100</v>
      </c>
      <c r="E89" s="3">
        <f>$D89*TCA!E89/100</f>
        <v>143.80000000000001</v>
      </c>
      <c r="F89" s="3">
        <f>$D89*TCA!F89/100</f>
        <v>2.7</v>
      </c>
      <c r="G89" s="3">
        <f>$D89*TCA!G89/100</f>
        <v>0.6</v>
      </c>
      <c r="H89" s="3">
        <f>$D89*TCA!H89/100</f>
        <v>31.9</v>
      </c>
      <c r="I89" s="3">
        <f>$D89*TCA!I89/100</f>
        <v>0</v>
      </c>
      <c r="J89" s="3">
        <f>$D89*TCA!J89/100</f>
        <v>0</v>
      </c>
      <c r="K89" s="3">
        <f>$D89*TCA!K89/100</f>
        <v>0</v>
      </c>
      <c r="L89" s="3">
        <f>$D89*TCA!L89/100</f>
        <v>0</v>
      </c>
      <c r="M89" s="3">
        <f>$D89*TCA!M89/100</f>
        <v>0</v>
      </c>
      <c r="N89" s="3">
        <f>$D89*TCA!N89/100</f>
        <v>26</v>
      </c>
      <c r="O89" s="3">
        <f>$D89*TCA!O89/100</f>
        <v>17</v>
      </c>
      <c r="P89" s="3">
        <f t="shared" si="1"/>
        <v>6.2962962962962958</v>
      </c>
      <c r="Q89" s="3">
        <f>$D89*TCA!P89/100</f>
        <v>1</v>
      </c>
      <c r="R89" s="3">
        <f>$D89*TCA!Q89/100</f>
        <v>0</v>
      </c>
      <c r="S89" s="3">
        <f>$D89*TCA!R89/100</f>
        <v>0</v>
      </c>
      <c r="T89" s="3">
        <f>$D89*TCA!S89/100</f>
        <v>0</v>
      </c>
      <c r="U89" s="3">
        <f>$D89*TCA!T89/100</f>
        <v>0</v>
      </c>
      <c r="V89" s="3">
        <f>$D89*TCA!U89/100</f>
        <v>0</v>
      </c>
      <c r="W89" s="3">
        <f>$D89*TCA!V89/100</f>
        <v>0</v>
      </c>
      <c r="X89" s="3">
        <f>$D89*TCA!W89/100</f>
        <v>0</v>
      </c>
    </row>
    <row r="90" spans="1:24" x14ac:dyDescent="0.25">
      <c r="A90" s="3" t="s">
        <v>2025</v>
      </c>
      <c r="B90" s="3" t="s">
        <v>176</v>
      </c>
      <c r="C90" s="3" t="s">
        <v>177</v>
      </c>
      <c r="D90" s="3">
        <v>100</v>
      </c>
      <c r="E90" s="3">
        <f>$D90*TCA!E90/100</f>
        <v>256.67</v>
      </c>
      <c r="F90" s="3">
        <f>$D90*TCA!F90/100</f>
        <v>6.67</v>
      </c>
      <c r="G90" s="3">
        <f>$D90*TCA!G90/100</f>
        <v>3.33</v>
      </c>
      <c r="H90" s="3">
        <f>$D90*TCA!H90/100</f>
        <v>50</v>
      </c>
      <c r="I90" s="3">
        <f>$D90*TCA!I90/100</f>
        <v>0</v>
      </c>
      <c r="J90" s="3">
        <f>$D90*TCA!J90/100</f>
        <v>0</v>
      </c>
      <c r="K90" s="3">
        <f>$D90*TCA!K90/100</f>
        <v>0</v>
      </c>
      <c r="L90" s="3">
        <f>$D90*TCA!L90/100</f>
        <v>0</v>
      </c>
      <c r="M90" s="3">
        <f>$D90*TCA!M90/100</f>
        <v>0</v>
      </c>
      <c r="N90" s="3">
        <f>$D90*TCA!N90/100</f>
        <v>0</v>
      </c>
      <c r="O90" s="3">
        <f>$D90*TCA!O90/100</f>
        <v>0</v>
      </c>
      <c r="P90" s="3">
        <f t="shared" si="1"/>
        <v>0</v>
      </c>
      <c r="Q90" s="3">
        <f>$D90*TCA!P90/100</f>
        <v>0</v>
      </c>
      <c r="R90" s="3">
        <f>$D90*TCA!Q90/100</f>
        <v>0</v>
      </c>
      <c r="S90" s="3">
        <f>$D90*TCA!R90/100</f>
        <v>0</v>
      </c>
      <c r="T90" s="3">
        <f>$D90*TCA!S90/100</f>
        <v>0</v>
      </c>
      <c r="U90" s="3">
        <f>$D90*TCA!T90/100</f>
        <v>0</v>
      </c>
      <c r="V90" s="3">
        <f>$D90*TCA!U90/100</f>
        <v>0</v>
      </c>
      <c r="W90" s="3">
        <f>$D90*TCA!V90/100</f>
        <v>0</v>
      </c>
      <c r="X90" s="3">
        <f>$D90*TCA!W90/100</f>
        <v>0</v>
      </c>
    </row>
    <row r="91" spans="1:24" x14ac:dyDescent="0.25">
      <c r="A91" s="3" t="s">
        <v>2025</v>
      </c>
      <c r="B91" s="3" t="s">
        <v>178</v>
      </c>
      <c r="C91" s="3" t="s">
        <v>179</v>
      </c>
      <c r="D91" s="3">
        <v>100</v>
      </c>
      <c r="E91" s="3">
        <f>$D91*TCA!E91/100</f>
        <v>157.15</v>
      </c>
      <c r="F91" s="3">
        <f>$D91*TCA!F91/100</f>
        <v>2.35</v>
      </c>
      <c r="G91" s="3">
        <f>$D91*TCA!G91/100</f>
        <v>7.31</v>
      </c>
      <c r="H91" s="3">
        <f>$D91*TCA!H91/100</f>
        <v>20.49</v>
      </c>
      <c r="I91" s="3">
        <f>$D91*TCA!I91/100</f>
        <v>0</v>
      </c>
      <c r="J91" s="3">
        <f>$D91*TCA!J91/100</f>
        <v>0</v>
      </c>
      <c r="K91" s="3">
        <f>$D91*TCA!K91/100</f>
        <v>0</v>
      </c>
      <c r="L91" s="3">
        <f>$D91*TCA!L91/100</f>
        <v>0</v>
      </c>
      <c r="M91" s="3">
        <f>$D91*TCA!M91/100</f>
        <v>0</v>
      </c>
      <c r="N91" s="3">
        <f>$D91*TCA!N91/100</f>
        <v>9</v>
      </c>
      <c r="O91" s="3">
        <f>$D91*TCA!O91/100</f>
        <v>66</v>
      </c>
      <c r="P91" s="3">
        <f t="shared" si="1"/>
        <v>28.085106382978722</v>
      </c>
      <c r="Q91" s="3">
        <f>$D91*TCA!P91/100</f>
        <v>0.7</v>
      </c>
      <c r="R91" s="3">
        <f>$D91*TCA!Q91/100</f>
        <v>60</v>
      </c>
      <c r="S91" s="3">
        <f>$D91*TCA!R91/100</f>
        <v>264</v>
      </c>
      <c r="T91" s="3">
        <f>$D91*TCA!S91/100</f>
        <v>0.44</v>
      </c>
      <c r="U91" s="3">
        <f>$D91*TCA!T91/100</f>
        <v>0</v>
      </c>
      <c r="V91" s="3">
        <f>$D91*TCA!U91/100</f>
        <v>0</v>
      </c>
      <c r="W91" s="3">
        <f>$D91*TCA!V91/100</f>
        <v>0</v>
      </c>
      <c r="X91" s="3">
        <f>$D91*TCA!W91/100</f>
        <v>0</v>
      </c>
    </row>
    <row r="92" spans="1:24" x14ac:dyDescent="0.25">
      <c r="A92" s="3" t="s">
        <v>2025</v>
      </c>
      <c r="B92" s="3" t="s">
        <v>180</v>
      </c>
      <c r="C92" s="3" t="s">
        <v>181</v>
      </c>
      <c r="D92" s="3">
        <v>100</v>
      </c>
      <c r="E92" s="3">
        <f>$D92*TCA!E92/100</f>
        <v>157.54</v>
      </c>
      <c r="F92" s="3">
        <f>$D92*TCA!F92/100</f>
        <v>0</v>
      </c>
      <c r="G92" s="3">
        <f>$D92*TCA!G92/100</f>
        <v>7.18</v>
      </c>
      <c r="H92" s="3">
        <f>$D92*TCA!H92/100</f>
        <v>23.23</v>
      </c>
      <c r="I92" s="3">
        <f>$D92*TCA!I92/100</f>
        <v>0</v>
      </c>
      <c r="J92" s="3">
        <f>$D92*TCA!J92/100</f>
        <v>0</v>
      </c>
      <c r="K92" s="3">
        <f>$D92*TCA!K92/100</f>
        <v>0</v>
      </c>
      <c r="L92" s="3">
        <f>$D92*TCA!L92/100</f>
        <v>0</v>
      </c>
      <c r="M92" s="3">
        <f>$D92*TCA!M92/100</f>
        <v>0</v>
      </c>
      <c r="N92" s="3">
        <f>$D92*TCA!N92/100</f>
        <v>26</v>
      </c>
      <c r="O92" s="3">
        <f>$D92*TCA!O92/100</f>
        <v>233</v>
      </c>
      <c r="P92" s="3" t="e">
        <f t="shared" si="1"/>
        <v>#DIV/0!</v>
      </c>
      <c r="Q92" s="3">
        <f>$D92*TCA!P92/100</f>
        <v>1.93</v>
      </c>
      <c r="R92" s="3">
        <f>$D92*TCA!Q92/100</f>
        <v>304</v>
      </c>
      <c r="S92" s="3">
        <f>$D92*TCA!R92/100</f>
        <v>720</v>
      </c>
      <c r="T92" s="3">
        <f>$D92*TCA!S92/100</f>
        <v>1.59</v>
      </c>
      <c r="U92" s="3">
        <f>$D92*TCA!T92/100</f>
        <v>0</v>
      </c>
      <c r="V92" s="3">
        <f>$D92*TCA!U92/100</f>
        <v>0</v>
      </c>
      <c r="W92" s="3">
        <f>$D92*TCA!V92/100</f>
        <v>0</v>
      </c>
      <c r="X92" s="3">
        <f>$D92*TCA!W92/100</f>
        <v>0</v>
      </c>
    </row>
    <row r="93" spans="1:24" x14ac:dyDescent="0.25">
      <c r="A93" s="3" t="s">
        <v>2025</v>
      </c>
      <c r="B93" s="3" t="s">
        <v>182</v>
      </c>
      <c r="C93" s="3" t="s">
        <v>183</v>
      </c>
      <c r="D93" s="3">
        <v>100</v>
      </c>
      <c r="E93" s="3">
        <f>$D93*TCA!E93/100</f>
        <v>282.39999999999998</v>
      </c>
      <c r="F93" s="3">
        <f>$D93*TCA!F93/100</f>
        <v>9.4</v>
      </c>
      <c r="G93" s="3">
        <f>$D93*TCA!G93/100</f>
        <v>3.6</v>
      </c>
      <c r="H93" s="3">
        <f>$D93*TCA!H93/100</f>
        <v>53.1</v>
      </c>
      <c r="I93" s="3">
        <f>$D93*TCA!I93/100</f>
        <v>6.4</v>
      </c>
      <c r="J93" s="3">
        <f>$D93*TCA!J93/100</f>
        <v>0.69</v>
      </c>
      <c r="K93" s="3">
        <f>$D93*TCA!K93/100</f>
        <v>1.44</v>
      </c>
      <c r="L93" s="3">
        <f>$D93*TCA!L93/100</f>
        <v>0.87</v>
      </c>
      <c r="M93" s="3">
        <f>$D93*TCA!M93/100</f>
        <v>0</v>
      </c>
      <c r="N93" s="3">
        <f>$D93*TCA!N93/100</f>
        <v>80</v>
      </c>
      <c r="O93" s="3">
        <f>$D93*TCA!O93/100</f>
        <v>138</v>
      </c>
      <c r="P93" s="3">
        <f t="shared" si="1"/>
        <v>14.680851063829786</v>
      </c>
      <c r="Q93" s="3">
        <f>$D93*TCA!P93/100</f>
        <v>3.1</v>
      </c>
      <c r="R93" s="3">
        <f>$D93*TCA!Q93/100</f>
        <v>183</v>
      </c>
      <c r="S93" s="3">
        <f>$D93*TCA!R93/100</f>
        <v>664</v>
      </c>
      <c r="T93" s="3">
        <f>$D93*TCA!S93/100</f>
        <v>1.25</v>
      </c>
      <c r="U93" s="3">
        <f>$D93*TCA!T93/100</f>
        <v>0.2</v>
      </c>
      <c r="V93" s="3">
        <f>$D93*TCA!U93/100</f>
        <v>0</v>
      </c>
      <c r="W93" s="3">
        <f>$D93*TCA!V93/100</f>
        <v>148</v>
      </c>
      <c r="X93" s="3">
        <f>$D93*TCA!W93/100</f>
        <v>0</v>
      </c>
    </row>
    <row r="94" spans="1:24" x14ac:dyDescent="0.25">
      <c r="A94" s="3" t="s">
        <v>2025</v>
      </c>
      <c r="B94" s="3" t="s">
        <v>184</v>
      </c>
      <c r="C94" s="3" t="s">
        <v>185</v>
      </c>
      <c r="D94" s="3">
        <v>100</v>
      </c>
      <c r="E94" s="3">
        <f>$D94*TCA!E94/100</f>
        <v>262.61</v>
      </c>
      <c r="F94" s="3">
        <f>$D94*TCA!F94/100</f>
        <v>7.64</v>
      </c>
      <c r="G94" s="3">
        <f>$D94*TCA!G94/100</f>
        <v>3.29</v>
      </c>
      <c r="H94" s="3">
        <f>$D94*TCA!H94/100</f>
        <v>50.61</v>
      </c>
      <c r="I94" s="3">
        <f>$D94*TCA!I94/100</f>
        <v>2.4</v>
      </c>
      <c r="J94" s="3">
        <f>$D94*TCA!J94/100</f>
        <v>0.72</v>
      </c>
      <c r="K94" s="3">
        <f>$D94*TCA!K94/100</f>
        <v>0.68</v>
      </c>
      <c r="L94" s="3">
        <f>$D94*TCA!L94/100</f>
        <v>1.36</v>
      </c>
      <c r="M94" s="3">
        <f>$D94*TCA!M94/100</f>
        <v>0</v>
      </c>
      <c r="N94" s="3">
        <f>$D94*TCA!N94/100</f>
        <v>151</v>
      </c>
      <c r="O94" s="3">
        <f>$D94*TCA!O94/100</f>
        <v>99</v>
      </c>
      <c r="P94" s="3">
        <f t="shared" si="1"/>
        <v>12.958115183246074</v>
      </c>
      <c r="Q94" s="3">
        <f>$D94*TCA!P94/100</f>
        <v>3.74</v>
      </c>
      <c r="R94" s="3">
        <f>$D94*TCA!Q94/100</f>
        <v>100</v>
      </c>
      <c r="S94" s="3">
        <f>$D94*TCA!R94/100</f>
        <v>681</v>
      </c>
      <c r="T94" s="3">
        <f>$D94*TCA!S94/100</f>
        <v>0.74</v>
      </c>
      <c r="U94" s="3">
        <f>$D94*TCA!T94/100</f>
        <v>0</v>
      </c>
      <c r="V94" s="3">
        <f>$D94*TCA!U94/100</f>
        <v>0</v>
      </c>
      <c r="W94" s="3">
        <f>$D94*TCA!V94/100</f>
        <v>171</v>
      </c>
      <c r="X94" s="3">
        <f>$D94*TCA!W94/100</f>
        <v>0</v>
      </c>
    </row>
    <row r="95" spans="1:24" x14ac:dyDescent="0.25">
      <c r="A95" s="3" t="s">
        <v>2025</v>
      </c>
      <c r="B95" s="3" t="s">
        <v>186</v>
      </c>
      <c r="C95" s="3" t="s">
        <v>187</v>
      </c>
      <c r="D95" s="3">
        <v>100</v>
      </c>
      <c r="E95" s="3">
        <f>$D95*TCA!E95/100</f>
        <v>289.60000000000002</v>
      </c>
      <c r="F95" s="3">
        <f>$D95*TCA!F95/100</f>
        <v>9</v>
      </c>
      <c r="G95" s="3">
        <f>$D95*TCA!G95/100</f>
        <v>4</v>
      </c>
      <c r="H95" s="3">
        <f>$D95*TCA!H95/100</f>
        <v>54.4</v>
      </c>
      <c r="I95" s="3">
        <f>$D95*TCA!I95/100</f>
        <v>2.5</v>
      </c>
      <c r="J95" s="3">
        <f>$D95*TCA!J95/100</f>
        <v>0.57999999999999996</v>
      </c>
      <c r="K95" s="3">
        <f>$D95*TCA!K95/100</f>
        <v>0.8</v>
      </c>
      <c r="L95" s="3">
        <f>$D95*TCA!L95/100</f>
        <v>2.09</v>
      </c>
      <c r="M95" s="3">
        <f>$D95*TCA!M95/100</f>
        <v>1</v>
      </c>
      <c r="N95" s="3">
        <f>$D95*TCA!N95/100</f>
        <v>119</v>
      </c>
      <c r="O95" s="3">
        <f>$D95*TCA!O95/100</f>
        <v>103</v>
      </c>
      <c r="P95" s="3">
        <f t="shared" si="1"/>
        <v>11.444444444444445</v>
      </c>
      <c r="Q95" s="3">
        <f>$D95*TCA!P95/100</f>
        <v>3.33</v>
      </c>
      <c r="R95" s="3">
        <f>$D95*TCA!Q95/100</f>
        <v>1.31</v>
      </c>
      <c r="S95" s="3">
        <f>$D95*TCA!R95/100</f>
        <v>592</v>
      </c>
      <c r="T95" s="3">
        <f>$D95*TCA!S95/100</f>
        <v>0.68</v>
      </c>
      <c r="U95" s="3">
        <f>$D95*TCA!T95/100</f>
        <v>0</v>
      </c>
      <c r="V95" s="3">
        <f>$D95*TCA!U95/100</f>
        <v>0</v>
      </c>
      <c r="W95" s="3">
        <f>$D95*TCA!V95/100</f>
        <v>159</v>
      </c>
      <c r="X95" s="3">
        <f>$D95*TCA!W95/100</f>
        <v>0.02</v>
      </c>
    </row>
    <row r="96" spans="1:24" x14ac:dyDescent="0.25">
      <c r="A96" s="3" t="s">
        <v>2025</v>
      </c>
      <c r="B96" s="3" t="s">
        <v>188</v>
      </c>
      <c r="C96" s="3" t="s">
        <v>189</v>
      </c>
      <c r="D96" s="3">
        <v>100</v>
      </c>
      <c r="E96" s="3">
        <f>$D96*TCA!E96/100</f>
        <v>270</v>
      </c>
      <c r="F96" s="3">
        <f>$D96*TCA!F96/100</f>
        <v>9.1</v>
      </c>
      <c r="G96" s="3">
        <f>$D96*TCA!G96/100</f>
        <v>1.2</v>
      </c>
      <c r="H96" s="3">
        <f>$D96*TCA!H96/100</f>
        <v>55.7</v>
      </c>
      <c r="I96" s="3">
        <f>$D96*TCA!I96/100</f>
        <v>2.2000000000000002</v>
      </c>
      <c r="J96" s="3">
        <f>$D96*TCA!J96/100</f>
        <v>0.17</v>
      </c>
      <c r="K96" s="3">
        <f>$D96*TCA!K96/100</f>
        <v>0.1</v>
      </c>
      <c r="L96" s="3">
        <f>$D96*TCA!L96/100</f>
        <v>0.54</v>
      </c>
      <c r="M96" s="3">
        <f>$D96*TCA!M96/100</f>
        <v>0</v>
      </c>
      <c r="N96" s="3">
        <f>$D96*TCA!N96/100</f>
        <v>86</v>
      </c>
      <c r="O96" s="3">
        <f>$D96*TCA!O96/100</f>
        <v>97</v>
      </c>
      <c r="P96" s="3">
        <f t="shared" si="1"/>
        <v>10.659340659340661</v>
      </c>
      <c r="Q96" s="3">
        <f>$D96*TCA!P96/100</f>
        <v>1.4</v>
      </c>
      <c r="R96" s="3">
        <f>$D96*TCA!Q96/100</f>
        <v>120</v>
      </c>
      <c r="S96" s="3">
        <f>$D96*TCA!R96/100</f>
        <v>536</v>
      </c>
      <c r="T96" s="3">
        <f>$D96*TCA!S96/100</f>
        <v>0.84</v>
      </c>
      <c r="U96" s="3">
        <f>$D96*TCA!T96/100</f>
        <v>0</v>
      </c>
      <c r="V96" s="3">
        <f>$D96*TCA!U96/100</f>
        <v>0</v>
      </c>
      <c r="W96" s="3">
        <f>$D96*TCA!V96/100</f>
        <v>24</v>
      </c>
      <c r="X96" s="3">
        <f>$D96*TCA!W96/100</f>
        <v>0</v>
      </c>
    </row>
    <row r="97" spans="1:24" x14ac:dyDescent="0.25">
      <c r="A97" s="3" t="s">
        <v>2025</v>
      </c>
      <c r="B97" s="3" t="s">
        <v>190</v>
      </c>
      <c r="C97" s="3" t="s">
        <v>191</v>
      </c>
      <c r="D97" s="3">
        <v>100</v>
      </c>
      <c r="E97" s="3">
        <f>$D97*TCA!E97/100</f>
        <v>345.7</v>
      </c>
      <c r="F97" s="3">
        <f>$D97*TCA!F97/100</f>
        <v>7.5</v>
      </c>
      <c r="G97" s="3">
        <f>$D97*TCA!G97/100</f>
        <v>6.5</v>
      </c>
      <c r="H97" s="3">
        <f>$D97*TCA!H97/100</f>
        <v>64.3</v>
      </c>
      <c r="I97" s="3">
        <f>$D97*TCA!I97/100</f>
        <v>0</v>
      </c>
      <c r="J97" s="3">
        <f>$D97*TCA!J97/100</f>
        <v>0</v>
      </c>
      <c r="K97" s="3">
        <f>$D97*TCA!K97/100</f>
        <v>0</v>
      </c>
      <c r="L97" s="3">
        <f>$D97*TCA!L97/100</f>
        <v>0</v>
      </c>
      <c r="M97" s="3">
        <f>$D97*TCA!M97/100</f>
        <v>0</v>
      </c>
      <c r="N97" s="3">
        <f>$D97*TCA!N97/100</f>
        <v>7</v>
      </c>
      <c r="O97" s="3">
        <f>$D97*TCA!O97/100</f>
        <v>54</v>
      </c>
      <c r="P97" s="3">
        <f t="shared" si="1"/>
        <v>7.2</v>
      </c>
      <c r="Q97" s="3">
        <f>$D97*TCA!P97/100</f>
        <v>1.79</v>
      </c>
      <c r="R97" s="3">
        <f>$D97*TCA!Q97/100</f>
        <v>84</v>
      </c>
      <c r="S97" s="3">
        <f>$D97*TCA!R97/100</f>
        <v>387</v>
      </c>
      <c r="T97" s="3">
        <f>$D97*TCA!S97/100</f>
        <v>0.69</v>
      </c>
      <c r="U97" s="3">
        <f>$D97*TCA!T97/100</f>
        <v>0</v>
      </c>
      <c r="V97" s="3">
        <f>$D97*TCA!U97/100</f>
        <v>0</v>
      </c>
      <c r="W97" s="3">
        <f>$D97*TCA!V97/100</f>
        <v>0</v>
      </c>
      <c r="X97" s="3">
        <f>$D97*TCA!W97/100</f>
        <v>0</v>
      </c>
    </row>
    <row r="98" spans="1:24" x14ac:dyDescent="0.25">
      <c r="A98" s="3" t="s">
        <v>2025</v>
      </c>
      <c r="B98" s="3" t="s">
        <v>192</v>
      </c>
      <c r="C98" s="3" t="s">
        <v>193</v>
      </c>
      <c r="D98" s="3">
        <v>100</v>
      </c>
      <c r="E98" s="3">
        <f>$D98*TCA!E98/100</f>
        <v>332</v>
      </c>
      <c r="F98" s="3">
        <f>$D98*TCA!F98/100</f>
        <v>9.5</v>
      </c>
      <c r="G98" s="3">
        <f>$D98*TCA!G98/100</f>
        <v>6.8</v>
      </c>
      <c r="H98" s="3">
        <f>$D98*TCA!H98/100</f>
        <v>58.2</v>
      </c>
      <c r="I98" s="3">
        <f>$D98*TCA!I98/100</f>
        <v>0</v>
      </c>
      <c r="J98" s="3">
        <f>$D98*TCA!J98/100</f>
        <v>0</v>
      </c>
      <c r="K98" s="3">
        <f>$D98*TCA!K98/100</f>
        <v>0</v>
      </c>
      <c r="L98" s="3">
        <f>$D98*TCA!L98/100</f>
        <v>0</v>
      </c>
      <c r="M98" s="3">
        <f>$D98*TCA!M98/100</f>
        <v>0</v>
      </c>
      <c r="N98" s="3">
        <f>$D98*TCA!N98/100</f>
        <v>7</v>
      </c>
      <c r="O98" s="3">
        <f>$D98*TCA!O98/100</f>
        <v>18</v>
      </c>
      <c r="P98" s="3">
        <f t="shared" si="1"/>
        <v>1.8947368421052631</v>
      </c>
      <c r="Q98" s="3">
        <f>$D98*TCA!P98/100</f>
        <v>1.57</v>
      </c>
      <c r="R98" s="3">
        <f>$D98*TCA!Q98/100</f>
        <v>57</v>
      </c>
      <c r="S98" s="3">
        <f>$D98*TCA!R98/100</f>
        <v>298</v>
      </c>
      <c r="T98" s="3">
        <f>$D98*TCA!S98/100</f>
        <v>0.61</v>
      </c>
      <c r="U98" s="3">
        <f>$D98*TCA!T98/100</f>
        <v>0</v>
      </c>
      <c r="V98" s="3">
        <f>$D98*TCA!U98/100</f>
        <v>0</v>
      </c>
      <c r="W98" s="3">
        <f>$D98*TCA!V98/100</f>
        <v>0</v>
      </c>
      <c r="X98" s="3">
        <f>$D98*TCA!W98/100</f>
        <v>0</v>
      </c>
    </row>
    <row r="99" spans="1:24" x14ac:dyDescent="0.25">
      <c r="A99" s="3" t="s">
        <v>2025</v>
      </c>
      <c r="B99" s="3" t="s">
        <v>194</v>
      </c>
      <c r="C99" s="3" t="s">
        <v>195</v>
      </c>
      <c r="D99" s="3">
        <v>100</v>
      </c>
      <c r="E99" s="3">
        <f>$D99*TCA!E99/100</f>
        <v>310.2</v>
      </c>
      <c r="F99" s="3">
        <f>$D99*TCA!F99/100</f>
        <v>7.1</v>
      </c>
      <c r="G99" s="3">
        <f>$D99*TCA!G99/100</f>
        <v>5.8</v>
      </c>
      <c r="H99" s="3">
        <f>$D99*TCA!H99/100</f>
        <v>57.4</v>
      </c>
      <c r="I99" s="3">
        <f>$D99*TCA!I99/100</f>
        <v>0</v>
      </c>
      <c r="J99" s="3">
        <f>$D99*TCA!J99/100</f>
        <v>0</v>
      </c>
      <c r="K99" s="3">
        <f>$D99*TCA!K99/100</f>
        <v>0</v>
      </c>
      <c r="L99" s="3">
        <f>$D99*TCA!L99/100</f>
        <v>0</v>
      </c>
      <c r="M99" s="3">
        <f>$D99*TCA!M99/100</f>
        <v>0</v>
      </c>
      <c r="N99" s="3">
        <f>$D99*TCA!N99/100</f>
        <v>16</v>
      </c>
      <c r="O99" s="3">
        <f>$D99*TCA!O99/100</f>
        <v>77</v>
      </c>
      <c r="P99" s="3">
        <f t="shared" si="1"/>
        <v>10.845070422535212</v>
      </c>
      <c r="Q99" s="3">
        <f>$D99*TCA!P99/100</f>
        <v>2.7</v>
      </c>
      <c r="R99" s="3">
        <f>$D99*TCA!Q99/100</f>
        <v>79</v>
      </c>
      <c r="S99" s="3">
        <f>$D99*TCA!R99/100</f>
        <v>47</v>
      </c>
      <c r="T99" s="3">
        <f>$D99*TCA!S99/100</f>
        <v>0.64</v>
      </c>
      <c r="U99" s="3">
        <f>$D99*TCA!T99/100</f>
        <v>0</v>
      </c>
      <c r="V99" s="3">
        <f>$D99*TCA!U99/100</f>
        <v>0</v>
      </c>
      <c r="W99" s="3">
        <f>$D99*TCA!V99/100</f>
        <v>0</v>
      </c>
      <c r="X99" s="3">
        <f>$D99*TCA!W99/100</f>
        <v>0</v>
      </c>
    </row>
    <row r="100" spans="1:24" x14ac:dyDescent="0.25">
      <c r="A100" s="3" t="s">
        <v>2025</v>
      </c>
      <c r="B100" s="3" t="s">
        <v>196</v>
      </c>
      <c r="C100" s="3" t="s">
        <v>197</v>
      </c>
      <c r="D100" s="3">
        <v>100</v>
      </c>
      <c r="E100" s="3">
        <f>$D100*TCA!E100/100</f>
        <v>256.7</v>
      </c>
      <c r="F100" s="3">
        <f>$D100*TCA!F100/100</f>
        <v>9.1999999999999993</v>
      </c>
      <c r="G100" s="3">
        <f>$D100*TCA!G100/100</f>
        <v>0.7</v>
      </c>
      <c r="H100" s="3">
        <f>$D100*TCA!H100/100</f>
        <v>53.4</v>
      </c>
      <c r="I100" s="3">
        <f>$D100*TCA!I100/100</f>
        <v>5.8</v>
      </c>
      <c r="J100" s="3">
        <f>$D100*TCA!J100/100</f>
        <v>0.63</v>
      </c>
      <c r="K100" s="3">
        <f>$D100*TCA!K100/100</f>
        <v>1.31</v>
      </c>
      <c r="L100" s="3">
        <f>$D100*TCA!L100/100</f>
        <v>0.8</v>
      </c>
      <c r="M100" s="3">
        <f>$D100*TCA!M100/100</f>
        <v>0</v>
      </c>
      <c r="N100" s="3">
        <f>$D100*TCA!N100/100</f>
        <v>38</v>
      </c>
      <c r="O100" s="3">
        <f>$D100*TCA!O100/100</f>
        <v>178</v>
      </c>
      <c r="P100" s="3">
        <f t="shared" si="1"/>
        <v>19.347826086956523</v>
      </c>
      <c r="Q100" s="3">
        <f>$D100*TCA!P100/100</f>
        <v>2.8</v>
      </c>
      <c r="R100" s="3">
        <f>$D100*TCA!Q100/100</f>
        <v>166</v>
      </c>
      <c r="S100" s="3">
        <f>$D100*TCA!R100/100</f>
        <v>660</v>
      </c>
      <c r="T100" s="3">
        <f>$D100*TCA!S100/100</f>
        <v>1.1399999999999999</v>
      </c>
      <c r="U100" s="3">
        <f>$D100*TCA!T100/100</f>
        <v>0</v>
      </c>
      <c r="V100" s="3">
        <f>$D100*TCA!U100/100</f>
        <v>0</v>
      </c>
      <c r="W100" s="3">
        <f>$D100*TCA!V100/100</f>
        <v>151</v>
      </c>
      <c r="X100" s="3">
        <f>$D100*TCA!W100/100</f>
        <v>0</v>
      </c>
    </row>
    <row r="101" spans="1:24" x14ac:dyDescent="0.25">
      <c r="A101" s="3" t="s">
        <v>2025</v>
      </c>
      <c r="B101" s="3" t="s">
        <v>198</v>
      </c>
      <c r="C101" s="3" t="s">
        <v>199</v>
      </c>
      <c r="D101" s="3">
        <v>100</v>
      </c>
      <c r="E101" s="3">
        <f>$D101*TCA!E101/100</f>
        <v>327.39999999999998</v>
      </c>
      <c r="F101" s="3">
        <f>$D101*TCA!F101/100</f>
        <v>8.8000000000000007</v>
      </c>
      <c r="G101" s="3">
        <f>$D101*TCA!G101/100</f>
        <v>5.8</v>
      </c>
      <c r="H101" s="3">
        <f>$D101*TCA!H101/100</f>
        <v>60</v>
      </c>
      <c r="I101" s="3">
        <f>$D101*TCA!I101/100</f>
        <v>0</v>
      </c>
      <c r="J101" s="3">
        <f>$D101*TCA!J101/100</f>
        <v>0</v>
      </c>
      <c r="K101" s="3">
        <f>$D101*TCA!K101/100</f>
        <v>0</v>
      </c>
      <c r="L101" s="3">
        <f>$D101*TCA!L101/100</f>
        <v>0</v>
      </c>
      <c r="M101" s="3">
        <f>$D101*TCA!M101/100</f>
        <v>0</v>
      </c>
      <c r="N101" s="3">
        <f>$D101*TCA!N101/100</f>
        <v>67</v>
      </c>
      <c r="O101" s="3">
        <f>$D101*TCA!O101/100</f>
        <v>89</v>
      </c>
      <c r="P101" s="3">
        <f t="shared" si="1"/>
        <v>10.113636363636363</v>
      </c>
      <c r="Q101" s="3">
        <f>$D101*TCA!P101/100</f>
        <v>1.02</v>
      </c>
      <c r="R101" s="3">
        <f>$D101*TCA!Q101/100</f>
        <v>66</v>
      </c>
      <c r="S101" s="3">
        <f>$D101*TCA!R101/100</f>
        <v>384</v>
      </c>
      <c r="T101" s="3">
        <f>$D101*TCA!S101/100</f>
        <v>0.93</v>
      </c>
      <c r="U101" s="3">
        <f>$D101*TCA!T101/100</f>
        <v>0</v>
      </c>
      <c r="V101" s="3">
        <f>$D101*TCA!U101/100</f>
        <v>0</v>
      </c>
      <c r="W101" s="3">
        <f>$D101*TCA!V101/100</f>
        <v>0</v>
      </c>
      <c r="X101" s="3">
        <f>$D101*TCA!W101/100</f>
        <v>0</v>
      </c>
    </row>
    <row r="102" spans="1:24" x14ac:dyDescent="0.25">
      <c r="A102" s="3" t="s">
        <v>2025</v>
      </c>
      <c r="B102" s="3" t="s">
        <v>200</v>
      </c>
      <c r="C102" s="3" t="s">
        <v>201</v>
      </c>
      <c r="D102" s="3">
        <v>100</v>
      </c>
      <c r="E102" s="3">
        <f>$D102*TCA!E102/100</f>
        <v>252.14</v>
      </c>
      <c r="F102" s="3">
        <f>$D102*TCA!F102/100</f>
        <v>12.45</v>
      </c>
      <c r="G102" s="3">
        <f>$D102*TCA!G102/100</f>
        <v>3.5</v>
      </c>
      <c r="H102" s="3">
        <f>$D102*TCA!H102/100</f>
        <v>42.71</v>
      </c>
      <c r="I102" s="3">
        <f>$D102*TCA!I102/100</f>
        <v>6</v>
      </c>
      <c r="J102" s="3">
        <f>$D102*TCA!J102/100</f>
        <v>0.72</v>
      </c>
      <c r="K102" s="3">
        <f>$D102*TCA!K102/100</f>
        <v>0.62</v>
      </c>
      <c r="L102" s="3">
        <f>$D102*TCA!L102/100</f>
        <v>1.59</v>
      </c>
      <c r="M102" s="3">
        <f>$D102*TCA!M102/100</f>
        <v>0</v>
      </c>
      <c r="N102" s="3">
        <f>$D102*TCA!N102/100</f>
        <v>161</v>
      </c>
      <c r="O102" s="3">
        <f>$D102*TCA!O102/100</f>
        <v>212</v>
      </c>
      <c r="P102" s="3">
        <f t="shared" si="1"/>
        <v>17.028112449799199</v>
      </c>
      <c r="Q102" s="3">
        <f>$D102*TCA!P102/100</f>
        <v>2.4700000000000002</v>
      </c>
      <c r="R102" s="3">
        <f>$D102*TCA!Q102/100</f>
        <v>254</v>
      </c>
      <c r="S102" s="3">
        <f>$D102*TCA!R102/100</f>
        <v>455</v>
      </c>
      <c r="T102" s="3">
        <f>$D102*TCA!S102/100</f>
        <v>1.77</v>
      </c>
      <c r="U102" s="3">
        <f>$D102*TCA!T102/100</f>
        <v>0</v>
      </c>
      <c r="V102" s="3">
        <f>$D102*TCA!U102/100</f>
        <v>0</v>
      </c>
      <c r="W102" s="3">
        <f>$D102*TCA!V102/100</f>
        <v>42</v>
      </c>
      <c r="X102" s="3">
        <f>$D102*TCA!W102/100</f>
        <v>0</v>
      </c>
    </row>
    <row r="103" spans="1:24" x14ac:dyDescent="0.25">
      <c r="A103" s="3" t="s">
        <v>2025</v>
      </c>
      <c r="B103" s="3" t="s">
        <v>202</v>
      </c>
      <c r="C103" s="3" t="s">
        <v>203</v>
      </c>
      <c r="D103" s="3">
        <v>100</v>
      </c>
      <c r="E103" s="3">
        <f>$D103*TCA!E103/100</f>
        <v>346.6</v>
      </c>
      <c r="F103" s="3">
        <f>$D103*TCA!F103/100</f>
        <v>8.9</v>
      </c>
      <c r="G103" s="3">
        <f>$D103*TCA!G103/100</f>
        <v>7.4</v>
      </c>
      <c r="H103" s="3">
        <f>$D103*TCA!H103/100</f>
        <v>61.1</v>
      </c>
      <c r="I103" s="3">
        <f>$D103*TCA!I103/100</f>
        <v>0</v>
      </c>
      <c r="J103" s="3">
        <f>$D103*TCA!J103/100</f>
        <v>0</v>
      </c>
      <c r="K103" s="3">
        <f>$D103*TCA!K103/100</f>
        <v>0</v>
      </c>
      <c r="L103" s="3">
        <f>$D103*TCA!L103/100</f>
        <v>0</v>
      </c>
      <c r="M103" s="3">
        <f>$D103*TCA!M103/100</f>
        <v>0</v>
      </c>
      <c r="N103" s="3">
        <f>$D103*TCA!N103/100</f>
        <v>38</v>
      </c>
      <c r="O103" s="3">
        <f>$D103*TCA!O103/100</f>
        <v>161.9</v>
      </c>
      <c r="P103" s="3">
        <f t="shared" si="1"/>
        <v>18.191011235955056</v>
      </c>
      <c r="Q103" s="3">
        <f>$D103*TCA!P103/100</f>
        <v>1.55</v>
      </c>
      <c r="R103" s="3">
        <f>$D103*TCA!Q103/100</f>
        <v>79</v>
      </c>
      <c r="S103" s="3">
        <f>$D103*TCA!R103/100</f>
        <v>297</v>
      </c>
      <c r="T103" s="3">
        <f>$D103*TCA!S103/100</f>
        <v>0.66</v>
      </c>
      <c r="U103" s="3">
        <f>$D103*TCA!T103/100</f>
        <v>0</v>
      </c>
      <c r="V103" s="3">
        <f>$D103*TCA!U103/100</f>
        <v>0</v>
      </c>
      <c r="W103" s="3">
        <f>$D103*TCA!V103/100</f>
        <v>0</v>
      </c>
      <c r="X103" s="3">
        <f>$D103*TCA!W103/100</f>
        <v>0</v>
      </c>
    </row>
    <row r="104" spans="1:24" x14ac:dyDescent="0.25">
      <c r="A104" s="3" t="s">
        <v>2025</v>
      </c>
      <c r="B104" s="3" t="s">
        <v>204</v>
      </c>
      <c r="C104" s="3" t="s">
        <v>205</v>
      </c>
      <c r="D104" s="3">
        <v>100</v>
      </c>
      <c r="E104" s="3">
        <f>$D104*TCA!E104/100</f>
        <v>317.2</v>
      </c>
      <c r="F104" s="3">
        <f>$D104*TCA!F104/100</f>
        <v>8.6</v>
      </c>
      <c r="G104" s="3">
        <f>$D104*TCA!G104/100</f>
        <v>3.6</v>
      </c>
      <c r="H104" s="3">
        <f>$D104*TCA!H104/100</f>
        <v>62.6</v>
      </c>
      <c r="I104" s="3">
        <f>$D104*TCA!I104/100</f>
        <v>0</v>
      </c>
      <c r="J104" s="3">
        <f>$D104*TCA!J104/100</f>
        <v>0</v>
      </c>
      <c r="K104" s="3">
        <f>$D104*TCA!K104/100</f>
        <v>0</v>
      </c>
      <c r="L104" s="3">
        <f>$D104*TCA!L104/100</f>
        <v>0</v>
      </c>
      <c r="M104" s="3">
        <f>$D104*TCA!M104/100</f>
        <v>0</v>
      </c>
      <c r="N104" s="3">
        <f>$D104*TCA!N104/100</f>
        <v>21</v>
      </c>
      <c r="O104" s="3">
        <f>$D104*TCA!O104/100</f>
        <v>72</v>
      </c>
      <c r="P104" s="3">
        <f t="shared" si="1"/>
        <v>8.3720930232558146</v>
      </c>
      <c r="Q104" s="3">
        <f>$D104*TCA!P104/100</f>
        <v>1.86</v>
      </c>
      <c r="R104" s="3">
        <f>$D104*TCA!Q104/100</f>
        <v>71</v>
      </c>
      <c r="S104" s="3">
        <f>$D104*TCA!R104/100</f>
        <v>334</v>
      </c>
      <c r="T104" s="3">
        <f>$D104*TCA!S104/100</f>
        <v>0.97</v>
      </c>
      <c r="U104" s="3">
        <f>$D104*TCA!T104/100</f>
        <v>0</v>
      </c>
      <c r="V104" s="3">
        <f>$D104*TCA!U104/100</f>
        <v>0</v>
      </c>
      <c r="W104" s="3">
        <f>$D104*TCA!V104/100</f>
        <v>0</v>
      </c>
      <c r="X104" s="3">
        <f>$D104*TCA!W104/100</f>
        <v>0</v>
      </c>
    </row>
    <row r="105" spans="1:24" x14ac:dyDescent="0.25">
      <c r="A105" s="3" t="s">
        <v>2025</v>
      </c>
      <c r="B105" s="3" t="s">
        <v>206</v>
      </c>
      <c r="C105" s="3" t="s">
        <v>207</v>
      </c>
      <c r="D105" s="3">
        <v>100</v>
      </c>
      <c r="E105" s="3">
        <f>$D105*TCA!E105/100</f>
        <v>250.13</v>
      </c>
      <c r="F105" s="3">
        <f>$D105*TCA!F105/100</f>
        <v>10.199999999999999</v>
      </c>
      <c r="G105" s="3">
        <f>$D105*TCA!G105/100</f>
        <v>1.53</v>
      </c>
      <c r="H105" s="3">
        <f>$D105*TCA!H105/100</f>
        <v>48.89</v>
      </c>
      <c r="I105" s="3">
        <f>$D105*TCA!I105/100</f>
        <v>4.0999999999999996</v>
      </c>
      <c r="J105" s="3">
        <f>$D105*TCA!J105/100</f>
        <v>0</v>
      </c>
      <c r="K105" s="3">
        <f>$D105*TCA!K105/100</f>
        <v>0.28999999999999998</v>
      </c>
      <c r="L105" s="3">
        <f>$D105*TCA!L105/100</f>
        <v>0.94</v>
      </c>
      <c r="M105" s="3">
        <f>$D105*TCA!M105/100</f>
        <v>0</v>
      </c>
      <c r="N105" s="3">
        <f>$D105*TCA!N105/100</f>
        <v>20</v>
      </c>
      <c r="O105" s="3">
        <f>$D105*TCA!O105/100</f>
        <v>142</v>
      </c>
      <c r="P105" s="3">
        <f t="shared" si="1"/>
        <v>13.921568627450981</v>
      </c>
      <c r="Q105" s="3">
        <f>$D105*TCA!P105/100</f>
        <v>2.76</v>
      </c>
      <c r="R105" s="3">
        <f>$D105*TCA!Q105/100</f>
        <v>175</v>
      </c>
      <c r="S105" s="3">
        <f>$D105*TCA!R105/100</f>
        <v>439</v>
      </c>
      <c r="T105" s="3">
        <f>$D105*TCA!S105/100</f>
        <v>1.1000000000000001</v>
      </c>
      <c r="U105" s="3">
        <f>$D105*TCA!T105/100</f>
        <v>0</v>
      </c>
      <c r="V105" s="3">
        <f>$D105*TCA!U105/100</f>
        <v>0</v>
      </c>
      <c r="W105" s="3">
        <f>$D105*TCA!V105/100</f>
        <v>76</v>
      </c>
      <c r="X105" s="3">
        <f>$D105*TCA!W105/100</f>
        <v>0</v>
      </c>
    </row>
    <row r="106" spans="1:24" x14ac:dyDescent="0.25">
      <c r="A106" s="3" t="s">
        <v>2025</v>
      </c>
      <c r="B106" s="3" t="s">
        <v>208</v>
      </c>
      <c r="C106" s="3" t="s">
        <v>209</v>
      </c>
      <c r="D106" s="3">
        <v>100</v>
      </c>
      <c r="E106" s="3">
        <f>$D106*TCA!E106/100</f>
        <v>273.61</v>
      </c>
      <c r="F106" s="3">
        <f>$D106*TCA!F106/100</f>
        <v>10.67</v>
      </c>
      <c r="G106" s="3">
        <f>$D106*TCA!G106/100</f>
        <v>4.53</v>
      </c>
      <c r="H106" s="3">
        <f>$D106*TCA!H106/100</f>
        <v>47.54</v>
      </c>
      <c r="I106" s="3">
        <f>$D106*TCA!I106/100</f>
        <v>4</v>
      </c>
      <c r="J106" s="3">
        <f>$D106*TCA!J106/100</f>
        <v>0.69</v>
      </c>
      <c r="K106" s="3">
        <f>$D106*TCA!K106/100</f>
        <v>0.61</v>
      </c>
      <c r="L106" s="3">
        <f>$D106*TCA!L106/100</f>
        <v>1.61</v>
      </c>
      <c r="M106" s="3">
        <f>$D106*TCA!M106/100</f>
        <v>0</v>
      </c>
      <c r="N106" s="3">
        <f>$D106*TCA!N106/100</f>
        <v>125</v>
      </c>
      <c r="O106" s="3">
        <f>$D106*TCA!O106/100</f>
        <v>141</v>
      </c>
      <c r="P106" s="3">
        <f t="shared" si="1"/>
        <v>13.214620431115277</v>
      </c>
      <c r="Q106" s="3">
        <f>$D106*TCA!P106/100</f>
        <v>3.6</v>
      </c>
      <c r="R106" s="3">
        <f>$D106*TCA!Q106/100</f>
        <v>141</v>
      </c>
      <c r="S106" s="3">
        <f>$D106*TCA!R106/100</f>
        <v>473</v>
      </c>
      <c r="T106" s="3">
        <f>$D106*TCA!S106/100</f>
        <v>1.04</v>
      </c>
      <c r="U106" s="3">
        <f>$D106*TCA!T106/100</f>
        <v>0.2</v>
      </c>
      <c r="V106" s="3">
        <f>$D106*TCA!U106/100</f>
        <v>0</v>
      </c>
      <c r="W106" s="3">
        <f>$D106*TCA!V106/100</f>
        <v>99</v>
      </c>
      <c r="X106" s="3">
        <f>$D106*TCA!W106/100</f>
        <v>0</v>
      </c>
    </row>
    <row r="107" spans="1:24" x14ac:dyDescent="0.25">
      <c r="A107" s="3" t="s">
        <v>2025</v>
      </c>
      <c r="B107" s="3" t="s">
        <v>210</v>
      </c>
      <c r="C107" s="3" t="s">
        <v>211</v>
      </c>
      <c r="D107" s="3">
        <v>100</v>
      </c>
      <c r="E107" s="3">
        <f>$D107*TCA!E107/100</f>
        <v>313.35000000000002</v>
      </c>
      <c r="F107" s="3">
        <f>$D107*TCA!F107/100</f>
        <v>12.96</v>
      </c>
      <c r="G107" s="3">
        <f>$D107*TCA!G107/100</f>
        <v>4.2699999999999996</v>
      </c>
      <c r="H107" s="3">
        <f>$D107*TCA!H107/100</f>
        <v>55.77</v>
      </c>
      <c r="I107" s="3">
        <f>$D107*TCA!I107/100</f>
        <v>4.7</v>
      </c>
      <c r="J107" s="3">
        <f>$D107*TCA!J107/100</f>
        <v>0.99</v>
      </c>
      <c r="K107" s="3">
        <f>$D107*TCA!K107/100</f>
        <v>1.02</v>
      </c>
      <c r="L107" s="3">
        <f>$D107*TCA!L107/100</f>
        <v>1.72</v>
      </c>
      <c r="M107" s="3">
        <f>$D107*TCA!M107/100</f>
        <v>0</v>
      </c>
      <c r="N107" s="3">
        <f>$D107*TCA!N107/100</f>
        <v>165</v>
      </c>
      <c r="O107" s="3">
        <f>$D107*TCA!O107/100</f>
        <v>223</v>
      </c>
      <c r="P107" s="3">
        <f t="shared" si="1"/>
        <v>17.206790123456788</v>
      </c>
      <c r="Q107" s="3">
        <f>$D107*TCA!P107/100</f>
        <v>4.09</v>
      </c>
      <c r="R107" s="3">
        <f>$D107*TCA!Q107/100</f>
        <v>223</v>
      </c>
      <c r="S107" s="3">
        <f>$D107*TCA!R107/100</f>
        <v>601</v>
      </c>
      <c r="T107" s="3">
        <f>$D107*TCA!S107/100</f>
        <v>1.47</v>
      </c>
      <c r="U107" s="3">
        <f>$D107*TCA!T107/100</f>
        <v>0.2</v>
      </c>
      <c r="V107" s="3">
        <f>$D107*TCA!U107/100</f>
        <v>0</v>
      </c>
      <c r="W107" s="3">
        <f>$D107*TCA!V107/100</f>
        <v>100</v>
      </c>
      <c r="X107" s="3">
        <f>$D107*TCA!W107/100</f>
        <v>0</v>
      </c>
    </row>
    <row r="108" spans="1:24" x14ac:dyDescent="0.25">
      <c r="A108" s="3" t="s">
        <v>2025</v>
      </c>
      <c r="B108" s="3" t="s">
        <v>212</v>
      </c>
      <c r="C108" s="3" t="s">
        <v>213</v>
      </c>
      <c r="D108" s="3">
        <v>100</v>
      </c>
      <c r="E108" s="3">
        <f>$D108*TCA!E108/100</f>
        <v>304.8</v>
      </c>
      <c r="F108" s="3">
        <f>$D108*TCA!F108/100</f>
        <v>9.1999999999999993</v>
      </c>
      <c r="G108" s="3">
        <f>$D108*TCA!G108/100</f>
        <v>4</v>
      </c>
      <c r="H108" s="3">
        <f>$D108*TCA!H108/100</f>
        <v>58</v>
      </c>
      <c r="I108" s="3">
        <f>$D108*TCA!I108/100</f>
        <v>0</v>
      </c>
      <c r="J108" s="3">
        <f>$D108*TCA!J108/100</f>
        <v>0</v>
      </c>
      <c r="K108" s="3">
        <f>$D108*TCA!K108/100</f>
        <v>0</v>
      </c>
      <c r="L108" s="3">
        <f>$D108*TCA!L108/100</f>
        <v>0</v>
      </c>
      <c r="M108" s="3">
        <f>$D108*TCA!M108/100</f>
        <v>0</v>
      </c>
      <c r="N108" s="3">
        <f>$D108*TCA!N108/100</f>
        <v>9</v>
      </c>
      <c r="O108" s="3">
        <f>$D108*TCA!O108/100</f>
        <v>169</v>
      </c>
      <c r="P108" s="3">
        <f t="shared" si="1"/>
        <v>18.369565217391305</v>
      </c>
      <c r="Q108" s="3">
        <f>$D108*TCA!P108/100</f>
        <v>7.94</v>
      </c>
      <c r="R108" s="3">
        <f>$D108*TCA!Q108/100</f>
        <v>152</v>
      </c>
      <c r="S108" s="3">
        <f>$D108*TCA!R108/100</f>
        <v>90</v>
      </c>
      <c r="T108" s="3">
        <f>$D108*TCA!S108/100</f>
        <v>1.69</v>
      </c>
      <c r="U108" s="3">
        <f>$D108*TCA!T108/100</f>
        <v>0</v>
      </c>
      <c r="V108" s="3">
        <f>$D108*TCA!U108/100</f>
        <v>0</v>
      </c>
      <c r="W108" s="3">
        <f>$D108*TCA!V108/100</f>
        <v>0</v>
      </c>
      <c r="X108" s="3">
        <f>$D108*TCA!W108/100</f>
        <v>0</v>
      </c>
    </row>
    <row r="109" spans="1:24" x14ac:dyDescent="0.25">
      <c r="A109" s="3" t="s">
        <v>2025</v>
      </c>
      <c r="B109" s="3" t="s">
        <v>214</v>
      </c>
      <c r="C109" s="3" t="s">
        <v>215</v>
      </c>
      <c r="D109" s="3">
        <v>100</v>
      </c>
      <c r="E109" s="3">
        <f>$D109*TCA!E109/100</f>
        <v>301.25</v>
      </c>
      <c r="F109" s="3">
        <f>$D109*TCA!F109/100</f>
        <v>7.5</v>
      </c>
      <c r="G109" s="3">
        <f>$D109*TCA!G109/100</f>
        <v>11.25</v>
      </c>
      <c r="H109" s="3">
        <f>$D109*TCA!H109/100</f>
        <v>42.5</v>
      </c>
      <c r="I109" s="3">
        <f>$D109*TCA!I109/100</f>
        <v>0</v>
      </c>
      <c r="J109" s="3">
        <f>$D109*TCA!J109/100</f>
        <v>6.25</v>
      </c>
      <c r="K109" s="3">
        <f>$D109*TCA!K109/100</f>
        <v>0</v>
      </c>
      <c r="L109" s="3">
        <f>$D109*TCA!L109/100</f>
        <v>0</v>
      </c>
      <c r="M109" s="3">
        <f>$D109*TCA!M109/100</f>
        <v>50</v>
      </c>
      <c r="N109" s="3">
        <f>$D109*TCA!N109/100</f>
        <v>150</v>
      </c>
      <c r="O109" s="3">
        <f>$D109*TCA!O109/100</f>
        <v>0</v>
      </c>
      <c r="P109" s="3">
        <f t="shared" si="1"/>
        <v>0</v>
      </c>
      <c r="Q109" s="3">
        <f>$D109*TCA!P109/100</f>
        <v>0</v>
      </c>
      <c r="R109" s="3">
        <f>$D109*TCA!Q109/100</f>
        <v>0</v>
      </c>
      <c r="S109" s="3">
        <f>$D109*TCA!R109/100</f>
        <v>875</v>
      </c>
      <c r="T109" s="3">
        <f>$D109*TCA!S109/100</f>
        <v>0</v>
      </c>
      <c r="U109" s="3">
        <f>$D109*TCA!T109/100</f>
        <v>0</v>
      </c>
      <c r="V109" s="3">
        <f>$D109*TCA!U109/100</f>
        <v>75</v>
      </c>
      <c r="W109" s="3">
        <f>$D109*TCA!V109/100</f>
        <v>0</v>
      </c>
      <c r="X109" s="3">
        <f>$D109*TCA!W109/100</f>
        <v>0</v>
      </c>
    </row>
    <row r="110" spans="1:24" x14ac:dyDescent="0.25">
      <c r="A110" s="3" t="s">
        <v>2025</v>
      </c>
      <c r="B110" s="3" t="s">
        <v>216</v>
      </c>
      <c r="C110" s="3" t="s">
        <v>217</v>
      </c>
      <c r="D110" s="3">
        <v>100</v>
      </c>
      <c r="E110" s="3">
        <f>$D110*TCA!E110/100</f>
        <v>342.4</v>
      </c>
      <c r="F110" s="3">
        <f>$D110*TCA!F110/100</f>
        <v>8.6</v>
      </c>
      <c r="G110" s="3">
        <f>$D110*TCA!G110/100</f>
        <v>7.2</v>
      </c>
      <c r="H110" s="3">
        <f>$D110*TCA!H110/100</f>
        <v>60.8</v>
      </c>
      <c r="I110" s="3">
        <f>$D110*TCA!I110/100</f>
        <v>0</v>
      </c>
      <c r="J110" s="3">
        <f>$D110*TCA!J110/100</f>
        <v>0</v>
      </c>
      <c r="K110" s="3">
        <f>$D110*TCA!K110/100</f>
        <v>0</v>
      </c>
      <c r="L110" s="3">
        <f>$D110*TCA!L110/100</f>
        <v>0</v>
      </c>
      <c r="M110" s="3">
        <f>$D110*TCA!M110/100</f>
        <v>0</v>
      </c>
      <c r="N110" s="3">
        <f>$D110*TCA!N110/100</f>
        <v>49</v>
      </c>
      <c r="O110" s="3">
        <f>$D110*TCA!O110/100</f>
        <v>90</v>
      </c>
      <c r="P110" s="3">
        <f t="shared" si="1"/>
        <v>10.465116279069768</v>
      </c>
      <c r="Q110" s="3">
        <f>$D110*TCA!P110/100</f>
        <v>1.43</v>
      </c>
      <c r="R110" s="3">
        <f>$D110*TCA!Q110/100</f>
        <v>70</v>
      </c>
      <c r="S110" s="3">
        <f>$D110*TCA!R110/100</f>
        <v>206</v>
      </c>
      <c r="T110" s="3">
        <f>$D110*TCA!S110/100</f>
        <v>0.7</v>
      </c>
      <c r="U110" s="3">
        <f>$D110*TCA!T110/100</f>
        <v>0</v>
      </c>
      <c r="V110" s="3">
        <f>$D110*TCA!U110/100</f>
        <v>0</v>
      </c>
      <c r="W110" s="3">
        <f>$D110*TCA!V110/100</f>
        <v>0</v>
      </c>
      <c r="X110" s="3">
        <f>$D110*TCA!W110/100</f>
        <v>0</v>
      </c>
    </row>
    <row r="111" spans="1:24" x14ac:dyDescent="0.25">
      <c r="A111" s="3" t="s">
        <v>2025</v>
      </c>
      <c r="B111" s="3" t="s">
        <v>218</v>
      </c>
      <c r="C111" s="3" t="s">
        <v>219</v>
      </c>
      <c r="D111" s="3">
        <v>100</v>
      </c>
      <c r="E111" s="3">
        <f>$D111*TCA!E111/100</f>
        <v>338.3</v>
      </c>
      <c r="F111" s="3">
        <f>$D111*TCA!F111/100</f>
        <v>9.3000000000000007</v>
      </c>
      <c r="G111" s="3">
        <f>$D111*TCA!G111/100</f>
        <v>7.1</v>
      </c>
      <c r="H111" s="3">
        <f>$D111*TCA!H111/100</f>
        <v>59.3</v>
      </c>
      <c r="I111" s="3">
        <f>$D111*TCA!I111/100</f>
        <v>0</v>
      </c>
      <c r="J111" s="3">
        <f>$D111*TCA!J111/100</f>
        <v>0</v>
      </c>
      <c r="K111" s="3">
        <f>$D111*TCA!K111/100</f>
        <v>0</v>
      </c>
      <c r="L111" s="3">
        <f>$D111*TCA!L111/100</f>
        <v>0</v>
      </c>
      <c r="M111" s="3">
        <f>$D111*TCA!M111/100</f>
        <v>0</v>
      </c>
      <c r="N111" s="3">
        <f>$D111*TCA!N111/100</f>
        <v>60</v>
      </c>
      <c r="O111" s="3">
        <f>$D111*TCA!O111/100</f>
        <v>103</v>
      </c>
      <c r="P111" s="3">
        <f t="shared" si="1"/>
        <v>11.0752688172043</v>
      </c>
      <c r="Q111" s="3">
        <f>$D111*TCA!P111/100</f>
        <v>1.66</v>
      </c>
      <c r="R111" s="3">
        <f>$D111*TCA!Q111/100</f>
        <v>81</v>
      </c>
      <c r="S111" s="3">
        <f>$D111*TCA!R111/100</f>
        <v>395</v>
      </c>
      <c r="T111" s="3">
        <f>$D111*TCA!S111/100</f>
        <v>0.92</v>
      </c>
      <c r="U111" s="3">
        <f>$D111*TCA!T111/100</f>
        <v>0</v>
      </c>
      <c r="V111" s="3">
        <f>$D111*TCA!U111/100</f>
        <v>0</v>
      </c>
      <c r="W111" s="3">
        <f>$D111*TCA!V111/100</f>
        <v>0</v>
      </c>
      <c r="X111" s="3">
        <f>$D111*TCA!W111/100</f>
        <v>0</v>
      </c>
    </row>
    <row r="112" spans="1:24" x14ac:dyDescent="0.25">
      <c r="A112" s="3" t="s">
        <v>2025</v>
      </c>
      <c r="B112" s="3" t="s">
        <v>220</v>
      </c>
      <c r="C112" s="3" t="s">
        <v>221</v>
      </c>
      <c r="D112" s="3">
        <v>100</v>
      </c>
      <c r="E112" s="3">
        <f>$D112*TCA!E112/100</f>
        <v>345.1</v>
      </c>
      <c r="F112" s="3">
        <f>$D112*TCA!F112/100</f>
        <v>9.6999999999999993</v>
      </c>
      <c r="G112" s="3">
        <f>$D112*TCA!G112/100</f>
        <v>8.3000000000000007</v>
      </c>
      <c r="H112" s="3">
        <f>$D112*TCA!H112/100</f>
        <v>57.9</v>
      </c>
      <c r="I112" s="3">
        <f>$D112*TCA!I112/100</f>
        <v>0</v>
      </c>
      <c r="J112" s="3">
        <f>$D112*TCA!J112/100</f>
        <v>0</v>
      </c>
      <c r="K112" s="3">
        <f>$D112*TCA!K112/100</f>
        <v>0</v>
      </c>
      <c r="L112" s="3">
        <f>$D112*TCA!L112/100</f>
        <v>0</v>
      </c>
      <c r="M112" s="3">
        <f>$D112*TCA!M112/100</f>
        <v>0</v>
      </c>
      <c r="N112" s="3">
        <f>$D112*TCA!N112/100</f>
        <v>12</v>
      </c>
      <c r="O112" s="3">
        <f>$D112*TCA!O112/100</f>
        <v>55</v>
      </c>
      <c r="P112" s="3">
        <f t="shared" si="1"/>
        <v>5.6701030927835054</v>
      </c>
      <c r="Q112" s="3">
        <f>$D112*TCA!P112/100</f>
        <v>7.21</v>
      </c>
      <c r="R112" s="3">
        <f>$D112*TCA!Q112/100</f>
        <v>183</v>
      </c>
      <c r="S112" s="3">
        <f>$D112*TCA!R112/100</f>
        <v>171</v>
      </c>
      <c r="T112" s="3">
        <f>$D112*TCA!S112/100</f>
        <v>2.4900000000000002</v>
      </c>
      <c r="U112" s="3">
        <f>$D112*TCA!T112/100</f>
        <v>0</v>
      </c>
      <c r="V112" s="3">
        <f>$D112*TCA!U112/100</f>
        <v>0</v>
      </c>
      <c r="W112" s="3">
        <f>$D112*TCA!V112/100</f>
        <v>0</v>
      </c>
      <c r="X112" s="3">
        <f>$D112*TCA!W112/100</f>
        <v>0</v>
      </c>
    </row>
    <row r="113" spans="1:24" x14ac:dyDescent="0.25">
      <c r="A113" s="3" t="s">
        <v>2025</v>
      </c>
      <c r="B113" s="3" t="s">
        <v>222</v>
      </c>
      <c r="C113" s="3" t="s">
        <v>223</v>
      </c>
      <c r="D113" s="3">
        <v>100</v>
      </c>
      <c r="E113" s="3">
        <f>$D113*TCA!E113/100</f>
        <v>253.55</v>
      </c>
      <c r="F113" s="3">
        <f>$D113*TCA!F113/100</f>
        <v>12.3</v>
      </c>
      <c r="G113" s="3">
        <f>$D113*TCA!G113/100</f>
        <v>3.55</v>
      </c>
      <c r="H113" s="3">
        <f>$D113*TCA!H113/100</f>
        <v>43.1</v>
      </c>
      <c r="I113" s="3">
        <f>$D113*TCA!I113/100</f>
        <v>6</v>
      </c>
      <c r="J113" s="3">
        <f>$D113*TCA!J113/100</f>
        <v>0.73</v>
      </c>
      <c r="K113" s="3">
        <f>$D113*TCA!K113/100</f>
        <v>0.62</v>
      </c>
      <c r="L113" s="3">
        <f>$D113*TCA!L113/100</f>
        <v>1.61</v>
      </c>
      <c r="M113" s="3">
        <f>$D113*TCA!M113/100</f>
        <v>0</v>
      </c>
      <c r="N113" s="3">
        <f>$D113*TCA!N113/100</f>
        <v>163</v>
      </c>
      <c r="O113" s="3">
        <f>$D113*TCA!O113/100</f>
        <v>212</v>
      </c>
      <c r="P113" s="3">
        <f t="shared" si="1"/>
        <v>17.235772357723576</v>
      </c>
      <c r="Q113" s="3">
        <f>$D113*TCA!P113/100</f>
        <v>2.56</v>
      </c>
      <c r="R113" s="3">
        <f>$D113*TCA!Q113/100</f>
        <v>250</v>
      </c>
      <c r="S113" s="3">
        <f>$D113*TCA!R113/100</f>
        <v>450</v>
      </c>
      <c r="T113" s="3">
        <f>$D113*TCA!S113/100</f>
        <v>1.76</v>
      </c>
      <c r="U113" s="3">
        <f>$D113*TCA!T113/100</f>
        <v>0</v>
      </c>
      <c r="V113" s="3">
        <f>$D113*TCA!U113/100</f>
        <v>0</v>
      </c>
      <c r="W113" s="3">
        <f>$D113*TCA!V113/100</f>
        <v>42</v>
      </c>
      <c r="X113" s="3">
        <f>$D113*TCA!W113/100</f>
        <v>0</v>
      </c>
    </row>
    <row r="114" spans="1:24" x14ac:dyDescent="0.25">
      <c r="A114" s="3" t="s">
        <v>2025</v>
      </c>
      <c r="B114" s="3" t="s">
        <v>224</v>
      </c>
      <c r="C114" s="3" t="s">
        <v>225</v>
      </c>
      <c r="D114" s="3">
        <v>100</v>
      </c>
      <c r="E114" s="3">
        <f>$D114*TCA!E114/100</f>
        <v>306.35000000000002</v>
      </c>
      <c r="F114" s="3">
        <f>$D114*TCA!F114/100</f>
        <v>16.27</v>
      </c>
      <c r="G114" s="3">
        <f>$D114*TCA!G114/100</f>
        <v>4.07</v>
      </c>
      <c r="H114" s="3">
        <f>$D114*TCA!H114/100</f>
        <v>51.16</v>
      </c>
      <c r="I114" s="3">
        <f>$D114*TCA!I114/100</f>
        <v>7.5</v>
      </c>
      <c r="J114" s="3">
        <f>$D114*TCA!J114/100</f>
        <v>0.92</v>
      </c>
      <c r="K114" s="3">
        <f>$D114*TCA!K114/100</f>
        <v>1.97</v>
      </c>
      <c r="L114" s="3">
        <f>$D114*TCA!L114/100</f>
        <v>0.74</v>
      </c>
      <c r="M114" s="3">
        <f>$D114*TCA!M114/100</f>
        <v>0</v>
      </c>
      <c r="N114" s="3">
        <f>$D114*TCA!N114/100</f>
        <v>130</v>
      </c>
      <c r="O114" s="3">
        <f>$D114*TCA!O114/100</f>
        <v>303</v>
      </c>
      <c r="P114" s="3">
        <f t="shared" si="1"/>
        <v>18.623232944068839</v>
      </c>
      <c r="Q114" s="3">
        <f>$D114*TCA!P114/100</f>
        <v>2.96</v>
      </c>
      <c r="R114" s="3">
        <f>$D114*TCA!Q114/100</f>
        <v>326</v>
      </c>
      <c r="S114" s="3">
        <f>$D114*TCA!R114/100</f>
        <v>565</v>
      </c>
      <c r="T114" s="3">
        <f>$D114*TCA!S114/100</f>
        <v>2.15</v>
      </c>
      <c r="U114" s="3">
        <f>$D114*TCA!T114/100</f>
        <v>0</v>
      </c>
      <c r="V114" s="3">
        <f>$D114*TCA!U114/100</f>
        <v>0</v>
      </c>
      <c r="W114" s="3">
        <f>$D114*TCA!V114/100</f>
        <v>52</v>
      </c>
      <c r="X114" s="3">
        <f>$D114*TCA!W114/100</f>
        <v>0</v>
      </c>
    </row>
    <row r="115" spans="1:24" x14ac:dyDescent="0.25">
      <c r="A115" s="3" t="s">
        <v>2025</v>
      </c>
      <c r="B115" s="3" t="s">
        <v>226</v>
      </c>
      <c r="C115" s="3" t="s">
        <v>227</v>
      </c>
      <c r="D115" s="3">
        <v>100</v>
      </c>
      <c r="E115" s="3">
        <f>$D115*TCA!E115/100</f>
        <v>261</v>
      </c>
      <c r="F115" s="3">
        <f>$D115*TCA!F115/100</f>
        <v>9.6999999999999993</v>
      </c>
      <c r="G115" s="3">
        <f>$D115*TCA!G115/100</f>
        <v>4.2</v>
      </c>
      <c r="H115" s="3">
        <f>$D115*TCA!H115/100</f>
        <v>46.1</v>
      </c>
      <c r="I115" s="3">
        <f>$D115*TCA!I115/100</f>
        <v>6.9</v>
      </c>
      <c r="J115" s="3">
        <f>$D115*TCA!J115/100</f>
        <v>0.92</v>
      </c>
      <c r="K115" s="3">
        <f>$D115*TCA!K115/100</f>
        <v>1.68</v>
      </c>
      <c r="L115" s="3">
        <f>$D115*TCA!L115/100</f>
        <v>1</v>
      </c>
      <c r="M115" s="3">
        <f>$D115*TCA!M115/100</f>
        <v>0</v>
      </c>
      <c r="N115" s="3">
        <f>$D115*TCA!N115/100</f>
        <v>72</v>
      </c>
      <c r="O115" s="3">
        <f>$D115*TCA!O115/100</f>
        <v>229</v>
      </c>
      <c r="P115" s="3">
        <f t="shared" si="1"/>
        <v>23.608247422680414</v>
      </c>
      <c r="Q115" s="3">
        <f>$D115*TCA!P115/100</f>
        <v>3.3</v>
      </c>
      <c r="R115" s="3">
        <f>$D115*TCA!Q115/100</f>
        <v>252</v>
      </c>
      <c r="S115" s="3">
        <f>$D115*TCA!R115/100</f>
        <v>527</v>
      </c>
      <c r="T115" s="3">
        <f>$D115*TCA!S115/100</f>
        <v>1.94</v>
      </c>
      <c r="U115" s="3">
        <f>$D115*TCA!T115/100</f>
        <v>0</v>
      </c>
      <c r="V115" s="3">
        <f>$D115*TCA!U115/100</f>
        <v>0</v>
      </c>
      <c r="W115" s="3">
        <f>$D115*TCA!V115/100</f>
        <v>50</v>
      </c>
      <c r="X115" s="3">
        <f>$D115*TCA!W115/100</f>
        <v>0.01</v>
      </c>
    </row>
    <row r="116" spans="1:24" x14ac:dyDescent="0.25">
      <c r="A116" s="3" t="s">
        <v>2025</v>
      </c>
      <c r="B116" s="3" t="s">
        <v>228</v>
      </c>
      <c r="C116" s="3" t="s">
        <v>229</v>
      </c>
      <c r="D116" s="3">
        <v>100</v>
      </c>
      <c r="E116" s="3">
        <f>$D116*TCA!E116/100</f>
        <v>293.60000000000002</v>
      </c>
      <c r="F116" s="3">
        <f>$D116*TCA!F116/100</f>
        <v>10.9</v>
      </c>
      <c r="G116" s="3">
        <f>$D116*TCA!G116/100</f>
        <v>4.8</v>
      </c>
      <c r="H116" s="3">
        <f>$D116*TCA!H116/100</f>
        <v>51.7</v>
      </c>
      <c r="I116" s="3">
        <f>$D116*TCA!I116/100</f>
        <v>7.4</v>
      </c>
      <c r="J116" s="3">
        <f>$D116*TCA!J116/100</f>
        <v>1.03</v>
      </c>
      <c r="K116" s="3">
        <f>$D116*TCA!K116/100</f>
        <v>1.89</v>
      </c>
      <c r="L116" s="3">
        <f>$D116*TCA!L116/100</f>
        <v>1.1299999999999999</v>
      </c>
      <c r="M116" s="3">
        <f>$D116*TCA!M116/100</f>
        <v>0</v>
      </c>
      <c r="N116" s="3">
        <f>$D116*TCA!N116/100</f>
        <v>81</v>
      </c>
      <c r="O116" s="3">
        <f>$D116*TCA!O116/100</f>
        <v>258</v>
      </c>
      <c r="P116" s="3">
        <f t="shared" si="1"/>
        <v>23.669724770642201</v>
      </c>
      <c r="Q116" s="3">
        <f>$D116*TCA!P116/100</f>
        <v>3.71</v>
      </c>
      <c r="R116" s="3">
        <f>$D116*TCA!Q116/100</f>
        <v>283</v>
      </c>
      <c r="S116" s="3">
        <f>$D116*TCA!R116/100</f>
        <v>592</v>
      </c>
      <c r="T116" s="3">
        <f>$D116*TCA!S116/100</f>
        <v>2.1800000000000002</v>
      </c>
      <c r="U116" s="3">
        <f>$D116*TCA!T116/100</f>
        <v>0</v>
      </c>
      <c r="V116" s="3">
        <f>$D116*TCA!U116/100</f>
        <v>0</v>
      </c>
      <c r="W116" s="3">
        <f>$D116*TCA!V116/100</f>
        <v>39</v>
      </c>
      <c r="X116" s="3">
        <f>$D116*TCA!W116/100</f>
        <v>0.01</v>
      </c>
    </row>
    <row r="117" spans="1:24" x14ac:dyDescent="0.25">
      <c r="A117" s="3" t="s">
        <v>2025</v>
      </c>
      <c r="B117" s="3" t="s">
        <v>230</v>
      </c>
      <c r="C117" s="3" t="s">
        <v>231</v>
      </c>
      <c r="D117" s="3">
        <v>100</v>
      </c>
      <c r="E117" s="3">
        <f>$D117*TCA!E117/100</f>
        <v>282.60000000000002</v>
      </c>
      <c r="F117" s="3">
        <f>$D117*TCA!F117/100</f>
        <v>9.8000000000000007</v>
      </c>
      <c r="G117" s="3">
        <f>$D117*TCA!G117/100</f>
        <v>2.6</v>
      </c>
      <c r="H117" s="3">
        <f>$D117*TCA!H117/100</f>
        <v>55</v>
      </c>
      <c r="I117" s="3">
        <f>$D117*TCA!I117/100</f>
        <v>7.4</v>
      </c>
      <c r="J117" s="3">
        <f>$D117*TCA!J117/100</f>
        <v>0.41</v>
      </c>
      <c r="K117" s="3">
        <f>$D117*TCA!K117/100</f>
        <v>0.35</v>
      </c>
      <c r="L117" s="3">
        <f>$D117*TCA!L117/100</f>
        <v>1.05</v>
      </c>
      <c r="M117" s="3">
        <f>$D117*TCA!M117/100</f>
        <v>0</v>
      </c>
      <c r="N117" s="3">
        <f>$D117*TCA!N117/100</f>
        <v>15</v>
      </c>
      <c r="O117" s="3">
        <f>$D117*TCA!O117/100</f>
        <v>180</v>
      </c>
      <c r="P117" s="3">
        <f t="shared" si="1"/>
        <v>18.367346938775508</v>
      </c>
      <c r="Q117" s="3">
        <f>$D117*TCA!P117/100</f>
        <v>3.06</v>
      </c>
      <c r="R117" s="3">
        <f>$D117*TCA!Q117/100</f>
        <v>170</v>
      </c>
      <c r="S117" s="3">
        <f>$D117*TCA!R117/100</f>
        <v>532</v>
      </c>
      <c r="T117" s="3">
        <f>$D117*TCA!S117/100</f>
        <v>1.52</v>
      </c>
      <c r="U117" s="3">
        <f>$D117*TCA!T117/100</f>
        <v>0</v>
      </c>
      <c r="V117" s="3">
        <f>$D117*TCA!U117/100</f>
        <v>0</v>
      </c>
      <c r="W117" s="3">
        <f>$D117*TCA!V117/100</f>
        <v>35</v>
      </c>
      <c r="X117" s="3">
        <f>$D117*TCA!W117/100</f>
        <v>0</v>
      </c>
    </row>
    <row r="118" spans="1:24" x14ac:dyDescent="0.25">
      <c r="A118" s="3" t="s">
        <v>2025</v>
      </c>
      <c r="B118" s="3" t="s">
        <v>232</v>
      </c>
      <c r="C118" s="3" t="s">
        <v>233</v>
      </c>
      <c r="D118" s="3">
        <v>100</v>
      </c>
      <c r="E118" s="3">
        <f>$D118*TCA!E118/100</f>
        <v>304.8</v>
      </c>
      <c r="F118" s="3">
        <f>$D118*TCA!F118/100</f>
        <v>8.8000000000000007</v>
      </c>
      <c r="G118" s="3">
        <f>$D118*TCA!G118/100</f>
        <v>3.6</v>
      </c>
      <c r="H118" s="3">
        <f>$D118*TCA!H118/100</f>
        <v>59.3</v>
      </c>
      <c r="I118" s="3">
        <f>$D118*TCA!I118/100</f>
        <v>0</v>
      </c>
      <c r="J118" s="3">
        <f>$D118*TCA!J118/100</f>
        <v>0</v>
      </c>
      <c r="K118" s="3">
        <f>$D118*TCA!K118/100</f>
        <v>0</v>
      </c>
      <c r="L118" s="3">
        <f>$D118*TCA!L118/100</f>
        <v>0</v>
      </c>
      <c r="M118" s="3">
        <f>$D118*TCA!M118/100</f>
        <v>0</v>
      </c>
      <c r="N118" s="3">
        <f>$D118*TCA!N118/100</f>
        <v>64</v>
      </c>
      <c r="O118" s="3">
        <f>$D118*TCA!O118/100</f>
        <v>121</v>
      </c>
      <c r="P118" s="3">
        <f t="shared" si="1"/>
        <v>13.749999999999998</v>
      </c>
      <c r="Q118" s="3">
        <f>$D118*TCA!P118/100</f>
        <v>2.2200000000000002</v>
      </c>
      <c r="R118" s="3">
        <f>$D118*TCA!Q118/100</f>
        <v>111</v>
      </c>
      <c r="S118" s="3">
        <f>$D118*TCA!R118/100</f>
        <v>396</v>
      </c>
      <c r="T118" s="3">
        <f>$D118*TCA!S118/100</f>
        <v>1.04</v>
      </c>
      <c r="U118" s="3">
        <f>$D118*TCA!T118/100</f>
        <v>0</v>
      </c>
      <c r="V118" s="3">
        <f>$D118*TCA!U118/100</f>
        <v>0</v>
      </c>
      <c r="W118" s="3">
        <f>$D118*TCA!V118/100</f>
        <v>0</v>
      </c>
      <c r="X118" s="3">
        <f>$D118*TCA!W118/100</f>
        <v>0</v>
      </c>
    </row>
    <row r="119" spans="1:24" x14ac:dyDescent="0.25">
      <c r="A119" s="3" t="s">
        <v>2025</v>
      </c>
      <c r="B119" s="3" t="s">
        <v>234</v>
      </c>
      <c r="C119" s="3" t="s">
        <v>235</v>
      </c>
      <c r="D119" s="3">
        <v>100</v>
      </c>
      <c r="E119" s="3">
        <f>$D119*TCA!E119/100</f>
        <v>252.7</v>
      </c>
      <c r="F119" s="3">
        <f>$D119*TCA!F119/100</f>
        <v>8.6999999999999993</v>
      </c>
      <c r="G119" s="3">
        <f>$D119*TCA!G119/100</f>
        <v>3.1</v>
      </c>
      <c r="H119" s="3">
        <f>$D119*TCA!H119/100</f>
        <v>47.5</v>
      </c>
      <c r="I119" s="3">
        <f>$D119*TCA!I119/100</f>
        <v>6.8</v>
      </c>
      <c r="J119" s="3">
        <f>$D119*TCA!J119/100</f>
        <v>0.44</v>
      </c>
      <c r="K119" s="3">
        <f>$D119*TCA!K119/100</f>
        <v>0.93</v>
      </c>
      <c r="L119" s="3">
        <f>$D119*TCA!L119/100</f>
        <v>1.24</v>
      </c>
      <c r="M119" s="3">
        <f>$D119*TCA!M119/100</f>
        <v>0</v>
      </c>
      <c r="N119" s="3">
        <f>$D119*TCA!N119/100</f>
        <v>68</v>
      </c>
      <c r="O119" s="3">
        <f>$D119*TCA!O119/100</f>
        <v>178</v>
      </c>
      <c r="P119" s="3">
        <f t="shared" si="1"/>
        <v>20.459770114942529</v>
      </c>
      <c r="Q119" s="3">
        <f>$D119*TCA!P119/100</f>
        <v>2.87</v>
      </c>
      <c r="R119" s="3">
        <f>$D119*TCA!Q119/100</f>
        <v>208</v>
      </c>
      <c r="S119" s="3">
        <f>$D119*TCA!R119/100</f>
        <v>596</v>
      </c>
      <c r="T119" s="3">
        <f>$D119*TCA!S119/100</f>
        <v>1.48</v>
      </c>
      <c r="U119" s="3">
        <f>$D119*TCA!T119/100</f>
        <v>0</v>
      </c>
      <c r="V119" s="3">
        <f>$D119*TCA!U119/100</f>
        <v>0</v>
      </c>
      <c r="W119" s="3">
        <f>$D119*TCA!V119/100</f>
        <v>93</v>
      </c>
      <c r="X119" s="3">
        <f>$D119*TCA!W119/100</f>
        <v>0</v>
      </c>
    </row>
    <row r="120" spans="1:24" x14ac:dyDescent="0.25">
      <c r="A120" s="3" t="s">
        <v>2025</v>
      </c>
      <c r="B120" s="3" t="s">
        <v>236</v>
      </c>
      <c r="C120" s="3" t="s">
        <v>237</v>
      </c>
      <c r="D120" s="3">
        <v>100</v>
      </c>
      <c r="E120" s="3">
        <f>$D120*TCA!E120/100</f>
        <v>277.73</v>
      </c>
      <c r="F120" s="3">
        <f>$D120*TCA!F120/100</f>
        <v>9.56</v>
      </c>
      <c r="G120" s="3">
        <f>$D120*TCA!G120/100</f>
        <v>3.41</v>
      </c>
      <c r="H120" s="3">
        <f>$D120*TCA!H120/100</f>
        <v>52.2</v>
      </c>
      <c r="I120" s="3">
        <f>$D120*TCA!I120/100</f>
        <v>7.1</v>
      </c>
      <c r="J120" s="3">
        <f>$D120*TCA!J120/100</f>
        <v>0.48</v>
      </c>
      <c r="K120" s="3">
        <f>$D120*TCA!K120/100</f>
        <v>1.02</v>
      </c>
      <c r="L120" s="3">
        <f>$D120*TCA!L120/100</f>
        <v>1.36</v>
      </c>
      <c r="M120" s="3">
        <f>$D120*TCA!M120/100</f>
        <v>0</v>
      </c>
      <c r="N120" s="3">
        <f>$D120*TCA!N120/100</f>
        <v>75</v>
      </c>
      <c r="O120" s="3">
        <f>$D120*TCA!O120/100</f>
        <v>196</v>
      </c>
      <c r="P120" s="3">
        <f t="shared" si="1"/>
        <v>20.502092050209203</v>
      </c>
      <c r="Q120" s="3">
        <f>$D120*TCA!P120/100</f>
        <v>3.15</v>
      </c>
      <c r="R120" s="3">
        <f>$D120*TCA!Q120/100</f>
        <v>229</v>
      </c>
      <c r="S120" s="3">
        <f>$D120*TCA!R120/100</f>
        <v>655</v>
      </c>
      <c r="T120" s="3">
        <f>$D120*TCA!S120/100</f>
        <v>1.63</v>
      </c>
      <c r="U120" s="3">
        <f>$D120*TCA!T120/100</f>
        <v>0</v>
      </c>
      <c r="V120" s="3">
        <f>$D120*TCA!U120/100</f>
        <v>0</v>
      </c>
      <c r="W120" s="3">
        <f>$D120*TCA!V120/100</f>
        <v>87</v>
      </c>
      <c r="X120" s="3">
        <f>$D120*TCA!W120/100</f>
        <v>0</v>
      </c>
    </row>
    <row r="121" spans="1:24" x14ac:dyDescent="0.25">
      <c r="A121" s="3" t="s">
        <v>2025</v>
      </c>
      <c r="B121" s="3" t="s">
        <v>238</v>
      </c>
      <c r="C121" s="3" t="s">
        <v>239</v>
      </c>
      <c r="D121" s="3">
        <v>100</v>
      </c>
      <c r="E121" s="3">
        <f>$D121*TCA!E121/100</f>
        <v>270.8</v>
      </c>
      <c r="F121" s="3">
        <f>$D121*TCA!F121/100</f>
        <v>9.6</v>
      </c>
      <c r="G121" s="3">
        <f>$D121*TCA!G121/100</f>
        <v>6</v>
      </c>
      <c r="H121" s="3">
        <f>$D121*TCA!H121/100</f>
        <v>44.6</v>
      </c>
      <c r="I121" s="3">
        <f>$D121*TCA!I121/100</f>
        <v>3.8</v>
      </c>
      <c r="J121" s="3">
        <f>$D121*TCA!J121/100</f>
        <v>1.39</v>
      </c>
      <c r="K121" s="3">
        <f>$D121*TCA!K121/100</f>
        <v>2.84</v>
      </c>
      <c r="L121" s="3">
        <f>$D121*TCA!L121/100</f>
        <v>1.1499999999999999</v>
      </c>
      <c r="M121" s="3">
        <f>$D121*TCA!M121/100</f>
        <v>0</v>
      </c>
      <c r="N121" s="3">
        <f>$D121*TCA!N121/100</f>
        <v>95</v>
      </c>
      <c r="O121" s="3">
        <f>$D121*TCA!O121/100</f>
        <v>122</v>
      </c>
      <c r="P121" s="3">
        <f t="shared" si="1"/>
        <v>12.708333333333334</v>
      </c>
      <c r="Q121" s="3">
        <f>$D121*TCA!P121/100</f>
        <v>3.95</v>
      </c>
      <c r="R121" s="3">
        <f>$D121*TCA!Q121/100</f>
        <v>160</v>
      </c>
      <c r="S121" s="3">
        <f>$D121*TCA!R121/100</f>
        <v>458</v>
      </c>
      <c r="T121" s="3">
        <f>$D121*TCA!S121/100</f>
        <v>1.05</v>
      </c>
      <c r="U121" s="3">
        <f>$D121*TCA!T121/100</f>
        <v>0</v>
      </c>
      <c r="V121" s="3">
        <f>$D121*TCA!U121/100</f>
        <v>0</v>
      </c>
      <c r="W121" s="3">
        <f>$D121*TCA!V121/100</f>
        <v>111</v>
      </c>
      <c r="X121" s="3">
        <f>$D121*TCA!W121/100</f>
        <v>0.01</v>
      </c>
    </row>
    <row r="122" spans="1:24" x14ac:dyDescent="0.25">
      <c r="A122" s="3" t="s">
        <v>2025</v>
      </c>
      <c r="B122" s="3" t="s">
        <v>240</v>
      </c>
      <c r="C122" s="3" t="s">
        <v>241</v>
      </c>
      <c r="D122" s="3">
        <v>100</v>
      </c>
      <c r="E122" s="3">
        <f>$D122*TCA!E122/100</f>
        <v>274.75</v>
      </c>
      <c r="F122" s="3">
        <f>$D122*TCA!F122/100</f>
        <v>9.77</v>
      </c>
      <c r="G122" s="3">
        <f>$D122*TCA!G122/100</f>
        <v>3.91</v>
      </c>
      <c r="H122" s="3">
        <f>$D122*TCA!H122/100</f>
        <v>50.12</v>
      </c>
      <c r="I122" s="3">
        <f>$D122*TCA!I122/100</f>
        <v>1.8</v>
      </c>
      <c r="J122" s="3">
        <f>$D122*TCA!J122/100</f>
        <v>0.84</v>
      </c>
      <c r="K122" s="3">
        <f>$D122*TCA!K122/100</f>
        <v>0.75</v>
      </c>
      <c r="L122" s="3">
        <f>$D122*TCA!L122/100</f>
        <v>1.78</v>
      </c>
      <c r="M122" s="3">
        <f>$D122*TCA!M122/100</f>
        <v>0</v>
      </c>
      <c r="N122" s="3">
        <f>$D122*TCA!N122/100</f>
        <v>144</v>
      </c>
      <c r="O122" s="3">
        <f>$D122*TCA!O122/100</f>
        <v>101</v>
      </c>
      <c r="P122" s="3">
        <f t="shared" si="1"/>
        <v>10.337768679631525</v>
      </c>
      <c r="Q122" s="3">
        <f>$D122*TCA!P122/100</f>
        <v>3.43</v>
      </c>
      <c r="R122" s="3">
        <f>$D122*TCA!Q122/100</f>
        <v>122</v>
      </c>
      <c r="S122" s="3">
        <f>$D122*TCA!R122/100</f>
        <v>494</v>
      </c>
      <c r="T122" s="3">
        <f>$D122*TCA!S122/100</f>
        <v>0.73</v>
      </c>
      <c r="U122" s="3">
        <f>$D122*TCA!T122/100</f>
        <v>1.3</v>
      </c>
      <c r="V122" s="3">
        <f>$D122*TCA!U122/100</f>
        <v>29</v>
      </c>
      <c r="W122" s="3">
        <f>$D122*TCA!V122/100</f>
        <v>94</v>
      </c>
      <c r="X122" s="3">
        <f>$D122*TCA!W122/100</f>
        <v>0.2</v>
      </c>
    </row>
    <row r="123" spans="1:24" x14ac:dyDescent="0.25">
      <c r="A123" s="3" t="s">
        <v>2025</v>
      </c>
      <c r="B123" s="3" t="s">
        <v>242</v>
      </c>
      <c r="C123" s="3" t="s">
        <v>243</v>
      </c>
      <c r="D123" s="3">
        <v>100</v>
      </c>
      <c r="E123" s="3">
        <f>$D123*TCA!E123/100</f>
        <v>137.43</v>
      </c>
      <c r="F123" s="3">
        <f>$D123*TCA!F123/100</f>
        <v>4.54</v>
      </c>
      <c r="G123" s="3">
        <f>$D123*TCA!G123/100</f>
        <v>2.0699999999999998</v>
      </c>
      <c r="H123" s="3">
        <f>$D123*TCA!H123/100</f>
        <v>25.16</v>
      </c>
      <c r="I123" s="3">
        <f>$D123*TCA!I123/100</f>
        <v>1.2</v>
      </c>
      <c r="J123" s="3">
        <f>$D123*TCA!J123/100</f>
        <v>0.42</v>
      </c>
      <c r="K123" s="3">
        <f>$D123*TCA!K123/100</f>
        <v>0.57999999999999996</v>
      </c>
      <c r="L123" s="3">
        <f>$D123*TCA!L123/100</f>
        <v>0.55000000000000004</v>
      </c>
      <c r="M123" s="3">
        <f>$D123*TCA!M123/100</f>
        <v>29</v>
      </c>
      <c r="N123" s="3">
        <f>$D123*TCA!N123/100</f>
        <v>12</v>
      </c>
      <c r="O123" s="3">
        <f>$D123*TCA!O123/100</f>
        <v>76</v>
      </c>
      <c r="P123" s="3">
        <f t="shared" si="1"/>
        <v>16.740088105726873</v>
      </c>
      <c r="Q123" s="3">
        <f>$D123*TCA!P123/100</f>
        <v>1.47</v>
      </c>
      <c r="R123" s="3">
        <f>$D123*TCA!Q123/100</f>
        <v>38</v>
      </c>
      <c r="S123" s="3">
        <f>$D123*TCA!R123/100</f>
        <v>5</v>
      </c>
      <c r="T123" s="3">
        <f>$D123*TCA!S123/100</f>
        <v>0.65</v>
      </c>
      <c r="U123" s="3">
        <f>$D123*TCA!T123/100</f>
        <v>0</v>
      </c>
      <c r="V123" s="3">
        <f>$D123*TCA!U123/100</f>
        <v>6</v>
      </c>
      <c r="W123" s="3">
        <f>$D123*TCA!V123/100</f>
        <v>84</v>
      </c>
      <c r="X123" s="3">
        <f>$D123*TCA!W123/100</f>
        <v>0.09</v>
      </c>
    </row>
    <row r="124" spans="1:24" x14ac:dyDescent="0.25">
      <c r="A124" s="3" t="s">
        <v>2025</v>
      </c>
      <c r="B124" s="3" t="s">
        <v>244</v>
      </c>
      <c r="C124" s="3" t="s">
        <v>245</v>
      </c>
      <c r="D124" s="3">
        <v>100</v>
      </c>
      <c r="E124" s="3">
        <f>$D124*TCA!E124/100</f>
        <v>381.68</v>
      </c>
      <c r="F124" s="3">
        <f>$D124*TCA!F124/100</f>
        <v>14.16</v>
      </c>
      <c r="G124" s="3">
        <f>$D124*TCA!G124/100</f>
        <v>4.4400000000000004</v>
      </c>
      <c r="H124" s="3">
        <f>$D124*TCA!H124/100</f>
        <v>71.27</v>
      </c>
      <c r="I124" s="3">
        <f>$D124*TCA!I124/100</f>
        <v>3.3</v>
      </c>
      <c r="J124" s="3">
        <f>$D124*TCA!J124/100</f>
        <v>1.18</v>
      </c>
      <c r="K124" s="3">
        <f>$D124*TCA!K124/100</f>
        <v>1.25</v>
      </c>
      <c r="L124" s="3">
        <f>$D124*TCA!L124/100</f>
        <v>1.33</v>
      </c>
      <c r="M124" s="3">
        <f>$D124*TCA!M124/100</f>
        <v>84</v>
      </c>
      <c r="N124" s="3">
        <f>$D124*TCA!N124/100</f>
        <v>35</v>
      </c>
      <c r="O124" s="3">
        <f>$D124*TCA!O124/100</f>
        <v>2.41</v>
      </c>
      <c r="P124" s="3">
        <f t="shared" si="1"/>
        <v>0.17019774011299435</v>
      </c>
      <c r="Q124" s="3">
        <f>$D124*TCA!P124/100</f>
        <v>4.01</v>
      </c>
      <c r="R124" s="3">
        <f>$D124*TCA!Q124/100</f>
        <v>244</v>
      </c>
      <c r="S124" s="3">
        <f>$D124*TCA!R124/100</f>
        <v>21</v>
      </c>
      <c r="T124" s="3">
        <f>$D124*TCA!S124/100</f>
        <v>1.92</v>
      </c>
      <c r="U124" s="3">
        <f>$D124*TCA!T124/100</f>
        <v>0</v>
      </c>
      <c r="V124" s="3">
        <f>$D124*TCA!U124/100</f>
        <v>17</v>
      </c>
      <c r="W124" s="3">
        <f>$D124*TCA!V124/100</f>
        <v>230</v>
      </c>
      <c r="X124" s="3">
        <f>$D124*TCA!W124/100</f>
        <v>0.28999999999999998</v>
      </c>
    </row>
    <row r="125" spans="1:24" x14ac:dyDescent="0.25">
      <c r="A125" s="3" t="s">
        <v>2025</v>
      </c>
      <c r="B125" s="3" t="s">
        <v>246</v>
      </c>
      <c r="C125" s="3" t="s">
        <v>247</v>
      </c>
      <c r="D125" s="3">
        <v>100</v>
      </c>
      <c r="E125" s="3">
        <f>$D125*TCA!E125/100</f>
        <v>105</v>
      </c>
      <c r="F125" s="3">
        <f>$D125*TCA!F125/100</f>
        <v>1.79</v>
      </c>
      <c r="G125" s="3">
        <f>$D125*TCA!G125/100</f>
        <v>0.2</v>
      </c>
      <c r="H125" s="3">
        <f>$D125*TCA!H125/100</f>
        <v>24.01</v>
      </c>
      <c r="I125" s="3">
        <f>$D125*TCA!I125/100</f>
        <v>1</v>
      </c>
      <c r="J125" s="3">
        <f>$D125*TCA!J125/100</f>
        <v>0.02</v>
      </c>
      <c r="K125" s="3">
        <f>$D125*TCA!K125/100</f>
        <v>0.03</v>
      </c>
      <c r="L125" s="3">
        <f>$D125*TCA!L125/100</f>
        <v>0.02</v>
      </c>
      <c r="M125" s="3">
        <f>$D125*TCA!M125/100</f>
        <v>0</v>
      </c>
      <c r="N125" s="3">
        <f>$D125*TCA!N125/100</f>
        <v>4</v>
      </c>
      <c r="O125" s="3">
        <f>$D125*TCA!O125/100</f>
        <v>20</v>
      </c>
      <c r="P125" s="3">
        <f t="shared" si="1"/>
        <v>11.173184357541899</v>
      </c>
      <c r="Q125" s="3">
        <f>$D125*TCA!P125/100</f>
        <v>0.14000000000000001</v>
      </c>
      <c r="R125" s="3">
        <f>$D125*TCA!Q125/100</f>
        <v>4</v>
      </c>
      <c r="S125" s="3">
        <f>$D125*TCA!R125/100</f>
        <v>19</v>
      </c>
      <c r="T125" s="3">
        <f>$D125*TCA!S125/100</f>
        <v>0.25</v>
      </c>
      <c r="U125" s="3">
        <f>$D125*TCA!T125/100</f>
        <v>0</v>
      </c>
      <c r="V125" s="3">
        <f>$D125*TCA!U125/100</f>
        <v>0</v>
      </c>
      <c r="W125" s="3">
        <f>$D125*TCA!V125/100</f>
        <v>1</v>
      </c>
      <c r="X125" s="3">
        <f>$D125*TCA!W125/100</f>
        <v>0</v>
      </c>
    </row>
    <row r="126" spans="1:24" x14ac:dyDescent="0.25">
      <c r="A126" s="3" t="s">
        <v>2025</v>
      </c>
      <c r="B126" s="3" t="s">
        <v>248</v>
      </c>
      <c r="C126" s="3" t="s">
        <v>249</v>
      </c>
      <c r="D126" s="3">
        <v>100</v>
      </c>
      <c r="E126" s="3">
        <f>$D126*TCA!E126/100</f>
        <v>349.56</v>
      </c>
      <c r="F126" s="3">
        <f>$D126*TCA!F126/100</f>
        <v>5.95</v>
      </c>
      <c r="G126" s="3">
        <f>$D126*TCA!G126/100</f>
        <v>0.56000000000000005</v>
      </c>
      <c r="H126" s="3">
        <f>$D126*TCA!H126/100</f>
        <v>80.180000000000007</v>
      </c>
      <c r="I126" s="3">
        <f>$D126*TCA!I126/100</f>
        <v>1.6</v>
      </c>
      <c r="J126" s="3">
        <f>$D126*TCA!J126/100</f>
        <v>0.15</v>
      </c>
      <c r="K126" s="3">
        <f>$D126*TCA!K126/100</f>
        <v>0.18</v>
      </c>
      <c r="L126" s="3">
        <f>$D126*TCA!L126/100</f>
        <v>0.15</v>
      </c>
      <c r="M126" s="3">
        <f>$D126*TCA!M126/100</f>
        <v>0</v>
      </c>
      <c r="N126" s="3">
        <f>$D126*TCA!N126/100</f>
        <v>18</v>
      </c>
      <c r="O126" s="3">
        <f>$D126*TCA!O126/100</f>
        <v>0.7</v>
      </c>
      <c r="P126" s="3">
        <f t="shared" si="1"/>
        <v>0.1176470588235294</v>
      </c>
      <c r="Q126" s="3">
        <f>$D126*TCA!P126/100</f>
        <v>10.57</v>
      </c>
      <c r="R126" s="3">
        <f>$D126*TCA!Q126/100</f>
        <v>30</v>
      </c>
      <c r="S126" s="3">
        <f>$D126*TCA!R126/100</f>
        <v>182</v>
      </c>
      <c r="T126" s="3">
        <f>$D126*TCA!S126/100</f>
        <v>0.74</v>
      </c>
      <c r="U126" s="3">
        <f>$D126*TCA!T126/100</f>
        <v>0</v>
      </c>
      <c r="V126" s="3">
        <f>$D126*TCA!U126/100</f>
        <v>0</v>
      </c>
      <c r="W126" s="3">
        <f>$D126*TCA!V126/100</f>
        <v>3</v>
      </c>
      <c r="X126" s="3">
        <f>$D126*TCA!W126/100</f>
        <v>0</v>
      </c>
    </row>
    <row r="127" spans="1:24" x14ac:dyDescent="0.25">
      <c r="A127" s="3" t="s">
        <v>2025</v>
      </c>
      <c r="B127" s="3" t="s">
        <v>250</v>
      </c>
      <c r="C127" s="3" t="s">
        <v>251</v>
      </c>
      <c r="D127" s="3">
        <v>100</v>
      </c>
      <c r="E127" s="3">
        <f>$D127*TCA!E127/100</f>
        <v>155.01</v>
      </c>
      <c r="F127" s="3">
        <f>$D127*TCA!F127/100</f>
        <v>5.8</v>
      </c>
      <c r="G127" s="3">
        <f>$D127*TCA!G127/100</f>
        <v>0.93</v>
      </c>
      <c r="H127" s="3">
        <f>$D127*TCA!H127/100</f>
        <v>30.86</v>
      </c>
      <c r="I127" s="3">
        <f>$D127*TCA!I127/100</f>
        <v>1.18</v>
      </c>
      <c r="J127" s="3">
        <f>$D127*TCA!J127/100</f>
        <v>0.18</v>
      </c>
      <c r="K127" s="3">
        <f>$D127*TCA!K127/100</f>
        <v>0.13</v>
      </c>
      <c r="L127" s="3">
        <f>$D127*TCA!L127/100</f>
        <v>0.32</v>
      </c>
      <c r="M127" s="3">
        <f>$D127*TCA!M127/100</f>
        <v>0</v>
      </c>
      <c r="N127" s="3">
        <f>$D127*TCA!N127/100</f>
        <v>7</v>
      </c>
      <c r="O127" s="3">
        <f>$D127*TCA!O127/100</f>
        <v>58</v>
      </c>
      <c r="P127" s="3">
        <f t="shared" si="1"/>
        <v>10</v>
      </c>
      <c r="Q127" s="3">
        <f>$D127*TCA!P127/100</f>
        <v>0.5</v>
      </c>
      <c r="R127" s="3">
        <f>$D127*TCA!Q127/100</f>
        <v>45</v>
      </c>
      <c r="S127" s="3">
        <f>$D127*TCA!R127/100</f>
        <v>1</v>
      </c>
      <c r="T127" s="3">
        <f>$D127*TCA!S127/100</f>
        <v>0.5</v>
      </c>
      <c r="U127" s="3">
        <f>$D127*TCA!T127/100</f>
        <v>0</v>
      </c>
      <c r="V127" s="3">
        <f>$D127*TCA!U127/100</f>
        <v>0</v>
      </c>
      <c r="W127" s="3">
        <f>$D127*TCA!V127/100</f>
        <v>7</v>
      </c>
      <c r="X127" s="3">
        <f>$D127*TCA!W127/100</f>
        <v>0</v>
      </c>
    </row>
    <row r="128" spans="1:24" x14ac:dyDescent="0.25">
      <c r="A128" s="3" t="s">
        <v>2025</v>
      </c>
      <c r="B128" s="3" t="s">
        <v>252</v>
      </c>
      <c r="C128" s="3" t="s">
        <v>253</v>
      </c>
      <c r="D128" s="3">
        <v>100</v>
      </c>
      <c r="E128" s="3">
        <f>$D128*TCA!E128/100</f>
        <v>364.83</v>
      </c>
      <c r="F128" s="3">
        <f>$D128*TCA!F128/100</f>
        <v>13.04</v>
      </c>
      <c r="G128" s="3">
        <f>$D128*TCA!G128/100</f>
        <v>1.51</v>
      </c>
      <c r="H128" s="3">
        <f>$D128*TCA!H128/100</f>
        <v>74.77</v>
      </c>
      <c r="I128" s="3">
        <f>$D128*TCA!I128/100</f>
        <v>3.2</v>
      </c>
      <c r="J128" s="3">
        <f>$D128*TCA!J128/100</f>
        <v>0.28000000000000003</v>
      </c>
      <c r="K128" s="3">
        <f>$D128*TCA!K128/100</f>
        <v>0.17</v>
      </c>
      <c r="L128" s="3">
        <f>$D128*TCA!L128/100</f>
        <v>0.56000000000000005</v>
      </c>
      <c r="M128" s="3">
        <f>$D128*TCA!M128/100</f>
        <v>0</v>
      </c>
      <c r="N128" s="3">
        <f>$D128*TCA!N128/100</f>
        <v>18</v>
      </c>
      <c r="O128" s="3">
        <f>$D128*TCA!O128/100</f>
        <v>150</v>
      </c>
      <c r="P128" s="3">
        <f t="shared" si="1"/>
        <v>11.503067484662578</v>
      </c>
      <c r="Q128" s="3">
        <f>$D128*TCA!P128/100</f>
        <v>130</v>
      </c>
      <c r="R128" s="3">
        <f>$D128*TCA!Q128/100</f>
        <v>162</v>
      </c>
      <c r="S128" s="3">
        <f>$D128*TCA!R128/100</f>
        <v>5</v>
      </c>
      <c r="T128" s="3">
        <f>$D128*TCA!S128/100</f>
        <v>1.26</v>
      </c>
      <c r="U128" s="3">
        <f>$D128*TCA!T128/100</f>
        <v>0</v>
      </c>
      <c r="V128" s="3">
        <f>$D128*TCA!U128/100</f>
        <v>0</v>
      </c>
      <c r="W128" s="3">
        <f>$D128*TCA!V128/100</f>
        <v>18</v>
      </c>
      <c r="X128" s="3">
        <f>$D128*TCA!W128/100</f>
        <v>0</v>
      </c>
    </row>
    <row r="129" spans="1:24" x14ac:dyDescent="0.25">
      <c r="A129" s="3" t="s">
        <v>2025</v>
      </c>
      <c r="B129" s="3" t="s">
        <v>254</v>
      </c>
      <c r="C129" s="3" t="s">
        <v>255</v>
      </c>
      <c r="D129" s="3">
        <v>100</v>
      </c>
      <c r="E129" s="3">
        <f>$D129*TCA!E129/100</f>
        <v>355.4</v>
      </c>
      <c r="F129" s="3">
        <f>$D129*TCA!F129/100</f>
        <v>10.3</v>
      </c>
      <c r="G129" s="3">
        <f>$D129*TCA!G129/100</f>
        <v>1</v>
      </c>
      <c r="H129" s="3">
        <f>$D129*TCA!H129/100</f>
        <v>76.3</v>
      </c>
      <c r="I129" s="3">
        <f>$D129*TCA!I129/100</f>
        <v>6.3</v>
      </c>
      <c r="J129" s="3">
        <f>$D129*TCA!J129/100</f>
        <v>0.45</v>
      </c>
      <c r="K129" s="3">
        <f>$D129*TCA!K129/100</f>
        <v>0.69</v>
      </c>
      <c r="L129" s="3">
        <f>$D129*TCA!L129/100</f>
        <v>1.42</v>
      </c>
      <c r="M129" s="3">
        <f>$D129*TCA!M129/100</f>
        <v>0</v>
      </c>
      <c r="N129" s="3">
        <f>$D129*TCA!N129/100</f>
        <v>81</v>
      </c>
      <c r="O129" s="3">
        <f>$D129*TCA!O129/100</f>
        <v>314</v>
      </c>
      <c r="P129" s="3">
        <f t="shared" si="1"/>
        <v>30.485436893203882</v>
      </c>
      <c r="Q129" s="3">
        <f>$D129*TCA!P129/100</f>
        <v>1.23</v>
      </c>
      <c r="R129" s="3">
        <f>$D129*TCA!Q129/100</f>
        <v>186</v>
      </c>
      <c r="S129" s="3">
        <f>$D129*TCA!R129/100</f>
        <v>45</v>
      </c>
      <c r="T129" s="3">
        <f>$D129*TCA!S129/100</f>
        <v>1.31</v>
      </c>
      <c r="U129" s="3">
        <f>$D129*TCA!T129/100</f>
        <v>0</v>
      </c>
      <c r="V129" s="3">
        <f>$D129*TCA!U129/100</f>
        <v>2</v>
      </c>
      <c r="W129" s="3">
        <f>$D129*TCA!V129/100</f>
        <v>5</v>
      </c>
      <c r="X129" s="3">
        <f>$D129*TCA!W129/100</f>
        <v>0</v>
      </c>
    </row>
    <row r="130" spans="1:24" x14ac:dyDescent="0.25">
      <c r="A130" s="3" t="s">
        <v>2025</v>
      </c>
      <c r="B130" s="3" t="s">
        <v>256</v>
      </c>
      <c r="C130" s="3" t="s">
        <v>257</v>
      </c>
      <c r="D130" s="3">
        <v>100</v>
      </c>
      <c r="E130" s="3">
        <f>$D130*TCA!E130/100</f>
        <v>128.59</v>
      </c>
      <c r="F130" s="3">
        <f>$D130*TCA!F130/100</f>
        <v>4.58</v>
      </c>
      <c r="G130" s="3">
        <f>$D130*TCA!G130/100</f>
        <v>0.63</v>
      </c>
      <c r="H130" s="3">
        <f>$D130*TCA!H130/100</f>
        <v>26.15</v>
      </c>
      <c r="I130" s="3">
        <f>$D130*TCA!I130/100</f>
        <v>0</v>
      </c>
      <c r="J130" s="3">
        <f>$D130*TCA!J130/100</f>
        <v>0.09</v>
      </c>
      <c r="K130" s="3">
        <f>$D130*TCA!K130/100</f>
        <v>7.0000000000000007E-2</v>
      </c>
      <c r="L130" s="3">
        <f>$D130*TCA!L130/100</f>
        <v>0.26</v>
      </c>
      <c r="M130" s="3">
        <f>$D130*TCA!M130/100</f>
        <v>0</v>
      </c>
      <c r="N130" s="3">
        <f>$D130*TCA!N130/100</f>
        <v>30</v>
      </c>
      <c r="O130" s="3">
        <f>$D130*TCA!O130/100</f>
        <v>108</v>
      </c>
      <c r="P130" s="3">
        <f t="shared" si="1"/>
        <v>23.580786026200872</v>
      </c>
      <c r="Q130" s="3">
        <f>$D130*TCA!P130/100</f>
        <v>1.04</v>
      </c>
      <c r="R130" s="3">
        <f>$D130*TCA!Q130/100</f>
        <v>58</v>
      </c>
      <c r="S130" s="3">
        <f>$D130*TCA!R130/100</f>
        <v>14</v>
      </c>
      <c r="T130" s="3">
        <f>$D130*TCA!S130/100</f>
        <v>1.08</v>
      </c>
      <c r="U130" s="3">
        <f>$D130*TCA!T130/100</f>
        <v>0</v>
      </c>
      <c r="V130" s="3">
        <f>$D130*TCA!U130/100</f>
        <v>8</v>
      </c>
      <c r="W130" s="3">
        <f>$D130*TCA!V130/100</f>
        <v>12</v>
      </c>
      <c r="X130" s="3">
        <f>$D130*TCA!W130/100</f>
        <v>0</v>
      </c>
    </row>
    <row r="131" spans="1:24" x14ac:dyDescent="0.25">
      <c r="A131" s="3" t="s">
        <v>2025</v>
      </c>
      <c r="B131" s="3" t="s">
        <v>258</v>
      </c>
      <c r="C131" s="3" t="s">
        <v>259</v>
      </c>
      <c r="D131" s="3">
        <v>100</v>
      </c>
      <c r="E131" s="3">
        <f>$D131*TCA!E131/100</f>
        <v>366.77</v>
      </c>
      <c r="F131" s="3">
        <f>$D131*TCA!F131/100</f>
        <v>13.35</v>
      </c>
      <c r="G131" s="3">
        <f>$D131*TCA!G131/100</f>
        <v>1.57</v>
      </c>
      <c r="H131" s="3">
        <f>$D131*TCA!H131/100</f>
        <v>74.81</v>
      </c>
      <c r="I131" s="3">
        <f>$D131*TCA!I131/100</f>
        <v>10.6</v>
      </c>
      <c r="J131" s="3">
        <f>$D131*TCA!J131/100</f>
        <v>0.23</v>
      </c>
      <c r="K131" s="3">
        <f>$D131*TCA!K131/100</f>
        <v>0.18</v>
      </c>
      <c r="L131" s="3">
        <f>$D131*TCA!L131/100</f>
        <v>0.64</v>
      </c>
      <c r="M131" s="3">
        <f>$D131*TCA!M131/100</f>
        <v>0</v>
      </c>
      <c r="N131" s="3">
        <f>$D131*TCA!N131/100</f>
        <v>58</v>
      </c>
      <c r="O131" s="3">
        <f>$D131*TCA!O131/100</f>
        <v>332</v>
      </c>
      <c r="P131" s="3">
        <f t="shared" si="1"/>
        <v>24.868913857677903</v>
      </c>
      <c r="Q131" s="3">
        <f>$D131*TCA!P131/100</f>
        <v>2.13</v>
      </c>
      <c r="R131" s="3">
        <f>$D131*TCA!Q131/100</f>
        <v>376</v>
      </c>
      <c r="S131" s="3">
        <f>$D131*TCA!R131/100</f>
        <v>36</v>
      </c>
      <c r="T131" s="3">
        <f>$D131*TCA!S131/100</f>
        <v>2.76</v>
      </c>
      <c r="U131" s="3">
        <f>$D131*TCA!T131/100</f>
        <v>0</v>
      </c>
      <c r="V131" s="3">
        <f>$D131*TCA!U131/100</f>
        <v>23</v>
      </c>
      <c r="W131" s="3">
        <f>$D131*TCA!V131/100</f>
        <v>48</v>
      </c>
      <c r="X131" s="3">
        <f>$D131*TCA!W131/100</f>
        <v>0</v>
      </c>
    </row>
    <row r="132" spans="1:24" x14ac:dyDescent="0.25">
      <c r="A132" s="3" t="s">
        <v>2025</v>
      </c>
      <c r="B132" s="3" t="s">
        <v>260</v>
      </c>
      <c r="C132" s="3" t="s">
        <v>261</v>
      </c>
      <c r="D132" s="3">
        <v>100</v>
      </c>
      <c r="E132" s="3">
        <f>$D132*TCA!E132/100</f>
        <v>365.45</v>
      </c>
      <c r="F132" s="3">
        <f>$D132*TCA!F132/100</f>
        <v>14.55</v>
      </c>
      <c r="G132" s="3">
        <f>$D132*TCA!G132/100</f>
        <v>1.82</v>
      </c>
      <c r="H132" s="3">
        <f>$D132*TCA!H132/100</f>
        <v>72.73</v>
      </c>
      <c r="I132" s="3">
        <f>$D132*TCA!I132/100</f>
        <v>0</v>
      </c>
      <c r="J132" s="3">
        <f>$D132*TCA!J132/100</f>
        <v>0</v>
      </c>
      <c r="K132" s="3">
        <f>$D132*TCA!K132/100</f>
        <v>0</v>
      </c>
      <c r="L132" s="3">
        <f>$D132*TCA!L132/100</f>
        <v>0</v>
      </c>
      <c r="M132" s="3">
        <f>$D132*TCA!M132/100</f>
        <v>0</v>
      </c>
      <c r="N132" s="3">
        <f>$D132*TCA!N132/100</f>
        <v>0</v>
      </c>
      <c r="O132" s="3">
        <f>$D132*TCA!O132/100</f>
        <v>0</v>
      </c>
      <c r="P132" s="3">
        <f t="shared" ref="P132:P195" si="2">O132/F132</f>
        <v>0</v>
      </c>
      <c r="Q132" s="3">
        <f>$D132*TCA!P132/100</f>
        <v>0</v>
      </c>
      <c r="R132" s="3">
        <f>$D132*TCA!Q132/100</f>
        <v>0</v>
      </c>
      <c r="S132" s="3">
        <f>$D132*TCA!R132/100</f>
        <v>18.18</v>
      </c>
      <c r="T132" s="3">
        <f>$D132*TCA!S132/100</f>
        <v>0</v>
      </c>
      <c r="U132" s="3">
        <f>$D132*TCA!T132/100</f>
        <v>0</v>
      </c>
      <c r="V132" s="3">
        <f>$D132*TCA!U132/100</f>
        <v>0</v>
      </c>
      <c r="W132" s="3">
        <f>$D132*TCA!V132/100</f>
        <v>0</v>
      </c>
      <c r="X132" s="3">
        <f>$D132*TCA!W132/100</f>
        <v>0</v>
      </c>
    </row>
    <row r="133" spans="1:24" x14ac:dyDescent="0.25">
      <c r="A133" s="3" t="s">
        <v>2025</v>
      </c>
      <c r="B133" s="3" t="s">
        <v>262</v>
      </c>
      <c r="C133" s="3" t="s">
        <v>263</v>
      </c>
      <c r="D133" s="3">
        <v>100</v>
      </c>
      <c r="E133" s="3">
        <f>$D133*TCA!E133/100</f>
        <v>374.12</v>
      </c>
      <c r="F133" s="3">
        <f>$D133*TCA!F133/100</f>
        <v>10.71</v>
      </c>
      <c r="G133" s="3">
        <f>$D133*TCA!G133/100</f>
        <v>2.68</v>
      </c>
      <c r="H133" s="3">
        <f>$D133*TCA!H133/100</f>
        <v>76.790000000000006</v>
      </c>
      <c r="I133" s="3">
        <f>$D133*TCA!I133/100</f>
        <v>10.7</v>
      </c>
      <c r="J133" s="3">
        <f>$D133*TCA!J133/100</f>
        <v>0</v>
      </c>
      <c r="K133" s="3">
        <f>$D133*TCA!K133/100</f>
        <v>0</v>
      </c>
      <c r="L133" s="3">
        <f>$D133*TCA!L133/100</f>
        <v>0</v>
      </c>
      <c r="M133" s="3">
        <f>$D133*TCA!M133/100</f>
        <v>0</v>
      </c>
      <c r="N133" s="3">
        <f>$D133*TCA!N133/100</f>
        <v>71</v>
      </c>
      <c r="O133" s="3">
        <f>$D133*TCA!O133/100</f>
        <v>0</v>
      </c>
      <c r="P133" s="3">
        <f t="shared" si="2"/>
        <v>0</v>
      </c>
      <c r="Q133" s="3">
        <f>$D133*TCA!P133/100</f>
        <v>4.82</v>
      </c>
      <c r="R133" s="3">
        <f>$D133*TCA!Q133/100</f>
        <v>0</v>
      </c>
      <c r="S133" s="3">
        <f>$D133*TCA!R133/100</f>
        <v>0</v>
      </c>
      <c r="T133" s="3">
        <f>$D133*TCA!S133/100</f>
        <v>0</v>
      </c>
      <c r="U133" s="3">
        <f>$D133*TCA!T133/100</f>
        <v>0</v>
      </c>
      <c r="V133" s="3">
        <f>$D133*TCA!U133/100</f>
        <v>0</v>
      </c>
      <c r="W133" s="3">
        <f>$D133*TCA!V133/100</f>
        <v>0</v>
      </c>
      <c r="X133" s="3">
        <f>$D133*TCA!W133/100</f>
        <v>0</v>
      </c>
    </row>
    <row r="134" spans="1:24" x14ac:dyDescent="0.25">
      <c r="A134" s="3" t="s">
        <v>2025</v>
      </c>
      <c r="B134" s="3" t="s">
        <v>264</v>
      </c>
      <c r="C134" s="3" t="s">
        <v>265</v>
      </c>
      <c r="D134" s="3">
        <v>100</v>
      </c>
      <c r="E134" s="3">
        <f>$D134*TCA!E134/100</f>
        <v>468</v>
      </c>
      <c r="F134" s="3">
        <f>$D134*TCA!F134/100</f>
        <v>12</v>
      </c>
      <c r="G134" s="3">
        <f>$D134*TCA!G134/100</f>
        <v>20</v>
      </c>
      <c r="H134" s="3">
        <f>$D134*TCA!H134/100</f>
        <v>60</v>
      </c>
      <c r="I134" s="3">
        <f>$D134*TCA!I134/100</f>
        <v>0</v>
      </c>
      <c r="J134" s="3">
        <f>$D134*TCA!J134/100</f>
        <v>12</v>
      </c>
      <c r="K134" s="3">
        <f>$D134*TCA!K134/100</f>
        <v>8</v>
      </c>
      <c r="L134" s="3">
        <f>$D134*TCA!L134/100</f>
        <v>4</v>
      </c>
      <c r="M134" s="3">
        <f>$D134*TCA!M134/100</f>
        <v>36</v>
      </c>
      <c r="N134" s="3">
        <f>$D134*TCA!N134/100</f>
        <v>0</v>
      </c>
      <c r="O134" s="3">
        <f>$D134*TCA!O134/100</f>
        <v>0</v>
      </c>
      <c r="P134" s="3">
        <f t="shared" si="2"/>
        <v>0</v>
      </c>
      <c r="Q134" s="3">
        <f>$D134*TCA!P134/100</f>
        <v>0</v>
      </c>
      <c r="R134" s="3">
        <f>$D134*TCA!Q134/100</f>
        <v>0</v>
      </c>
      <c r="S134" s="3">
        <f>$D134*TCA!R134/100</f>
        <v>1480</v>
      </c>
      <c r="T134" s="3">
        <f>$D134*TCA!S134/100</f>
        <v>0</v>
      </c>
      <c r="U134" s="3">
        <f>$D134*TCA!T134/100</f>
        <v>0</v>
      </c>
      <c r="V134" s="3">
        <f>$D134*TCA!U134/100</f>
        <v>0</v>
      </c>
      <c r="W134" s="3">
        <f>$D134*TCA!V134/100</f>
        <v>0</v>
      </c>
      <c r="X134" s="3">
        <f>$D134*TCA!W134/100</f>
        <v>0</v>
      </c>
    </row>
    <row r="135" spans="1:24" x14ac:dyDescent="0.25">
      <c r="A135" s="3" t="s">
        <v>2025</v>
      </c>
      <c r="B135" s="3" t="s">
        <v>266</v>
      </c>
      <c r="C135" s="3" t="s">
        <v>267</v>
      </c>
      <c r="D135" s="3">
        <v>100</v>
      </c>
      <c r="E135" s="3">
        <f>$D135*TCA!E135/100</f>
        <v>155.01</v>
      </c>
      <c r="F135" s="3">
        <f>$D135*TCA!F135/100</f>
        <v>5.8</v>
      </c>
      <c r="G135" s="3">
        <f>$D135*TCA!G135/100</f>
        <v>0.93</v>
      </c>
      <c r="H135" s="3">
        <f>$D135*TCA!H135/100</f>
        <v>30.86</v>
      </c>
      <c r="I135" s="3">
        <f>$D135*TCA!I135/100</f>
        <v>1.8</v>
      </c>
      <c r="J135" s="3">
        <f>$D135*TCA!J135/100</f>
        <v>0.18</v>
      </c>
      <c r="K135" s="3">
        <f>$D135*TCA!K135/100</f>
        <v>0.13</v>
      </c>
      <c r="L135" s="3">
        <f>$D135*TCA!L135/100</f>
        <v>0.33</v>
      </c>
      <c r="M135" s="3">
        <f>$D135*TCA!M135/100</f>
        <v>0</v>
      </c>
      <c r="N135" s="3">
        <f>$D135*TCA!N135/100</f>
        <v>7</v>
      </c>
      <c r="O135" s="3">
        <f>$D135*TCA!O135/100</f>
        <v>58</v>
      </c>
      <c r="P135" s="3">
        <f t="shared" si="2"/>
        <v>10</v>
      </c>
      <c r="Q135" s="3">
        <f>$D135*TCA!P135/100</f>
        <v>1.33</v>
      </c>
      <c r="R135" s="3">
        <f>$D135*TCA!Q135/100</f>
        <v>45</v>
      </c>
      <c r="S135" s="3">
        <f>$D135*TCA!R135/100</f>
        <v>1</v>
      </c>
      <c r="T135" s="3">
        <f>$D135*TCA!S135/100</f>
        <v>0.5</v>
      </c>
      <c r="U135" s="3">
        <f>$D135*TCA!T135/100</f>
        <v>0</v>
      </c>
      <c r="V135" s="3">
        <f>$D135*TCA!U135/100</f>
        <v>0</v>
      </c>
      <c r="W135" s="3">
        <f>$D135*TCA!V135/100</f>
        <v>119</v>
      </c>
      <c r="X135" s="3">
        <f>$D135*TCA!W135/100</f>
        <v>0</v>
      </c>
    </row>
    <row r="136" spans="1:24" x14ac:dyDescent="0.25">
      <c r="A136" s="3" t="s">
        <v>2025</v>
      </c>
      <c r="B136" s="3" t="s">
        <v>268</v>
      </c>
      <c r="C136" s="3" t="s">
        <v>269</v>
      </c>
      <c r="D136" s="3">
        <v>100</v>
      </c>
      <c r="E136" s="3">
        <f>$D136*TCA!E136/100</f>
        <v>364.43</v>
      </c>
      <c r="F136" s="3">
        <f>$D136*TCA!F136/100</f>
        <v>13.04</v>
      </c>
      <c r="G136" s="3">
        <f>$D136*TCA!G136/100</f>
        <v>1.51</v>
      </c>
      <c r="H136" s="3">
        <f>$D136*TCA!H136/100</f>
        <v>74.67</v>
      </c>
      <c r="I136" s="3">
        <f>$D136*TCA!I136/100</f>
        <v>3.2</v>
      </c>
      <c r="J136" s="3">
        <f>$D136*TCA!J136/100</f>
        <v>0.28000000000000003</v>
      </c>
      <c r="K136" s="3">
        <f>$D136*TCA!K136/100</f>
        <v>0.17</v>
      </c>
      <c r="L136" s="3">
        <f>$D136*TCA!L136/100</f>
        <v>0.56000000000000005</v>
      </c>
      <c r="M136" s="3">
        <f>$D136*TCA!M136/100</f>
        <v>0</v>
      </c>
      <c r="N136" s="3">
        <f>$D136*TCA!N136/100</f>
        <v>18</v>
      </c>
      <c r="O136" s="3">
        <f>$D136*TCA!O136/100</f>
        <v>150</v>
      </c>
      <c r="P136" s="3">
        <f t="shared" si="2"/>
        <v>11.503067484662578</v>
      </c>
      <c r="Q136" s="3">
        <f>$D136*TCA!P136/100</f>
        <v>3.52</v>
      </c>
      <c r="R136" s="3">
        <f>$D136*TCA!Q136/100</f>
        <v>162</v>
      </c>
      <c r="S136" s="3">
        <f>$D136*TCA!R136/100</f>
        <v>5</v>
      </c>
      <c r="T136" s="3">
        <f>$D136*TCA!S136/100</f>
        <v>1.26</v>
      </c>
      <c r="U136" s="3">
        <f>$D136*TCA!T136/100</f>
        <v>0</v>
      </c>
      <c r="V136" s="3">
        <f>$D136*TCA!U136/100</f>
        <v>0</v>
      </c>
      <c r="W136" s="3">
        <f>$D136*TCA!V136/100</f>
        <v>391</v>
      </c>
      <c r="X136" s="3">
        <f>$D136*TCA!W136/100</f>
        <v>0</v>
      </c>
    </row>
    <row r="137" spans="1:24" x14ac:dyDescent="0.25">
      <c r="A137" s="3" t="s">
        <v>2025</v>
      </c>
      <c r="B137" s="3" t="s">
        <v>270</v>
      </c>
      <c r="C137" s="3" t="s">
        <v>271</v>
      </c>
      <c r="D137" s="3">
        <v>100</v>
      </c>
      <c r="E137" s="3">
        <f>$D137*TCA!E137/100</f>
        <v>385</v>
      </c>
      <c r="F137" s="3">
        <f>$D137*TCA!F137/100</f>
        <v>11.2</v>
      </c>
      <c r="G137" s="3">
        <f>$D137*TCA!G137/100</f>
        <v>5.4</v>
      </c>
      <c r="H137" s="3">
        <f>$D137*TCA!H137/100</f>
        <v>72.900000000000006</v>
      </c>
      <c r="I137" s="3">
        <f>$D137*TCA!I137/100</f>
        <v>0</v>
      </c>
      <c r="J137" s="3">
        <f>$D137*TCA!J137/100</f>
        <v>0.6</v>
      </c>
      <c r="K137" s="3">
        <f>$D137*TCA!K137/100</f>
        <v>1.8</v>
      </c>
      <c r="L137" s="3">
        <f>$D137*TCA!L137/100</f>
        <v>3.3</v>
      </c>
      <c r="M137" s="3">
        <f>$D137*TCA!M137/100</f>
        <v>0</v>
      </c>
      <c r="N137" s="3">
        <f>$D137*TCA!N137/100</f>
        <v>3</v>
      </c>
      <c r="O137" s="3">
        <f>$D137*TCA!O137/100</f>
        <v>73</v>
      </c>
      <c r="P137" s="3">
        <f t="shared" si="2"/>
        <v>6.5178571428571432</v>
      </c>
      <c r="Q137" s="3">
        <f>$D137*TCA!P137/100</f>
        <v>0.9</v>
      </c>
      <c r="R137" s="3">
        <f>$D137*TCA!Q137/100</f>
        <v>0</v>
      </c>
      <c r="S137" s="3">
        <f>$D137*TCA!R137/100</f>
        <v>0</v>
      </c>
      <c r="T137" s="3">
        <f>$D137*TCA!S137/100</f>
        <v>0</v>
      </c>
      <c r="U137" s="3">
        <f>$D137*TCA!T137/100</f>
        <v>0</v>
      </c>
      <c r="V137" s="3">
        <f>$D137*TCA!U137/100</f>
        <v>0</v>
      </c>
      <c r="W137" s="3">
        <f>$D137*TCA!V137/100</f>
        <v>0</v>
      </c>
      <c r="X137" s="3">
        <f>$D137*TCA!W137/100</f>
        <v>0</v>
      </c>
    </row>
    <row r="138" spans="1:24" x14ac:dyDescent="0.25">
      <c r="A138" s="3" t="s">
        <v>2025</v>
      </c>
      <c r="B138" s="3" t="s">
        <v>272</v>
      </c>
      <c r="C138" s="3" t="s">
        <v>273</v>
      </c>
      <c r="D138" s="3">
        <v>100</v>
      </c>
      <c r="E138" s="3">
        <f>$D138*TCA!E138/100</f>
        <v>268.33</v>
      </c>
      <c r="F138" s="3">
        <f>$D138*TCA!F138/100</f>
        <v>11.25</v>
      </c>
      <c r="G138" s="3">
        <f>$D138*TCA!G138/100</f>
        <v>10.93</v>
      </c>
      <c r="H138" s="3">
        <f>$D138*TCA!H138/100</f>
        <v>31.24</v>
      </c>
      <c r="I138" s="3">
        <f>$D138*TCA!I138/100</f>
        <v>0</v>
      </c>
      <c r="J138" s="3">
        <f>$D138*TCA!J138/100</f>
        <v>0</v>
      </c>
      <c r="K138" s="3">
        <f>$D138*TCA!K138/100</f>
        <v>0</v>
      </c>
      <c r="L138" s="3">
        <f>$D138*TCA!L138/100</f>
        <v>0</v>
      </c>
      <c r="M138" s="3">
        <f>$D138*TCA!M138/100</f>
        <v>0</v>
      </c>
      <c r="N138" s="3">
        <f>$D138*TCA!N138/100</f>
        <v>178</v>
      </c>
      <c r="O138" s="3">
        <f>$D138*TCA!O138/100</f>
        <v>189</v>
      </c>
      <c r="P138" s="3">
        <f t="shared" si="2"/>
        <v>16.8</v>
      </c>
      <c r="Q138" s="3">
        <f>$D138*TCA!P138/100</f>
        <v>2.42</v>
      </c>
      <c r="R138" s="3">
        <f>$D138*TCA!Q138/100</f>
        <v>152</v>
      </c>
      <c r="S138" s="3">
        <f>$D138*TCA!R138/100</f>
        <v>655</v>
      </c>
      <c r="T138" s="3">
        <f>$D138*TCA!S138/100</f>
        <v>1.72</v>
      </c>
      <c r="U138" s="3">
        <f>$D138*TCA!T138/100</f>
        <v>0</v>
      </c>
      <c r="V138" s="3">
        <f>$D138*TCA!U138/100</f>
        <v>0</v>
      </c>
      <c r="W138" s="3">
        <f>$D138*TCA!V138/100</f>
        <v>0</v>
      </c>
      <c r="X138" s="3">
        <f>$D138*TCA!W138/100</f>
        <v>0</v>
      </c>
    </row>
    <row r="139" spans="1:24" x14ac:dyDescent="0.25">
      <c r="A139" s="3" t="s">
        <v>2025</v>
      </c>
      <c r="B139" s="3" t="s">
        <v>274</v>
      </c>
      <c r="C139" s="3" t="s">
        <v>275</v>
      </c>
      <c r="D139" s="3">
        <v>100</v>
      </c>
      <c r="E139" s="3">
        <f>$D139*TCA!E139/100</f>
        <v>307.2</v>
      </c>
      <c r="F139" s="3">
        <f>$D139*TCA!F139/100</f>
        <v>8</v>
      </c>
      <c r="G139" s="3">
        <f>$D139*TCA!G139/100</f>
        <v>12.8</v>
      </c>
      <c r="H139" s="3">
        <f>$D139*TCA!H139/100</f>
        <v>40</v>
      </c>
      <c r="I139" s="3">
        <f>$D139*TCA!I139/100</f>
        <v>0</v>
      </c>
      <c r="J139" s="3">
        <f>$D139*TCA!J139/100</f>
        <v>6.4</v>
      </c>
      <c r="K139" s="3">
        <f>$D139*TCA!K139/100</f>
        <v>3.2</v>
      </c>
      <c r="L139" s="3">
        <f>$D139*TCA!L139/100</f>
        <v>2.4</v>
      </c>
      <c r="M139" s="3">
        <f>$D139*TCA!M139/100</f>
        <v>106.4</v>
      </c>
      <c r="N139" s="3">
        <f>$D139*TCA!N139/100</f>
        <v>0</v>
      </c>
      <c r="O139" s="3">
        <f>$D139*TCA!O139/100</f>
        <v>0</v>
      </c>
      <c r="P139" s="3">
        <f t="shared" si="2"/>
        <v>0</v>
      </c>
      <c r="Q139" s="3">
        <f>$D139*TCA!P139/100</f>
        <v>0</v>
      </c>
      <c r="R139" s="3">
        <f>$D139*TCA!Q139/100</f>
        <v>0</v>
      </c>
      <c r="S139" s="3">
        <f>$D139*TCA!R139/100</f>
        <v>0</v>
      </c>
      <c r="T139" s="3">
        <f>$D139*TCA!S139/100</f>
        <v>0</v>
      </c>
      <c r="U139" s="3">
        <f>$D139*TCA!T139/100</f>
        <v>0</v>
      </c>
      <c r="V139" s="3">
        <f>$D139*TCA!U139/100</f>
        <v>0</v>
      </c>
      <c r="W139" s="3">
        <f>$D139*TCA!V139/100</f>
        <v>0</v>
      </c>
      <c r="X139" s="3">
        <f>$D139*TCA!W139/100</f>
        <v>0</v>
      </c>
    </row>
    <row r="140" spans="1:24" x14ac:dyDescent="0.25">
      <c r="A140" s="3" t="s">
        <v>2025</v>
      </c>
      <c r="B140" s="3" t="s">
        <v>276</v>
      </c>
      <c r="C140" s="3" t="s">
        <v>277</v>
      </c>
      <c r="D140" s="3">
        <v>100</v>
      </c>
      <c r="E140" s="3">
        <f>$D140*TCA!E140/100</f>
        <v>120.08</v>
      </c>
      <c r="F140" s="3">
        <f>$D140*TCA!F140/100</f>
        <v>4.4000000000000004</v>
      </c>
      <c r="G140" s="3">
        <f>$D140*TCA!G140/100</f>
        <v>1.92</v>
      </c>
      <c r="H140" s="3">
        <f>$D140*TCA!H140/100</f>
        <v>21.3</v>
      </c>
      <c r="I140" s="3">
        <f>$D140*TCA!I140/100</f>
        <v>2.8</v>
      </c>
      <c r="J140" s="3">
        <f>$D140*TCA!J140/100</f>
        <v>0.23</v>
      </c>
      <c r="K140" s="3">
        <f>$D140*TCA!K140/100</f>
        <v>0.53</v>
      </c>
      <c r="L140" s="3">
        <f>$D140*TCA!L140/100</f>
        <v>1.08</v>
      </c>
      <c r="M140" s="3">
        <f>$D140*TCA!M140/100</f>
        <v>0</v>
      </c>
      <c r="N140" s="3">
        <f>$D140*TCA!N140/100</f>
        <v>17</v>
      </c>
      <c r="O140" s="3">
        <f>$D140*TCA!O140/100</f>
        <v>172</v>
      </c>
      <c r="P140" s="3">
        <f t="shared" si="2"/>
        <v>39.090909090909086</v>
      </c>
      <c r="Q140" s="3">
        <f>$D140*TCA!P140/100</f>
        <v>1.49</v>
      </c>
      <c r="R140" s="3">
        <f>$D140*TCA!Q140/100</f>
        <v>172</v>
      </c>
      <c r="S140" s="3">
        <f>$D140*TCA!R140/100</f>
        <v>7</v>
      </c>
      <c r="T140" s="3">
        <f>$D140*TCA!S140/100</f>
        <v>1.0900000000000001</v>
      </c>
      <c r="U140" s="3">
        <f>$D140*TCA!T140/100</f>
        <v>0</v>
      </c>
      <c r="V140" s="3">
        <f>$D140*TCA!U140/100</f>
        <v>0</v>
      </c>
      <c r="W140" s="3">
        <f>$D140*TCA!V140/100</f>
        <v>42</v>
      </c>
      <c r="X140" s="3">
        <f>$D140*TCA!W140/100</f>
        <v>0</v>
      </c>
    </row>
    <row r="141" spans="1:24" x14ac:dyDescent="0.25">
      <c r="A141" s="3" t="s">
        <v>2025</v>
      </c>
      <c r="B141" s="3" t="s">
        <v>278</v>
      </c>
      <c r="C141" s="3" t="s">
        <v>279</v>
      </c>
      <c r="D141" s="3">
        <v>100</v>
      </c>
      <c r="E141" s="3">
        <f>$D141*TCA!E141/100</f>
        <v>367.75</v>
      </c>
      <c r="F141" s="3">
        <f>$D141*TCA!F141/100</f>
        <v>14.12</v>
      </c>
      <c r="G141" s="3">
        <f>$D141*TCA!G141/100</f>
        <v>6.07</v>
      </c>
      <c r="H141" s="3">
        <f>$D141*TCA!H141/100</f>
        <v>64.16</v>
      </c>
      <c r="I141" s="3">
        <f>$D141*TCA!I141/100</f>
        <v>7</v>
      </c>
      <c r="J141" s="3">
        <f>$D141*TCA!J141/100</f>
        <v>0.71</v>
      </c>
      <c r="K141" s="3">
        <f>$D141*TCA!K141/100</f>
        <v>1.61</v>
      </c>
      <c r="L141" s="3">
        <f>$D141*TCA!L141/100</f>
        <v>3.29</v>
      </c>
      <c r="M141" s="3">
        <f>$D141*TCA!M141/100</f>
        <v>0</v>
      </c>
      <c r="N141" s="3">
        <f>$D141*TCA!N141/100</f>
        <v>47</v>
      </c>
      <c r="O141" s="3">
        <f>$D141*TCA!O141/100</f>
        <v>563</v>
      </c>
      <c r="P141" s="3">
        <f t="shared" si="2"/>
        <v>39.872521246458923</v>
      </c>
      <c r="Q141" s="3">
        <f>$D141*TCA!P141/100</f>
        <v>4.57</v>
      </c>
      <c r="R141" s="3">
        <f>$D141*TCA!Q141/100</f>
        <v>563</v>
      </c>
      <c r="S141" s="3">
        <f>$D141*TCA!R141/100</f>
        <v>5</v>
      </c>
      <c r="T141" s="3">
        <f>$D141*TCA!S141/100</f>
        <v>3.1</v>
      </c>
      <c r="U141" s="3">
        <f>$D141*TCA!T141/100</f>
        <v>0</v>
      </c>
      <c r="V141" s="3">
        <f>$D141*TCA!U141/100</f>
        <v>1</v>
      </c>
      <c r="W141" s="3">
        <f>$D141*TCA!V141/100</f>
        <v>184</v>
      </c>
      <c r="X141" s="3">
        <f>$D141*TCA!W141/100</f>
        <v>0</v>
      </c>
    </row>
    <row r="142" spans="1:24" x14ac:dyDescent="0.25">
      <c r="A142" s="3" t="s">
        <v>2025</v>
      </c>
      <c r="B142" s="3" t="s">
        <v>280</v>
      </c>
      <c r="C142" s="3" t="s">
        <v>281</v>
      </c>
      <c r="D142" s="3">
        <v>100</v>
      </c>
      <c r="E142" s="3">
        <f>$D142*TCA!E142/100</f>
        <v>173.9</v>
      </c>
      <c r="F142" s="3">
        <f>$D142*TCA!F142/100</f>
        <v>3.81</v>
      </c>
      <c r="G142" s="3">
        <f>$D142*TCA!G142/100</f>
        <v>11.06</v>
      </c>
      <c r="H142" s="3">
        <f>$D142*TCA!H142/100</f>
        <v>14.78</v>
      </c>
      <c r="I142" s="3">
        <f>$D142*TCA!I142/100</f>
        <v>0</v>
      </c>
      <c r="J142" s="3">
        <f>$D142*TCA!J142/100</f>
        <v>0</v>
      </c>
      <c r="K142" s="3">
        <f>$D142*TCA!K142/100</f>
        <v>0</v>
      </c>
      <c r="L142" s="3">
        <f>$D142*TCA!L142/100</f>
        <v>0</v>
      </c>
      <c r="M142" s="3">
        <f>$D142*TCA!M142/100</f>
        <v>0</v>
      </c>
      <c r="N142" s="3">
        <f>$D142*TCA!N142/100</f>
        <v>4</v>
      </c>
      <c r="O142" s="3">
        <f>$D142*TCA!O142/100</f>
        <v>45</v>
      </c>
      <c r="P142" s="3">
        <f t="shared" si="2"/>
        <v>11.811023622047244</v>
      </c>
      <c r="Q142" s="3">
        <f>$D142*TCA!P142/100</f>
        <v>0.4</v>
      </c>
      <c r="R142" s="3">
        <f>$D142*TCA!Q142/100</f>
        <v>107</v>
      </c>
      <c r="S142" s="3">
        <f>$D142*TCA!R142/100</f>
        <v>343</v>
      </c>
      <c r="T142" s="3">
        <f>$D142*TCA!S142/100</f>
        <v>0.36</v>
      </c>
      <c r="U142" s="3">
        <f>$D142*TCA!T142/100</f>
        <v>0</v>
      </c>
      <c r="V142" s="3">
        <f>$D142*TCA!U142/100</f>
        <v>0</v>
      </c>
      <c r="W142" s="3">
        <f>$D142*TCA!V142/100</f>
        <v>0</v>
      </c>
      <c r="X142" s="3">
        <f>$D142*TCA!W142/100</f>
        <v>0</v>
      </c>
    </row>
    <row r="143" spans="1:24" x14ac:dyDescent="0.25">
      <c r="A143" s="3" t="s">
        <v>2025</v>
      </c>
      <c r="B143" s="3" t="s">
        <v>282</v>
      </c>
      <c r="C143" s="3" t="s">
        <v>283</v>
      </c>
      <c r="D143" s="3">
        <v>100</v>
      </c>
      <c r="E143" s="3">
        <f>$D143*TCA!E143/100</f>
        <v>266.33999999999997</v>
      </c>
      <c r="F143" s="3">
        <f>$D143*TCA!F143/100</f>
        <v>4.9800000000000004</v>
      </c>
      <c r="G143" s="3">
        <f>$D143*TCA!G143/100</f>
        <v>10.98</v>
      </c>
      <c r="H143" s="3">
        <f>$D143*TCA!H143/100</f>
        <v>36.9</v>
      </c>
      <c r="I143" s="3">
        <f>$D143*TCA!I143/100</f>
        <v>0</v>
      </c>
      <c r="J143" s="3">
        <f>$D143*TCA!J143/100</f>
        <v>0</v>
      </c>
      <c r="K143" s="3">
        <f>$D143*TCA!K143/100</f>
        <v>0</v>
      </c>
      <c r="L143" s="3">
        <f>$D143*TCA!L143/100</f>
        <v>0</v>
      </c>
      <c r="M143" s="3">
        <f>$D143*TCA!M143/100</f>
        <v>0</v>
      </c>
      <c r="N143" s="3">
        <f>$D143*TCA!N143/100</f>
        <v>36</v>
      </c>
      <c r="O143" s="3">
        <f>$D143*TCA!O143/100</f>
        <v>171</v>
      </c>
      <c r="P143" s="3">
        <f t="shared" si="2"/>
        <v>34.337349397590359</v>
      </c>
      <c r="Q143" s="3">
        <f>$D143*TCA!P143/100</f>
        <v>0.52</v>
      </c>
      <c r="R143" s="3">
        <f>$D143*TCA!Q143/100</f>
        <v>144</v>
      </c>
      <c r="S143" s="3">
        <f>$D143*TCA!R143/100</f>
        <v>452</v>
      </c>
      <c r="T143" s="3">
        <f>$D143*TCA!S143/100</f>
        <v>0.8</v>
      </c>
      <c r="U143" s="3">
        <f>$D143*TCA!T143/100</f>
        <v>0</v>
      </c>
      <c r="V143" s="3">
        <f>$D143*TCA!U143/100</f>
        <v>0</v>
      </c>
      <c r="W143" s="3">
        <f>$D143*TCA!V143/100</f>
        <v>0</v>
      </c>
      <c r="X143" s="3">
        <f>$D143*TCA!W143/100</f>
        <v>0</v>
      </c>
    </row>
    <row r="144" spans="1:24" x14ac:dyDescent="0.25">
      <c r="A144" s="3" t="s">
        <v>2025</v>
      </c>
      <c r="B144" s="3" t="s">
        <v>284</v>
      </c>
      <c r="C144" s="3" t="s">
        <v>285</v>
      </c>
      <c r="D144" s="3">
        <v>100</v>
      </c>
      <c r="E144" s="3">
        <f>$D144*TCA!E144/100</f>
        <v>341.91</v>
      </c>
      <c r="F144" s="3">
        <f>$D144*TCA!F144/100</f>
        <v>9.3800000000000008</v>
      </c>
      <c r="G144" s="3">
        <f>$D144*TCA!G144/100</f>
        <v>16.989999999999998</v>
      </c>
      <c r="H144" s="3">
        <f>$D144*TCA!H144/100</f>
        <v>37.869999999999997</v>
      </c>
      <c r="I144" s="3">
        <f>$D144*TCA!I144/100</f>
        <v>0</v>
      </c>
      <c r="J144" s="3">
        <f>$D144*TCA!J144/100</f>
        <v>0</v>
      </c>
      <c r="K144" s="3">
        <f>$D144*TCA!K144/100</f>
        <v>0</v>
      </c>
      <c r="L144" s="3">
        <f>$D144*TCA!L144/100</f>
        <v>0</v>
      </c>
      <c r="M144" s="3">
        <f>$D144*TCA!M144/100</f>
        <v>0</v>
      </c>
      <c r="N144" s="3">
        <f>$D144*TCA!N144/100</f>
        <v>99</v>
      </c>
      <c r="O144" s="3">
        <f>$D144*TCA!O144/100</f>
        <v>255</v>
      </c>
      <c r="P144" s="3">
        <f t="shared" si="2"/>
        <v>27.18550106609808</v>
      </c>
      <c r="Q144" s="3">
        <f>$D144*TCA!P144/100</f>
        <v>1.41</v>
      </c>
      <c r="R144" s="3">
        <f>$D144*TCA!Q144/100</f>
        <v>128</v>
      </c>
      <c r="S144" s="3">
        <f>$D144*TCA!R144/100</f>
        <v>447</v>
      </c>
      <c r="T144" s="3">
        <f>$D144*TCA!S144/100</f>
        <v>1.1000000000000001</v>
      </c>
      <c r="U144" s="3">
        <f>$D144*TCA!T144/100</f>
        <v>0</v>
      </c>
      <c r="V144" s="3">
        <f>$D144*TCA!U144/100</f>
        <v>0</v>
      </c>
      <c r="W144" s="3">
        <f>$D144*TCA!V144/100</f>
        <v>0</v>
      </c>
      <c r="X144" s="3">
        <f>$D144*TCA!W144/100</f>
        <v>0</v>
      </c>
    </row>
    <row r="145" spans="1:24" x14ac:dyDescent="0.25">
      <c r="A145" s="3" t="s">
        <v>2025</v>
      </c>
      <c r="B145" s="3" t="s">
        <v>286</v>
      </c>
      <c r="C145" s="3" t="s">
        <v>287</v>
      </c>
      <c r="D145" s="3">
        <v>100</v>
      </c>
      <c r="E145" s="3">
        <f>$D145*TCA!E145/100</f>
        <v>344.1</v>
      </c>
      <c r="F145" s="3">
        <f>$D145*TCA!F145/100</f>
        <v>13</v>
      </c>
      <c r="G145" s="3">
        <f>$D145*TCA!G145/100</f>
        <v>1.7</v>
      </c>
      <c r="H145" s="3">
        <f>$D145*TCA!H145/100</f>
        <v>69.2</v>
      </c>
      <c r="I145" s="3">
        <f>$D145*TCA!I145/100</f>
        <v>2.9</v>
      </c>
      <c r="J145" s="3">
        <f>$D145*TCA!J145/100</f>
        <v>0</v>
      </c>
      <c r="K145" s="3">
        <f>$D145*TCA!K145/100</f>
        <v>0</v>
      </c>
      <c r="L145" s="3">
        <f>$D145*TCA!L145/100</f>
        <v>0</v>
      </c>
      <c r="M145" s="3">
        <f>$D145*TCA!M145/100</f>
        <v>0</v>
      </c>
      <c r="N145" s="3">
        <f>$D145*TCA!N145/100</f>
        <v>54</v>
      </c>
      <c r="O145" s="3">
        <f>$D145*TCA!O145/100</f>
        <v>0</v>
      </c>
      <c r="P145" s="3">
        <f t="shared" si="2"/>
        <v>0</v>
      </c>
      <c r="Q145" s="3">
        <f>$D145*TCA!P145/100</f>
        <v>3.7</v>
      </c>
      <c r="R145" s="3">
        <f>$D145*TCA!Q145/100</f>
        <v>0</v>
      </c>
      <c r="S145" s="3">
        <f>$D145*TCA!R145/100</f>
        <v>0</v>
      </c>
      <c r="T145" s="3">
        <f>$D145*TCA!S145/100</f>
        <v>0</v>
      </c>
      <c r="U145" s="3">
        <f>$D145*TCA!T145/100</f>
        <v>0</v>
      </c>
      <c r="V145" s="3">
        <f>$D145*TCA!U145/100</f>
        <v>0</v>
      </c>
      <c r="W145" s="3">
        <f>$D145*TCA!V145/100</f>
        <v>0</v>
      </c>
      <c r="X145" s="3">
        <f>$D145*TCA!W145/100</f>
        <v>0</v>
      </c>
    </row>
    <row r="146" spans="1:24" x14ac:dyDescent="0.25">
      <c r="A146" s="3" t="s">
        <v>2025</v>
      </c>
      <c r="B146" s="3" t="s">
        <v>288</v>
      </c>
      <c r="C146" s="3" t="s">
        <v>289</v>
      </c>
      <c r="D146" s="3">
        <v>100</v>
      </c>
      <c r="E146" s="3">
        <f>$D146*TCA!E146/100</f>
        <v>387.28</v>
      </c>
      <c r="F146" s="3">
        <f>$D146*TCA!F146/100</f>
        <v>23.15</v>
      </c>
      <c r="G146" s="3">
        <f>$D146*TCA!G146/100</f>
        <v>9.7200000000000006</v>
      </c>
      <c r="H146" s="3">
        <f>$D146*TCA!H146/100</f>
        <v>51.8</v>
      </c>
      <c r="I146" s="3">
        <f>$D146*TCA!I146/100</f>
        <v>13.2</v>
      </c>
      <c r="J146" s="3">
        <f>$D146*TCA!J146/100</f>
        <v>1.66</v>
      </c>
      <c r="K146" s="3">
        <f>$D146*TCA!K146/100</f>
        <v>1.37</v>
      </c>
      <c r="L146" s="3">
        <f>$D146*TCA!L146/100</f>
        <v>6.01</v>
      </c>
      <c r="M146" s="3">
        <f>$D146*TCA!M146/100</f>
        <v>0</v>
      </c>
      <c r="N146" s="3">
        <f>$D146*TCA!N146/100</f>
        <v>39</v>
      </c>
      <c r="O146" s="3">
        <f>$D146*TCA!O146/100</f>
        <v>842</v>
      </c>
      <c r="P146" s="3">
        <f t="shared" si="2"/>
        <v>36.371490280777543</v>
      </c>
      <c r="Q146" s="3">
        <f>$D146*TCA!P146/100</f>
        <v>6.26</v>
      </c>
      <c r="R146" s="3">
        <f>$D146*TCA!Q146/100</f>
        <v>892</v>
      </c>
      <c r="S146" s="3">
        <f>$D146*TCA!R146/100</f>
        <v>12</v>
      </c>
      <c r="T146" s="3">
        <f>$D146*TCA!S146/100</f>
        <v>12.29</v>
      </c>
      <c r="U146" s="3">
        <f>$D146*TCA!T146/100</f>
        <v>0</v>
      </c>
      <c r="V146" s="3">
        <f>$D146*TCA!U146/100</f>
        <v>0</v>
      </c>
      <c r="W146" s="3">
        <f>$D146*TCA!V146/100</f>
        <v>281</v>
      </c>
      <c r="X146" s="3">
        <f>$D146*TCA!W146/100</f>
        <v>0</v>
      </c>
    </row>
    <row r="147" spans="1:24" x14ac:dyDescent="0.25">
      <c r="A147" s="3" t="s">
        <v>2025</v>
      </c>
      <c r="B147" s="3" t="s">
        <v>290</v>
      </c>
      <c r="C147" s="3" t="s">
        <v>291</v>
      </c>
      <c r="D147" s="3">
        <v>100</v>
      </c>
      <c r="E147" s="3">
        <f>$D147*TCA!E147/100</f>
        <v>361.47</v>
      </c>
      <c r="F147" s="3">
        <f>$D147*TCA!F147/100</f>
        <v>13.68</v>
      </c>
      <c r="G147" s="3">
        <f>$D147*TCA!G147/100</f>
        <v>2.4700000000000002</v>
      </c>
      <c r="H147" s="3">
        <f>$D147*TCA!H147/100</f>
        <v>71.13</v>
      </c>
      <c r="I147" s="3">
        <f>$D147*TCA!I147/100</f>
        <v>7.1</v>
      </c>
      <c r="J147" s="3">
        <f>$D147*TCA!J147/100</f>
        <v>0.48</v>
      </c>
      <c r="K147" s="3">
        <f>$D147*TCA!K147/100</f>
        <v>1.02</v>
      </c>
      <c r="L147" s="3">
        <f>$D147*TCA!L147/100</f>
        <v>1.36</v>
      </c>
      <c r="M147" s="3">
        <f>$D147*TCA!M147/100</f>
        <v>0</v>
      </c>
      <c r="N147" s="3">
        <f>$D147*TCA!N147/100</f>
        <v>74</v>
      </c>
      <c r="O147" s="3">
        <f>$D147*TCA!O147/100</f>
        <v>195</v>
      </c>
      <c r="P147" s="3">
        <f t="shared" si="2"/>
        <v>14.254385964912281</v>
      </c>
      <c r="Q147" s="3">
        <f>$D147*TCA!P147/100</f>
        <v>3.15</v>
      </c>
      <c r="R147" s="3">
        <f>$D147*TCA!Q147/100</f>
        <v>228</v>
      </c>
      <c r="S147" s="3">
        <f>$D147*TCA!R147/100</f>
        <v>655</v>
      </c>
      <c r="T147" s="3">
        <f>$D147*TCA!S147/100</f>
        <v>1.62</v>
      </c>
      <c r="U147" s="3">
        <f>$D147*TCA!T147/100</f>
        <v>0</v>
      </c>
      <c r="V147" s="3">
        <f>$D147*TCA!U147/100</f>
        <v>0</v>
      </c>
      <c r="W147" s="3">
        <f>$D147*TCA!V147/100</f>
        <v>87</v>
      </c>
      <c r="X147" s="3">
        <f>$D147*TCA!W147/100</f>
        <v>0</v>
      </c>
    </row>
    <row r="148" spans="1:24" x14ac:dyDescent="0.25">
      <c r="A148" s="3" t="s">
        <v>2025</v>
      </c>
      <c r="B148" s="3" t="s">
        <v>292</v>
      </c>
      <c r="C148" s="3" t="s">
        <v>293</v>
      </c>
      <c r="D148" s="3">
        <v>100</v>
      </c>
      <c r="E148" s="3">
        <f>$D148*TCA!E148/100</f>
        <v>358.49</v>
      </c>
      <c r="F148" s="3">
        <f>$D148*TCA!F148/100</f>
        <v>15.55</v>
      </c>
      <c r="G148" s="3">
        <f>$D148*TCA!G148/100</f>
        <v>4.25</v>
      </c>
      <c r="H148" s="3">
        <f>$D148*TCA!H148/100</f>
        <v>64.510000000000005</v>
      </c>
      <c r="I148" s="3">
        <f>$D148*TCA!I148/100</f>
        <v>42.8</v>
      </c>
      <c r="J148" s="3">
        <f>$D148*TCA!J148/100</f>
        <v>0.63</v>
      </c>
      <c r="K148" s="3">
        <f>$D148*TCA!K148/100</f>
        <v>0.64</v>
      </c>
      <c r="L148" s="3">
        <f>$D148*TCA!L148/100</f>
        <v>2.21</v>
      </c>
      <c r="M148" s="3">
        <f>$D148*TCA!M148/100</f>
        <v>0</v>
      </c>
      <c r="N148" s="3">
        <f>$D148*TCA!N148/100</f>
        <v>73</v>
      </c>
      <c r="O148" s="3">
        <f>$D148*TCA!O148/100</f>
        <v>1013</v>
      </c>
      <c r="P148" s="3">
        <f t="shared" si="2"/>
        <v>65.144694533762049</v>
      </c>
      <c r="Q148" s="3">
        <f>$D148*TCA!P148/100</f>
        <v>10.57</v>
      </c>
      <c r="R148" s="3">
        <f>$D148*TCA!Q148/100</f>
        <v>1182</v>
      </c>
      <c r="S148" s="3">
        <f>$D148*TCA!R148/100</f>
        <v>2</v>
      </c>
      <c r="T148" s="3">
        <f>$D148*TCA!S148/100</f>
        <v>7.27</v>
      </c>
      <c r="U148" s="3">
        <f>$D148*TCA!T148/100</f>
        <v>0</v>
      </c>
      <c r="V148" s="3">
        <f>$D148*TCA!U148/100</f>
        <v>0</v>
      </c>
      <c r="W148" s="3">
        <f>$D148*TCA!V148/100</f>
        <v>79</v>
      </c>
      <c r="X148" s="3">
        <f>$D148*TCA!W148/100</f>
        <v>0</v>
      </c>
    </row>
    <row r="149" spans="1:24" x14ac:dyDescent="0.25">
      <c r="A149" s="3" t="s">
        <v>2025</v>
      </c>
      <c r="B149" s="3" t="s">
        <v>294</v>
      </c>
      <c r="C149" s="3" t="s">
        <v>295</v>
      </c>
      <c r="D149" s="3">
        <v>100</v>
      </c>
      <c r="E149" s="3">
        <f>$D149*TCA!E149/100</f>
        <v>351.49</v>
      </c>
      <c r="F149" s="3">
        <f>$D149*TCA!F149/100</f>
        <v>12.68</v>
      </c>
      <c r="G149" s="3">
        <f>$D149*TCA!G149/100</f>
        <v>1.05</v>
      </c>
      <c r="H149" s="3">
        <f>$D149*TCA!H149/100</f>
        <v>72.83</v>
      </c>
      <c r="I149" s="3">
        <f>$D149*TCA!I149/100</f>
        <v>3.9</v>
      </c>
      <c r="J149" s="3">
        <f>$D149*TCA!J149/100</f>
        <v>0.15</v>
      </c>
      <c r="K149" s="3">
        <f>$D149*TCA!K149/100</f>
        <v>0.12</v>
      </c>
      <c r="L149" s="3">
        <f>$D149*TCA!L149/100</f>
        <v>0.43</v>
      </c>
      <c r="M149" s="3">
        <f>$D149*TCA!M149/100</f>
        <v>0</v>
      </c>
      <c r="N149" s="3">
        <f>$D149*TCA!N149/100</f>
        <v>17</v>
      </c>
      <c r="O149" s="3">
        <f>$D149*TCA!O149/100</f>
        <v>136</v>
      </c>
      <c r="P149" s="3">
        <f t="shared" si="2"/>
        <v>10.725552050473187</v>
      </c>
      <c r="Q149" s="3">
        <f>$D149*TCA!P149/100</f>
        <v>1.23</v>
      </c>
      <c r="R149" s="3">
        <f>$D149*TCA!Q149/100</f>
        <v>186</v>
      </c>
      <c r="S149" s="3">
        <f>$D149*TCA!R149/100</f>
        <v>1</v>
      </c>
      <c r="T149" s="3">
        <f>$D149*TCA!S149/100</f>
        <v>1.05</v>
      </c>
      <c r="U149" s="3">
        <f>$D149*TCA!T149/100</f>
        <v>0</v>
      </c>
      <c r="V149" s="3">
        <f>$D149*TCA!U149/100</f>
        <v>0</v>
      </c>
      <c r="W149" s="3">
        <f>$D149*TCA!V149/100</f>
        <v>72</v>
      </c>
      <c r="X149" s="3">
        <f>$D149*TCA!W149/100</f>
        <v>0</v>
      </c>
    </row>
    <row r="150" spans="1:24" x14ac:dyDescent="0.25">
      <c r="A150" s="4"/>
      <c r="B150" s="4"/>
      <c r="C150" s="4"/>
      <c r="D150" s="3">
        <v>100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x14ac:dyDescent="0.25">
      <c r="A151" s="3" t="s">
        <v>296</v>
      </c>
      <c r="B151" s="3" t="s">
        <v>297</v>
      </c>
      <c r="C151" s="3" t="s">
        <v>298</v>
      </c>
      <c r="D151" s="3">
        <v>100</v>
      </c>
      <c r="E151" s="3">
        <f>$D151*TCA!E151/100</f>
        <v>101.7</v>
      </c>
      <c r="F151" s="3">
        <f>$D151*TCA!F151/100</f>
        <v>1.4</v>
      </c>
      <c r="G151" s="3">
        <f>$D151*TCA!G151/100</f>
        <v>0.1</v>
      </c>
      <c r="H151" s="3">
        <f>$D151*TCA!H151/100</f>
        <v>23.8</v>
      </c>
      <c r="I151" s="3">
        <f>$D151*TCA!I151/100</f>
        <v>0</v>
      </c>
      <c r="J151" s="3">
        <f>$D151*TCA!J151/100</f>
        <v>0</v>
      </c>
      <c r="K151" s="3">
        <f>$D151*TCA!K151/100</f>
        <v>0</v>
      </c>
      <c r="L151" s="3">
        <f>$D151*TCA!L151/100</f>
        <v>0</v>
      </c>
      <c r="M151" s="3">
        <f>$D151*TCA!M151/100</f>
        <v>0</v>
      </c>
      <c r="N151" s="3">
        <f>$D151*TCA!N151/100</f>
        <v>13</v>
      </c>
      <c r="O151" s="3">
        <f>$D151*TCA!O151/100</f>
        <v>58</v>
      </c>
      <c r="P151" s="3">
        <f t="shared" si="2"/>
        <v>41.428571428571431</v>
      </c>
      <c r="Q151" s="3">
        <f>$D151*TCA!P151/100</f>
        <v>0.7</v>
      </c>
      <c r="R151" s="3">
        <f>$D151*TCA!Q151/100</f>
        <v>0</v>
      </c>
      <c r="S151" s="3">
        <f>$D151*TCA!R151/100</f>
        <v>0</v>
      </c>
      <c r="T151" s="3">
        <f>$D151*TCA!S151/100</f>
        <v>0</v>
      </c>
      <c r="U151" s="3">
        <f>$D151*TCA!T151/100</f>
        <v>0.7</v>
      </c>
      <c r="V151" s="3">
        <f>$D151*TCA!U151/100</f>
        <v>0</v>
      </c>
      <c r="W151" s="3">
        <f>$D151*TCA!V151/100</f>
        <v>0</v>
      </c>
      <c r="X151" s="3">
        <f>$D151*TCA!W151/100</f>
        <v>0</v>
      </c>
    </row>
    <row r="152" spans="1:24" x14ac:dyDescent="0.25">
      <c r="A152" s="3" t="s">
        <v>296</v>
      </c>
      <c r="B152" s="3" t="s">
        <v>299</v>
      </c>
      <c r="C152" s="3" t="s">
        <v>300</v>
      </c>
      <c r="D152" s="3">
        <v>100</v>
      </c>
      <c r="E152" s="3">
        <f>$D152*TCA!E152/100</f>
        <v>99.3</v>
      </c>
      <c r="F152" s="3">
        <f>$D152*TCA!F152/100</f>
        <v>1.4</v>
      </c>
      <c r="G152" s="3">
        <f>$D152*TCA!G152/100</f>
        <v>0.1</v>
      </c>
      <c r="H152" s="3">
        <f>$D152*TCA!H152/100</f>
        <v>23.2</v>
      </c>
      <c r="I152" s="3">
        <f>$D152*TCA!I152/100</f>
        <v>0</v>
      </c>
      <c r="J152" s="3">
        <f>$D152*TCA!J152/100</f>
        <v>0</v>
      </c>
      <c r="K152" s="3">
        <f>$D152*TCA!K152/100</f>
        <v>0</v>
      </c>
      <c r="L152" s="3">
        <f>$D152*TCA!L152/100</f>
        <v>0</v>
      </c>
      <c r="M152" s="3">
        <f>$D152*TCA!M152/100</f>
        <v>0</v>
      </c>
      <c r="N152" s="3">
        <f>$D152*TCA!N152/100</f>
        <v>17</v>
      </c>
      <c r="O152" s="3">
        <f>$D152*TCA!O152/100</f>
        <v>91</v>
      </c>
      <c r="P152" s="3">
        <f t="shared" si="2"/>
        <v>65</v>
      </c>
      <c r="Q152" s="3">
        <f>$D152*TCA!P152/100</f>
        <v>1.4</v>
      </c>
      <c r="R152" s="3">
        <f>$D152*TCA!Q152/100</f>
        <v>0</v>
      </c>
      <c r="S152" s="3">
        <f>$D152*TCA!R152/100</f>
        <v>0</v>
      </c>
      <c r="T152" s="3">
        <f>$D152*TCA!S152/100</f>
        <v>0</v>
      </c>
      <c r="U152" s="3">
        <f>$D152*TCA!T152/100</f>
        <v>0.1</v>
      </c>
      <c r="V152" s="3">
        <f>$D152*TCA!U152/100</f>
        <v>0</v>
      </c>
      <c r="W152" s="3">
        <f>$D152*TCA!V152/100</f>
        <v>0</v>
      </c>
      <c r="X152" s="3">
        <f>$D152*TCA!W152/100</f>
        <v>0</v>
      </c>
    </row>
    <row r="153" spans="1:24" x14ac:dyDescent="0.25">
      <c r="A153" s="3" t="s">
        <v>296</v>
      </c>
      <c r="B153" s="3" t="s">
        <v>301</v>
      </c>
      <c r="C153" s="3" t="s">
        <v>302</v>
      </c>
      <c r="D153" s="3">
        <v>100</v>
      </c>
      <c r="E153" s="3">
        <f>$D153*TCA!E153/100</f>
        <v>354.7</v>
      </c>
      <c r="F153" s="3">
        <f>$D153*TCA!F153/100</f>
        <v>0.3</v>
      </c>
      <c r="G153" s="3">
        <f>$D153*TCA!G153/100</f>
        <v>0.1</v>
      </c>
      <c r="H153" s="3">
        <f>$D153*TCA!H153/100</f>
        <v>88.15</v>
      </c>
      <c r="I153" s="3">
        <f>$D153*TCA!I153/100</f>
        <v>3.4</v>
      </c>
      <c r="J153" s="3">
        <f>$D153*TCA!J153/100</f>
        <v>0.02</v>
      </c>
      <c r="K153" s="3">
        <f>$D153*TCA!K153/100</f>
        <v>0</v>
      </c>
      <c r="L153" s="3">
        <f>$D153*TCA!L153/100</f>
        <v>0.05</v>
      </c>
      <c r="M153" s="3">
        <f>$D153*TCA!M153/100</f>
        <v>0</v>
      </c>
      <c r="N153" s="3">
        <f>$D153*TCA!N153/100</f>
        <v>40</v>
      </c>
      <c r="O153" s="3">
        <f>$D153*TCA!O153/100</f>
        <v>5</v>
      </c>
      <c r="P153" s="3">
        <f t="shared" si="2"/>
        <v>16.666666666666668</v>
      </c>
      <c r="Q153" s="3">
        <f>$D153*TCA!P153/100</f>
        <v>0.33</v>
      </c>
      <c r="R153" s="3">
        <f>$D153*TCA!Q153/100</f>
        <v>11</v>
      </c>
      <c r="S153" s="3">
        <f>$D153*TCA!R153/100</f>
        <v>2</v>
      </c>
      <c r="T153" s="3">
        <f>$D153*TCA!S153/100</f>
        <v>7.0000000000000007E-2</v>
      </c>
      <c r="U153" s="3">
        <f>$D153*TCA!T153/100</f>
        <v>0</v>
      </c>
      <c r="V153" s="3">
        <f>$D153*TCA!U153/100</f>
        <v>0</v>
      </c>
      <c r="W153" s="3">
        <f>$D153*TCA!V153/100</f>
        <v>7</v>
      </c>
      <c r="X153" s="3">
        <f>$D153*TCA!W153/100</f>
        <v>0</v>
      </c>
    </row>
    <row r="154" spans="1:24" x14ac:dyDescent="0.25">
      <c r="A154" s="3" t="s">
        <v>296</v>
      </c>
      <c r="B154" s="3" t="s">
        <v>303</v>
      </c>
      <c r="C154" s="3" t="s">
        <v>304</v>
      </c>
      <c r="D154" s="3">
        <v>100</v>
      </c>
      <c r="E154" s="3">
        <f>$D154*TCA!E154/100</f>
        <v>335.3</v>
      </c>
      <c r="F154" s="3">
        <f>$D154*TCA!F154/100</f>
        <v>1.7</v>
      </c>
      <c r="G154" s="3">
        <f>$D154*TCA!G154/100</f>
        <v>0.5</v>
      </c>
      <c r="H154" s="3">
        <f>$D154*TCA!H154/100</f>
        <v>81</v>
      </c>
      <c r="I154" s="3">
        <f>$D154*TCA!I154/100</f>
        <v>0</v>
      </c>
      <c r="J154" s="3">
        <f>$D154*TCA!J154/100</f>
        <v>0</v>
      </c>
      <c r="K154" s="3">
        <f>$D154*TCA!K154/100</f>
        <v>0</v>
      </c>
      <c r="L154" s="3">
        <f>$D154*TCA!L154/100</f>
        <v>0</v>
      </c>
      <c r="M154" s="3">
        <f>$D154*TCA!M154/100</f>
        <v>0</v>
      </c>
      <c r="N154" s="3">
        <f>$D154*TCA!N154/100</f>
        <v>148</v>
      </c>
      <c r="O154" s="3">
        <f>$D154*TCA!O154/100</f>
        <v>104</v>
      </c>
      <c r="P154" s="3">
        <f t="shared" si="2"/>
        <v>61.176470588235297</v>
      </c>
      <c r="Q154" s="3">
        <f>$D154*TCA!P154/100</f>
        <v>5.4</v>
      </c>
      <c r="R154" s="3">
        <f>$D154*TCA!Q154/100</f>
        <v>0</v>
      </c>
      <c r="S154" s="3">
        <f>$D154*TCA!R154/100</f>
        <v>0</v>
      </c>
      <c r="T154" s="3">
        <f>$D154*TCA!S154/100</f>
        <v>0</v>
      </c>
      <c r="U154" s="3">
        <f>$D154*TCA!T154/100</f>
        <v>14</v>
      </c>
      <c r="V154" s="3">
        <f>$D154*TCA!U154/100</f>
        <v>0</v>
      </c>
      <c r="W154" s="3">
        <f>$D154*TCA!V154/100</f>
        <v>0</v>
      </c>
      <c r="X154" s="3">
        <f>$D154*TCA!W154/100</f>
        <v>0</v>
      </c>
    </row>
    <row r="155" spans="1:24" x14ac:dyDescent="0.25">
      <c r="A155" s="3" t="s">
        <v>296</v>
      </c>
      <c r="B155" s="3" t="s">
        <v>305</v>
      </c>
      <c r="C155" s="3" t="s">
        <v>306</v>
      </c>
      <c r="D155" s="3">
        <v>100</v>
      </c>
      <c r="E155" s="3">
        <f>$D155*TCA!E155/100</f>
        <v>77.62</v>
      </c>
      <c r="F155" s="3">
        <f>$D155*TCA!F155/100</f>
        <v>1.37</v>
      </c>
      <c r="G155" s="3">
        <f>$D155*TCA!G155/100</f>
        <v>0.14000000000000001</v>
      </c>
      <c r="H155" s="3">
        <f>$D155*TCA!H155/100</f>
        <v>17.72</v>
      </c>
      <c r="I155" s="3">
        <f>$D155*TCA!I155/100</f>
        <v>2.5</v>
      </c>
      <c r="J155" s="3">
        <f>$D155*TCA!J155/100</f>
        <v>0.04</v>
      </c>
      <c r="K155" s="3">
        <f>$D155*TCA!K155/100</f>
        <v>0</v>
      </c>
      <c r="L155" s="3">
        <f>$D155*TCA!L155/100</f>
        <v>0.08</v>
      </c>
      <c r="M155" s="3">
        <f>$D155*TCA!M155/100</f>
        <v>0</v>
      </c>
      <c r="N155" s="3">
        <f>$D155*TCA!N155/100</f>
        <v>27</v>
      </c>
      <c r="O155" s="3">
        <f>$D155*TCA!O155/100</f>
        <v>32</v>
      </c>
      <c r="P155" s="3">
        <f t="shared" si="2"/>
        <v>23.357664233576642</v>
      </c>
      <c r="Q155" s="3">
        <f>$D155*TCA!P155/100</f>
        <v>0.72</v>
      </c>
      <c r="R155" s="3">
        <f>$D155*TCA!Q155/100</f>
        <v>230</v>
      </c>
      <c r="S155" s="3">
        <f>$D155*TCA!R155/100</f>
        <v>27</v>
      </c>
      <c r="T155" s="3">
        <f>$D155*TCA!S155/100</f>
        <v>0.2</v>
      </c>
      <c r="U155" s="3">
        <f>$D155*TCA!T155/100</f>
        <v>13</v>
      </c>
      <c r="V155" s="3">
        <f>$D155*TCA!U155/100</f>
        <v>787</v>
      </c>
      <c r="W155" s="3">
        <f>$D155*TCA!V155/100</f>
        <v>6</v>
      </c>
      <c r="X155" s="3">
        <f>$D155*TCA!W155/100</f>
        <v>0</v>
      </c>
    </row>
    <row r="156" spans="1:24" x14ac:dyDescent="0.25">
      <c r="A156" s="3" t="s">
        <v>296</v>
      </c>
      <c r="B156" s="3" t="s">
        <v>307</v>
      </c>
      <c r="C156" s="3" t="s">
        <v>308</v>
      </c>
      <c r="D156" s="3">
        <v>100</v>
      </c>
      <c r="E156" s="3">
        <f>$D156*TCA!E156/100</f>
        <v>87.21</v>
      </c>
      <c r="F156" s="3">
        <f>$D156*TCA!F156/100</f>
        <v>1.57</v>
      </c>
      <c r="G156" s="3">
        <f>$D156*TCA!G156/100</f>
        <v>0.05</v>
      </c>
      <c r="H156" s="3">
        <f>$D156*TCA!H156/100</f>
        <v>20.12</v>
      </c>
      <c r="I156" s="3">
        <f>$D156*TCA!I156/100</f>
        <v>3</v>
      </c>
      <c r="J156" s="3">
        <f>$D156*TCA!J156/100</f>
        <v>0.02</v>
      </c>
      <c r="K156" s="3">
        <f>$D156*TCA!K156/100</f>
        <v>0</v>
      </c>
      <c r="L156" s="3">
        <f>$D156*TCA!L156/100</f>
        <v>0.01</v>
      </c>
      <c r="M156" s="3">
        <f>$D156*TCA!M156/100</f>
        <v>0</v>
      </c>
      <c r="N156" s="3">
        <f>$D156*TCA!N156/100</f>
        <v>30</v>
      </c>
      <c r="O156" s="3">
        <f>$D156*TCA!O156/100</f>
        <v>47</v>
      </c>
      <c r="P156" s="3">
        <f t="shared" si="2"/>
        <v>29.936305732484076</v>
      </c>
      <c r="Q156" s="3">
        <f>$D156*TCA!P156/100</f>
        <v>0.61</v>
      </c>
      <c r="R156" s="3">
        <f>$D156*TCA!Q156/100</f>
        <v>337</v>
      </c>
      <c r="S156" s="3">
        <f>$D156*TCA!R156/100</f>
        <v>55</v>
      </c>
      <c r="T156" s="3">
        <f>$D156*TCA!S156/100</f>
        <v>0.3</v>
      </c>
      <c r="U156" s="3">
        <f>$D156*TCA!T156/100</f>
        <v>2</v>
      </c>
      <c r="V156" s="3">
        <f>$D156*TCA!U156/100</f>
        <v>709</v>
      </c>
      <c r="W156" s="3">
        <f>$D156*TCA!V156/100</f>
        <v>11</v>
      </c>
      <c r="X156" s="3">
        <f>$D156*TCA!W156/100</f>
        <v>0</v>
      </c>
    </row>
    <row r="157" spans="1:24" x14ac:dyDescent="0.25">
      <c r="A157" s="3" t="s">
        <v>296</v>
      </c>
      <c r="B157" s="3" t="s">
        <v>309</v>
      </c>
      <c r="C157" s="3" t="s">
        <v>310</v>
      </c>
      <c r="D157" s="3">
        <v>100</v>
      </c>
      <c r="E157" s="3">
        <f>$D157*TCA!E157/100</f>
        <v>333.33</v>
      </c>
      <c r="F157" s="3">
        <f>$D157*TCA!F157/100</f>
        <v>3.33</v>
      </c>
      <c r="G157" s="3">
        <f>$D157*TCA!G157/100</f>
        <v>0</v>
      </c>
      <c r="H157" s="3">
        <f>$D157*TCA!H157/100</f>
        <v>80</v>
      </c>
      <c r="I157" s="3">
        <f>$D157*TCA!I157/100</f>
        <v>0</v>
      </c>
      <c r="J157" s="3">
        <f>$D157*TCA!J157/100</f>
        <v>0</v>
      </c>
      <c r="K157" s="3">
        <f>$D157*TCA!K157/100</f>
        <v>0</v>
      </c>
      <c r="L157" s="3">
        <f>$D157*TCA!L157/100</f>
        <v>0</v>
      </c>
      <c r="M157" s="3">
        <f>$D157*TCA!M157/100</f>
        <v>0</v>
      </c>
      <c r="N157" s="3">
        <f>$D157*TCA!N157/100</f>
        <v>0</v>
      </c>
      <c r="O157" s="3">
        <f>$D157*TCA!O157/100</f>
        <v>0</v>
      </c>
      <c r="P157" s="3">
        <f t="shared" si="2"/>
        <v>0</v>
      </c>
      <c r="Q157" s="3">
        <f>$D157*TCA!P157/100</f>
        <v>0</v>
      </c>
      <c r="R157" s="3">
        <f>$D157*TCA!Q157/100</f>
        <v>0</v>
      </c>
      <c r="S157" s="3">
        <f>$D157*TCA!R157/100</f>
        <v>166.67</v>
      </c>
      <c r="T157" s="3">
        <f>$D157*TCA!S157/100</f>
        <v>0</v>
      </c>
      <c r="U157" s="3">
        <f>$D157*TCA!T157/100</f>
        <v>0</v>
      </c>
      <c r="V157" s="3">
        <f>$D157*TCA!U157/100</f>
        <v>0</v>
      </c>
      <c r="W157" s="3">
        <f>$D157*TCA!V157/100</f>
        <v>0</v>
      </c>
      <c r="X157" s="3">
        <f>$D157*TCA!W157/100</f>
        <v>0</v>
      </c>
    </row>
    <row r="158" spans="1:24" x14ac:dyDescent="0.25">
      <c r="A158" s="3" t="s">
        <v>296</v>
      </c>
      <c r="B158" s="3" t="s">
        <v>311</v>
      </c>
      <c r="C158" s="3" t="s">
        <v>312</v>
      </c>
      <c r="D158" s="3">
        <v>100</v>
      </c>
      <c r="E158" s="3">
        <f>$D158*TCA!E158/100</f>
        <v>334.4</v>
      </c>
      <c r="F158" s="3">
        <f>$D158*TCA!F158/100</f>
        <v>3.1</v>
      </c>
      <c r="G158" s="3">
        <f>$D158*TCA!G158/100</f>
        <v>0.4</v>
      </c>
      <c r="H158" s="3">
        <f>$D158*TCA!H158/100</f>
        <v>79.599999999999994</v>
      </c>
      <c r="I158" s="3">
        <f>$D158*TCA!I158/100</f>
        <v>9.9</v>
      </c>
      <c r="J158" s="3">
        <f>$D158*TCA!J158/100</f>
        <v>0.03</v>
      </c>
      <c r="K158" s="3">
        <f>$D158*TCA!K158/100</f>
        <v>0.02</v>
      </c>
      <c r="L158" s="3">
        <f>$D158*TCA!L158/100</f>
        <v>0.05</v>
      </c>
      <c r="M158" s="3">
        <f>$D158*TCA!M158/100</f>
        <v>0</v>
      </c>
      <c r="N158" s="3">
        <f>$D158*TCA!N158/100</f>
        <v>29</v>
      </c>
      <c r="O158" s="3">
        <f>$D158*TCA!O158/100</f>
        <v>104</v>
      </c>
      <c r="P158" s="3">
        <f t="shared" si="2"/>
        <v>33.548387096774192</v>
      </c>
      <c r="Q158" s="3">
        <f>$D158*TCA!P158/100</f>
        <v>3.9</v>
      </c>
      <c r="R158" s="3">
        <f>$D158*TCA!Q158/100</f>
        <v>0</v>
      </c>
      <c r="S158" s="3">
        <f>$D158*TCA!R158/100</f>
        <v>0</v>
      </c>
      <c r="T158" s="3">
        <f>$D158*TCA!S158/100</f>
        <v>0.61</v>
      </c>
      <c r="U158" s="3">
        <f>$D158*TCA!T158/100</f>
        <v>1.3</v>
      </c>
      <c r="V158" s="3">
        <f>$D158*TCA!U158/100</f>
        <v>0</v>
      </c>
      <c r="W158" s="3">
        <f>$D158*TCA!V158/100</f>
        <v>0</v>
      </c>
      <c r="X158" s="3">
        <f>$D158*TCA!W158/100</f>
        <v>0</v>
      </c>
    </row>
    <row r="159" spans="1:24" x14ac:dyDescent="0.25">
      <c r="A159" s="3" t="s">
        <v>296</v>
      </c>
      <c r="B159" s="3" t="s">
        <v>313</v>
      </c>
      <c r="C159" s="3" t="s">
        <v>313</v>
      </c>
      <c r="D159" s="3">
        <v>100</v>
      </c>
      <c r="E159" s="3">
        <f>$D159*TCA!E159/100</f>
        <v>46.1</v>
      </c>
      <c r="F159" s="3">
        <f>$D159*TCA!F159/100</f>
        <v>0.7</v>
      </c>
      <c r="G159" s="3">
        <f>$D159*TCA!G159/100</f>
        <v>0.1</v>
      </c>
      <c r="H159" s="3">
        <f>$D159*TCA!H159/100</f>
        <v>10.6</v>
      </c>
      <c r="I159" s="3">
        <f>$D159*TCA!I159/100</f>
        <v>2.9</v>
      </c>
      <c r="J159" s="3">
        <f>$D159*TCA!J159/100</f>
        <v>0</v>
      </c>
      <c r="K159" s="3">
        <f>$D159*TCA!K159/100</f>
        <v>0</v>
      </c>
      <c r="L159" s="3">
        <f>$D159*TCA!L159/100</f>
        <v>0</v>
      </c>
      <c r="M159" s="3">
        <f>$D159*TCA!M159/100</f>
        <v>0</v>
      </c>
      <c r="N159" s="3">
        <f>$D159*TCA!N159/100</f>
        <v>0</v>
      </c>
      <c r="O159" s="3">
        <f>$D159*TCA!O159/100</f>
        <v>0</v>
      </c>
      <c r="P159" s="3">
        <f t="shared" si="2"/>
        <v>0</v>
      </c>
      <c r="Q159" s="3">
        <f>$D159*TCA!P159/100</f>
        <v>0.37</v>
      </c>
      <c r="R159" s="3">
        <f>$D159*TCA!Q159/100</f>
        <v>0</v>
      </c>
      <c r="S159" s="3">
        <f>$D159*TCA!R159/100</f>
        <v>0</v>
      </c>
      <c r="T159" s="3">
        <f>$D159*TCA!S159/100</f>
        <v>0.28000000000000003</v>
      </c>
      <c r="U159" s="3">
        <f>$D159*TCA!T159/100</f>
        <v>42.06</v>
      </c>
      <c r="V159" s="3">
        <f>$D159*TCA!U159/100</f>
        <v>12</v>
      </c>
      <c r="W159" s="3">
        <f>$D159*TCA!V159/100</f>
        <v>0</v>
      </c>
      <c r="X159" s="3">
        <f>$D159*TCA!W159/100</f>
        <v>0</v>
      </c>
    </row>
    <row r="160" spans="1:24" x14ac:dyDescent="0.25">
      <c r="A160" s="3" t="s">
        <v>296</v>
      </c>
      <c r="B160" s="3" t="s">
        <v>314</v>
      </c>
      <c r="C160" s="3" t="s">
        <v>315</v>
      </c>
      <c r="D160" s="3">
        <v>100</v>
      </c>
      <c r="E160" s="3">
        <f>$D160*TCA!E160/100</f>
        <v>119.17</v>
      </c>
      <c r="F160" s="3">
        <f>$D160*TCA!F160/100</f>
        <v>1.53</v>
      </c>
      <c r="G160" s="3">
        <f>$D160*TCA!G160/100</f>
        <v>0.17</v>
      </c>
      <c r="H160" s="3">
        <f>$D160*TCA!H160/100</f>
        <v>27.88</v>
      </c>
      <c r="I160" s="3">
        <f>$D160*TCA!I160/100</f>
        <v>4.0999999999999996</v>
      </c>
      <c r="J160" s="3">
        <f>$D160*TCA!J160/100</f>
        <v>0.04</v>
      </c>
      <c r="K160" s="3">
        <f>$D160*TCA!K160/100</f>
        <v>0.01</v>
      </c>
      <c r="L160" s="3">
        <f>$D160*TCA!L160/100</f>
        <v>0.08</v>
      </c>
      <c r="M160" s="3">
        <f>$D160*TCA!M160/100</f>
        <v>0</v>
      </c>
      <c r="N160" s="3">
        <f>$D160*TCA!N160/100</f>
        <v>17</v>
      </c>
      <c r="O160" s="3">
        <f>$D160*TCA!O160/100</f>
        <v>55</v>
      </c>
      <c r="P160" s="3">
        <f t="shared" si="2"/>
        <v>35.947712418300654</v>
      </c>
      <c r="Q160" s="3">
        <f>$D160*TCA!P160/100</f>
        <v>0.54</v>
      </c>
      <c r="R160" s="3">
        <f>$D160*TCA!Q160/100</f>
        <v>816</v>
      </c>
      <c r="S160" s="3">
        <f>$D160*TCA!R160/100</f>
        <v>9</v>
      </c>
      <c r="T160" s="3">
        <f>$D160*TCA!S160/100</f>
        <v>0.24</v>
      </c>
      <c r="U160" s="3">
        <f>$D160*TCA!T160/100</f>
        <v>17</v>
      </c>
      <c r="V160" s="3">
        <f>$D160*TCA!U160/100</f>
        <v>7</v>
      </c>
      <c r="W160" s="3">
        <f>$D160*TCA!V160/100</f>
        <v>23</v>
      </c>
      <c r="X160" s="3">
        <f>$D160*TCA!W160/100</f>
        <v>0</v>
      </c>
    </row>
    <row r="161" spans="1:24" x14ac:dyDescent="0.25">
      <c r="A161" s="3" t="s">
        <v>296</v>
      </c>
      <c r="B161" s="3" t="s">
        <v>316</v>
      </c>
      <c r="C161" s="3" t="s">
        <v>317</v>
      </c>
      <c r="D161" s="3">
        <v>100</v>
      </c>
      <c r="E161" s="3">
        <f>$D161*TCA!E161/100</f>
        <v>117.54</v>
      </c>
      <c r="F161" s="3">
        <f>$D161*TCA!F161/100</f>
        <v>1.49</v>
      </c>
      <c r="G161" s="3">
        <f>$D161*TCA!G161/100</f>
        <v>0.14000000000000001</v>
      </c>
      <c r="H161" s="3">
        <f>$D161*TCA!H161/100</f>
        <v>27.58</v>
      </c>
      <c r="I161" s="3">
        <f>$D161*TCA!I161/100</f>
        <v>3.9</v>
      </c>
      <c r="J161" s="3">
        <f>$D161*TCA!J161/100</f>
        <v>0.03</v>
      </c>
      <c r="K161" s="3">
        <f>$D161*TCA!K161/100</f>
        <v>0</v>
      </c>
      <c r="L161" s="3">
        <f>$D161*TCA!L161/100</f>
        <v>0.06</v>
      </c>
      <c r="M161" s="3">
        <f>$D161*TCA!M161/100</f>
        <v>0</v>
      </c>
      <c r="N161" s="3">
        <f>$D161*TCA!N161/100</f>
        <v>14</v>
      </c>
      <c r="O161" s="3">
        <f>$D161*TCA!O161/100</f>
        <v>49</v>
      </c>
      <c r="P161" s="3">
        <f t="shared" si="2"/>
        <v>32.885906040268459</v>
      </c>
      <c r="Q161" s="3">
        <f>$D161*TCA!P161/100</f>
        <v>0.52</v>
      </c>
      <c r="R161" s="3">
        <f>$D161*TCA!Q161/100</f>
        <v>670</v>
      </c>
      <c r="S161" s="3">
        <f>$D161*TCA!R161/100</f>
        <v>8</v>
      </c>
      <c r="T161" s="3">
        <f>$D161*TCA!S161/100</f>
        <v>0.2</v>
      </c>
      <c r="U161" s="3">
        <f>$D161*TCA!T161/100</f>
        <v>12</v>
      </c>
      <c r="V161" s="3">
        <f>$D161*TCA!U161/100</f>
        <v>6</v>
      </c>
      <c r="W161" s="3">
        <f>$D161*TCA!V161/100</f>
        <v>16</v>
      </c>
      <c r="X161" s="3">
        <f>$D161*TCA!W161/100</f>
        <v>0</v>
      </c>
    </row>
    <row r="162" spans="1:24" x14ac:dyDescent="0.25">
      <c r="A162" s="3" t="s">
        <v>296</v>
      </c>
      <c r="B162" s="3" t="s">
        <v>318</v>
      </c>
      <c r="C162" s="3" t="s">
        <v>319</v>
      </c>
      <c r="D162" s="3">
        <v>100</v>
      </c>
      <c r="E162" s="3">
        <f>$D162*TCA!E162/100</f>
        <v>65.2</v>
      </c>
      <c r="F162" s="3">
        <f>$D162*TCA!F162/100</f>
        <v>0.7</v>
      </c>
      <c r="G162" s="3">
        <f>$D162*TCA!G162/100</f>
        <v>0</v>
      </c>
      <c r="H162" s="3">
        <f>$D162*TCA!H162/100</f>
        <v>15.6</v>
      </c>
      <c r="I162" s="3">
        <f>$D162*TCA!I162/100</f>
        <v>2.4</v>
      </c>
      <c r="J162" s="3">
        <f>$D162*TCA!J162/100</f>
        <v>0</v>
      </c>
      <c r="K162" s="3">
        <f>$D162*TCA!K162/100</f>
        <v>0</v>
      </c>
      <c r="L162" s="3">
        <f>$D162*TCA!L162/100</f>
        <v>0</v>
      </c>
      <c r="M162" s="3">
        <f>$D162*TCA!M162/100</f>
        <v>0</v>
      </c>
      <c r="N162" s="3">
        <f>$D162*TCA!N162/100</f>
        <v>0</v>
      </c>
      <c r="O162" s="3">
        <f>$D162*TCA!O162/100</f>
        <v>0</v>
      </c>
      <c r="P162" s="3">
        <f t="shared" si="2"/>
        <v>0</v>
      </c>
      <c r="Q162" s="3">
        <f>$D162*TCA!P162/100</f>
        <v>0.47</v>
      </c>
      <c r="R162" s="3">
        <f>$D162*TCA!Q162/100</f>
        <v>0</v>
      </c>
      <c r="S162" s="3">
        <f>$D162*TCA!R162/100</f>
        <v>0</v>
      </c>
      <c r="T162" s="3">
        <f>$D162*TCA!S162/100</f>
        <v>0.14000000000000001</v>
      </c>
      <c r="U162" s="3">
        <f>$D162*TCA!T162/100</f>
        <v>23.92</v>
      </c>
      <c r="V162" s="3">
        <f>$D162*TCA!U162/100</f>
        <v>0</v>
      </c>
      <c r="W162" s="3">
        <f>$D162*TCA!V162/100</f>
        <v>0</v>
      </c>
      <c r="X162" s="3">
        <f>$D162*TCA!W162/100</f>
        <v>0</v>
      </c>
    </row>
    <row r="163" spans="1:24" x14ac:dyDescent="0.25">
      <c r="A163" s="3" t="s">
        <v>296</v>
      </c>
      <c r="B163" s="3" t="s">
        <v>320</v>
      </c>
      <c r="C163" s="3" t="s">
        <v>321</v>
      </c>
      <c r="D163" s="3">
        <v>100</v>
      </c>
      <c r="E163" s="3">
        <f>$D163*TCA!E163/100</f>
        <v>62.5</v>
      </c>
      <c r="F163" s="3">
        <f>$D163*TCA!F163/100</f>
        <v>1.1000000000000001</v>
      </c>
      <c r="G163" s="3">
        <f>$D163*TCA!G163/100</f>
        <v>0.1</v>
      </c>
      <c r="H163" s="3">
        <f>$D163*TCA!H163/100</f>
        <v>14.3</v>
      </c>
      <c r="I163" s="3">
        <f>$D163*TCA!I163/100</f>
        <v>0</v>
      </c>
      <c r="J163" s="3">
        <f>$D163*TCA!J163/100</f>
        <v>0</v>
      </c>
      <c r="K163" s="3">
        <f>$D163*TCA!K163/100</f>
        <v>0</v>
      </c>
      <c r="L163" s="3">
        <f>$D163*TCA!L163/100</f>
        <v>0</v>
      </c>
      <c r="M163" s="3">
        <f>$D163*TCA!M163/100</f>
        <v>0</v>
      </c>
      <c r="N163" s="3">
        <f>$D163*TCA!N163/100</f>
        <v>3</v>
      </c>
      <c r="O163" s="3">
        <f>$D163*TCA!O163/100</f>
        <v>28</v>
      </c>
      <c r="P163" s="3">
        <f t="shared" si="2"/>
        <v>25.454545454545453</v>
      </c>
      <c r="Q163" s="3">
        <f>$D163*TCA!P163/100</f>
        <v>1.1000000000000001</v>
      </c>
      <c r="R163" s="3">
        <f>$D163*TCA!Q163/100</f>
        <v>0</v>
      </c>
      <c r="S163" s="3">
        <f>$D163*TCA!R163/100</f>
        <v>0</v>
      </c>
      <c r="T163" s="3">
        <f>$D163*TCA!S163/100</f>
        <v>0</v>
      </c>
      <c r="U163" s="3">
        <f>$D163*TCA!T163/100</f>
        <v>11.5</v>
      </c>
      <c r="V163" s="3">
        <f>$D163*TCA!U163/100</f>
        <v>5</v>
      </c>
      <c r="W163" s="3">
        <f>$D163*TCA!V163/100</f>
        <v>0</v>
      </c>
      <c r="X163" s="3">
        <f>$D163*TCA!W163/100</f>
        <v>0</v>
      </c>
    </row>
    <row r="164" spans="1:24" x14ac:dyDescent="0.25">
      <c r="A164" s="3" t="s">
        <v>296</v>
      </c>
      <c r="B164" s="3" t="s">
        <v>322</v>
      </c>
      <c r="C164" s="3" t="s">
        <v>323</v>
      </c>
      <c r="D164" s="3">
        <v>100</v>
      </c>
      <c r="E164" s="3">
        <f>$D164*TCA!E164/100</f>
        <v>104.8</v>
      </c>
      <c r="F164" s="3">
        <f>$D164*TCA!F164/100</f>
        <v>2</v>
      </c>
      <c r="G164" s="3">
        <f>$D164*TCA!G164/100</f>
        <v>0.4</v>
      </c>
      <c r="H164" s="3">
        <f>$D164*TCA!H164/100</f>
        <v>23.3</v>
      </c>
      <c r="I164" s="3">
        <f>$D164*TCA!I164/100</f>
        <v>0.4</v>
      </c>
      <c r="J164" s="3">
        <f>$D164*TCA!J164/100</f>
        <v>0</v>
      </c>
      <c r="K164" s="3">
        <f>$D164*TCA!K164/100</f>
        <v>0</v>
      </c>
      <c r="L164" s="3">
        <f>$D164*TCA!L164/100</f>
        <v>0</v>
      </c>
      <c r="M164" s="3">
        <f>$D164*TCA!M164/100</f>
        <v>0</v>
      </c>
      <c r="N164" s="3">
        <f>$D164*TCA!N164/100</f>
        <v>6</v>
      </c>
      <c r="O164" s="3">
        <f>$D164*TCA!O164/100</f>
        <v>52</v>
      </c>
      <c r="P164" s="3">
        <f t="shared" si="2"/>
        <v>26</v>
      </c>
      <c r="Q164" s="3">
        <f>$D164*TCA!P164/100</f>
        <v>0.4</v>
      </c>
      <c r="R164" s="3">
        <f>$D164*TCA!Q164/100</f>
        <v>0</v>
      </c>
      <c r="S164" s="3">
        <f>$D164*TCA!R164/100</f>
        <v>0</v>
      </c>
      <c r="T164" s="3">
        <f>$D164*TCA!S164/100</f>
        <v>0.28999999999999998</v>
      </c>
      <c r="U164" s="3">
        <f>$D164*TCA!T164/100</f>
        <v>9</v>
      </c>
      <c r="V164" s="3">
        <f>$D164*TCA!U164/100</f>
        <v>0</v>
      </c>
      <c r="W164" s="3">
        <f>$D164*TCA!V164/100</f>
        <v>0</v>
      </c>
      <c r="X164" s="3">
        <f>$D164*TCA!W164/100</f>
        <v>0</v>
      </c>
    </row>
    <row r="165" spans="1:24" x14ac:dyDescent="0.25">
      <c r="A165" s="3" t="s">
        <v>296</v>
      </c>
      <c r="B165" s="3" t="s">
        <v>324</v>
      </c>
      <c r="C165" s="3" t="s">
        <v>325</v>
      </c>
      <c r="D165" s="3">
        <v>100</v>
      </c>
      <c r="E165" s="3">
        <f>$D165*TCA!E165/100</f>
        <v>81.180000000000007</v>
      </c>
      <c r="F165" s="3">
        <f>$D165*TCA!F165/100</f>
        <v>2.86</v>
      </c>
      <c r="G165" s="3">
        <f>$D165*TCA!G165/100</f>
        <v>0.1</v>
      </c>
      <c r="H165" s="3">
        <f>$D165*TCA!H165/100</f>
        <v>17.21</v>
      </c>
      <c r="I165" s="3">
        <f>$D165*TCA!I165/100</f>
        <v>3.3</v>
      </c>
      <c r="J165" s="3">
        <f>$D165*TCA!J165/100</f>
        <v>0.03</v>
      </c>
      <c r="K165" s="3">
        <f>$D165*TCA!K165/100</f>
        <v>0</v>
      </c>
      <c r="L165" s="3">
        <f>$D165*TCA!L165/100</f>
        <v>0.04</v>
      </c>
      <c r="M165" s="3">
        <f>$D165*TCA!M165/100</f>
        <v>0</v>
      </c>
      <c r="N165" s="3">
        <f>$D165*TCA!N165/100</f>
        <v>45</v>
      </c>
      <c r="O165" s="3">
        <f>$D165*TCA!O165/100</f>
        <v>54</v>
      </c>
      <c r="P165" s="3">
        <f t="shared" si="2"/>
        <v>18.881118881118883</v>
      </c>
      <c r="Q165" s="3">
        <f>$D165*TCA!P165/100</f>
        <v>6.07</v>
      </c>
      <c r="R165" s="3">
        <f>$D165*TCA!Q165/100</f>
        <v>407</v>
      </c>
      <c r="S165" s="3">
        <f>$D165*TCA!R165/100</f>
        <v>14</v>
      </c>
      <c r="T165" s="3">
        <f>$D165*TCA!S165/100</f>
        <v>0.44</v>
      </c>
      <c r="U165" s="3">
        <f>$D165*TCA!T165/100</f>
        <v>5</v>
      </c>
      <c r="V165" s="3">
        <f>$D165*TCA!U165/100</f>
        <v>0</v>
      </c>
      <c r="W165" s="3">
        <f>$D165*TCA!V165/100</f>
        <v>10</v>
      </c>
      <c r="X165" s="3">
        <f>$D165*TCA!W165/100</f>
        <v>0</v>
      </c>
    </row>
    <row r="166" spans="1:24" x14ac:dyDescent="0.25">
      <c r="A166" s="3" t="s">
        <v>296</v>
      </c>
      <c r="B166" s="3" t="s">
        <v>326</v>
      </c>
      <c r="C166" s="3" t="s">
        <v>327</v>
      </c>
      <c r="D166" s="3">
        <v>100</v>
      </c>
      <c r="E166" s="3">
        <f>$D166*TCA!E166/100</f>
        <v>78.77</v>
      </c>
      <c r="F166" s="3">
        <f>$D166*TCA!F166/100</f>
        <v>2.02</v>
      </c>
      <c r="G166" s="3">
        <f>$D166*TCA!G166/100</f>
        <v>0.09</v>
      </c>
      <c r="H166" s="3">
        <f>$D166*TCA!H166/100</f>
        <v>17.47</v>
      </c>
      <c r="I166" s="3">
        <f>$D166*TCA!I166/100</f>
        <v>2.2000000000000002</v>
      </c>
      <c r="J166" s="3">
        <f>$D166*TCA!J166/100</f>
        <v>0.03</v>
      </c>
      <c r="K166" s="3">
        <f>$D166*TCA!K166/100</f>
        <v>0</v>
      </c>
      <c r="L166" s="3">
        <f>$D166*TCA!L166/100</f>
        <v>0.04</v>
      </c>
      <c r="M166" s="3">
        <f>$D166*TCA!M166/100</f>
        <v>0</v>
      </c>
      <c r="N166" s="3">
        <f>$D166*TCA!N166/100</f>
        <v>12</v>
      </c>
      <c r="O166" s="3">
        <f>$D166*TCA!O166/100</f>
        <v>57</v>
      </c>
      <c r="P166" s="3">
        <f t="shared" si="2"/>
        <v>28.217821782178216</v>
      </c>
      <c r="Q166" s="3">
        <f>$D166*TCA!P166/100</f>
        <v>0.78</v>
      </c>
      <c r="R166" s="3">
        <f>$D166*TCA!Q166/100</f>
        <v>421</v>
      </c>
      <c r="S166" s="3">
        <f>$D166*TCA!R166/100</f>
        <v>6</v>
      </c>
      <c r="T166" s="3">
        <f>$D166*TCA!S166/100</f>
        <v>0.28999999999999998</v>
      </c>
      <c r="U166" s="3">
        <f>$D166*TCA!T166/100</f>
        <v>20</v>
      </c>
      <c r="V166" s="3">
        <f>$D166*TCA!U166/100</f>
        <v>0</v>
      </c>
      <c r="W166" s="3">
        <f>$D166*TCA!V166/100</f>
        <v>16</v>
      </c>
      <c r="X166" s="3">
        <f>$D166*TCA!W166/100</f>
        <v>0</v>
      </c>
    </row>
    <row r="167" spans="1:24" x14ac:dyDescent="0.25">
      <c r="A167" s="3" t="s">
        <v>296</v>
      </c>
      <c r="B167" s="3" t="s">
        <v>328</v>
      </c>
      <c r="C167" s="3" t="s">
        <v>329</v>
      </c>
      <c r="D167" s="3">
        <v>100</v>
      </c>
      <c r="E167" s="3">
        <f>$D167*TCA!E167/100</f>
        <v>75.599999999999994</v>
      </c>
      <c r="F167" s="3">
        <f>$D167*TCA!F167/100</f>
        <v>1.8</v>
      </c>
      <c r="G167" s="3">
        <f>$D167*TCA!G167/100</f>
        <v>0.4</v>
      </c>
      <c r="H167" s="3">
        <f>$D167*TCA!H167/100</f>
        <v>16.2</v>
      </c>
      <c r="I167" s="3">
        <f>$D167*TCA!I167/100</f>
        <v>2.6</v>
      </c>
      <c r="J167" s="3">
        <f>$D167*TCA!J167/100</f>
        <v>0</v>
      </c>
      <c r="K167" s="3">
        <f>$D167*TCA!K167/100</f>
        <v>0</v>
      </c>
      <c r="L167" s="3">
        <f>$D167*TCA!L167/100</f>
        <v>0</v>
      </c>
      <c r="M167" s="3">
        <f>$D167*TCA!M167/100</f>
        <v>0</v>
      </c>
      <c r="N167" s="3">
        <f>$D167*TCA!N167/100</f>
        <v>19</v>
      </c>
      <c r="O167" s="3">
        <f>$D167*TCA!O167/100</f>
        <v>40</v>
      </c>
      <c r="P167" s="3">
        <f t="shared" si="2"/>
        <v>22.222222222222221</v>
      </c>
      <c r="Q167" s="3">
        <f>$D167*TCA!P167/100</f>
        <v>0.52</v>
      </c>
      <c r="R167" s="3">
        <f>$D167*TCA!Q167/100</f>
        <v>295</v>
      </c>
      <c r="S167" s="3">
        <f>$D167*TCA!R167/100</f>
        <v>6</v>
      </c>
      <c r="T167" s="3">
        <f>$D167*TCA!S167/100</f>
        <v>0.22</v>
      </c>
      <c r="U167" s="3">
        <f>$D167*TCA!T167/100</f>
        <v>3.15</v>
      </c>
      <c r="V167" s="3">
        <f>$D167*TCA!U167/100</f>
        <v>0</v>
      </c>
      <c r="W167" s="3">
        <f>$D167*TCA!V167/100</f>
        <v>0</v>
      </c>
      <c r="X167" s="3">
        <f>$D167*TCA!W167/100</f>
        <v>0</v>
      </c>
    </row>
    <row r="168" spans="1:24" x14ac:dyDescent="0.25">
      <c r="A168" s="3" t="s">
        <v>296</v>
      </c>
      <c r="B168" s="3" t="s">
        <v>330</v>
      </c>
      <c r="C168" s="3" t="s">
        <v>331</v>
      </c>
      <c r="D168" s="3">
        <v>100</v>
      </c>
      <c r="E168" s="3">
        <f>$D168*TCA!E168/100</f>
        <v>87.78</v>
      </c>
      <c r="F168" s="3">
        <f>$D168*TCA!F168/100</f>
        <v>1.71</v>
      </c>
      <c r="G168" s="3">
        <f>$D168*TCA!G168/100</f>
        <v>0.1</v>
      </c>
      <c r="H168" s="3">
        <f>$D168*TCA!H168/100</f>
        <v>20.010000000000002</v>
      </c>
      <c r="I168" s="3">
        <f>$D168*TCA!I168/100</f>
        <v>1.8</v>
      </c>
      <c r="J168" s="3">
        <f>$D168*TCA!J168/100</f>
        <v>0.03</v>
      </c>
      <c r="K168" s="3">
        <f>$D168*TCA!K168/100</f>
        <v>0</v>
      </c>
      <c r="L168" s="3">
        <f>$D168*TCA!L168/100</f>
        <v>0.04</v>
      </c>
      <c r="M168" s="3">
        <f>$D168*TCA!M168/100</f>
        <v>0</v>
      </c>
      <c r="N168" s="3">
        <f>$D168*TCA!N168/100</f>
        <v>8</v>
      </c>
      <c r="O168" s="3">
        <f>$D168*TCA!O168/100</f>
        <v>40</v>
      </c>
      <c r="P168" s="3">
        <f t="shared" si="2"/>
        <v>23.391812865497077</v>
      </c>
      <c r="Q168" s="3">
        <f>$D168*TCA!P168/100</f>
        <v>0.31</v>
      </c>
      <c r="R168" s="3">
        <f>$D168*TCA!Q168/100</f>
        <v>328</v>
      </c>
      <c r="S168" s="3">
        <f>$D168*TCA!R168/100</f>
        <v>5</v>
      </c>
      <c r="T168" s="3">
        <f>$D168*TCA!S168/100</f>
        <v>0.27</v>
      </c>
      <c r="U168" s="3">
        <f>$D168*TCA!T168/100</f>
        <v>7</v>
      </c>
      <c r="V168" s="3">
        <f>$D168*TCA!U168/100</f>
        <v>0</v>
      </c>
      <c r="W168" s="3">
        <f>$D168*TCA!V168/100</f>
        <v>9</v>
      </c>
      <c r="X168" s="3">
        <f>$D168*TCA!W168/100</f>
        <v>0</v>
      </c>
    </row>
    <row r="169" spans="1:24" x14ac:dyDescent="0.25">
      <c r="A169" s="3" t="s">
        <v>296</v>
      </c>
      <c r="B169" s="3" t="s">
        <v>332</v>
      </c>
      <c r="C169" s="3" t="s">
        <v>333</v>
      </c>
      <c r="D169" s="3">
        <v>100</v>
      </c>
      <c r="E169" s="3">
        <f>$D169*TCA!E169/100</f>
        <v>60.94</v>
      </c>
      <c r="F169" s="3">
        <f>$D169*TCA!F169/100</f>
        <v>2.57</v>
      </c>
      <c r="G169" s="3">
        <f>$D169*TCA!G169/100</f>
        <v>0.1</v>
      </c>
      <c r="H169" s="3">
        <f>$D169*TCA!H169/100</f>
        <v>12.44</v>
      </c>
      <c r="I169" s="3">
        <f>$D169*TCA!I169/100</f>
        <v>2.5</v>
      </c>
      <c r="J169" s="3">
        <f>$D169*TCA!J169/100</f>
        <v>0.03</v>
      </c>
      <c r="K169" s="3">
        <f>$D169*TCA!K169/100</f>
        <v>0</v>
      </c>
      <c r="L169" s="3">
        <f>$D169*TCA!L169/100</f>
        <v>0.04</v>
      </c>
      <c r="M169" s="3">
        <f>$D169*TCA!M169/100</f>
        <v>0</v>
      </c>
      <c r="N169" s="3">
        <f>$D169*TCA!N169/100</f>
        <v>30</v>
      </c>
      <c r="O169" s="3">
        <f>$D169*TCA!O169/100</f>
        <v>38</v>
      </c>
      <c r="P169" s="3">
        <f t="shared" si="2"/>
        <v>14.785992217898833</v>
      </c>
      <c r="Q169" s="3">
        <f>$D169*TCA!P169/100</f>
        <v>3.24</v>
      </c>
      <c r="R169" s="3">
        <f>$D169*TCA!Q169/100</f>
        <v>413</v>
      </c>
      <c r="S169" s="3">
        <f>$D169*TCA!R169/100</f>
        <v>10</v>
      </c>
      <c r="T169" s="3">
        <f>$D169*TCA!S169/100</f>
        <v>0.35</v>
      </c>
      <c r="U169" s="3">
        <f>$D169*TCA!T169/100</f>
        <v>11</v>
      </c>
      <c r="V169" s="3">
        <f>$D169*TCA!U169/100</f>
        <v>0</v>
      </c>
      <c r="W169" s="3">
        <f>$D169*TCA!V169/100</f>
        <v>17</v>
      </c>
      <c r="X169" s="3">
        <f>$D169*TCA!W169/100</f>
        <v>0</v>
      </c>
    </row>
    <row r="170" spans="1:24" x14ac:dyDescent="0.25">
      <c r="A170" s="3" t="s">
        <v>296</v>
      </c>
      <c r="B170" s="3" t="s">
        <v>334</v>
      </c>
      <c r="C170" s="3" t="s">
        <v>335</v>
      </c>
      <c r="D170" s="3">
        <v>100</v>
      </c>
      <c r="E170" s="3">
        <f>$D170*TCA!E170/100</f>
        <v>262.72000000000003</v>
      </c>
      <c r="F170" s="3">
        <f>$D170*TCA!F170/100</f>
        <v>0</v>
      </c>
      <c r="G170" s="3">
        <f>$D170*TCA!G170/100</f>
        <v>4.16</v>
      </c>
      <c r="H170" s="3">
        <f>$D170*TCA!H170/100</f>
        <v>56.32</v>
      </c>
      <c r="I170" s="3">
        <f>$D170*TCA!I170/100</f>
        <v>0</v>
      </c>
      <c r="J170" s="3">
        <f>$D170*TCA!J170/100</f>
        <v>0</v>
      </c>
      <c r="K170" s="3">
        <f>$D170*TCA!K170/100</f>
        <v>0</v>
      </c>
      <c r="L170" s="3">
        <f>$D170*TCA!L170/100</f>
        <v>0</v>
      </c>
      <c r="M170" s="3">
        <f>$D170*TCA!M170/100</f>
        <v>0</v>
      </c>
      <c r="N170" s="3">
        <f>$D170*TCA!N170/100</f>
        <v>2</v>
      </c>
      <c r="O170" s="3">
        <f>$D170*TCA!O170/100</f>
        <v>15</v>
      </c>
      <c r="P170" s="3" t="e">
        <f t="shared" si="2"/>
        <v>#DIV/0!</v>
      </c>
      <c r="Q170" s="3">
        <f>$D170*TCA!P170/100</f>
        <v>0.36</v>
      </c>
      <c r="R170" s="3">
        <f>$D170*TCA!Q170/100</f>
        <v>489</v>
      </c>
      <c r="S170" s="3">
        <f>$D170*TCA!R170/100</f>
        <v>182</v>
      </c>
      <c r="T170" s="3">
        <f>$D170*TCA!S170/100</f>
        <v>0.02</v>
      </c>
      <c r="U170" s="3">
        <f>$D170*TCA!T170/100</f>
        <v>0</v>
      </c>
      <c r="V170" s="3">
        <f>$D170*TCA!U170/100</f>
        <v>0</v>
      </c>
      <c r="W170" s="3">
        <f>$D170*TCA!V170/100</f>
        <v>0</v>
      </c>
      <c r="X170" s="3">
        <f>$D170*TCA!W170/100</f>
        <v>0</v>
      </c>
    </row>
    <row r="171" spans="1:24" x14ac:dyDescent="0.25">
      <c r="A171" s="3" t="s">
        <v>296</v>
      </c>
      <c r="B171" s="3" t="s">
        <v>336</v>
      </c>
      <c r="C171" s="3" t="s">
        <v>337</v>
      </c>
      <c r="D171" s="3">
        <v>100</v>
      </c>
      <c r="E171" s="3">
        <f>$D171*TCA!E171/100</f>
        <v>214.55</v>
      </c>
      <c r="F171" s="3">
        <f>$D171*TCA!F171/100</f>
        <v>0</v>
      </c>
      <c r="G171" s="3">
        <f>$D171*TCA!G171/100</f>
        <v>1.67</v>
      </c>
      <c r="H171" s="3">
        <f>$D171*TCA!H171/100</f>
        <v>49.88</v>
      </c>
      <c r="I171" s="3">
        <f>$D171*TCA!I171/100</f>
        <v>0</v>
      </c>
      <c r="J171" s="3">
        <f>$D171*TCA!J171/100</f>
        <v>0</v>
      </c>
      <c r="K171" s="3">
        <f>$D171*TCA!K171/100</f>
        <v>0</v>
      </c>
      <c r="L171" s="3">
        <f>$D171*TCA!L171/100</f>
        <v>0</v>
      </c>
      <c r="M171" s="3">
        <f>$D171*TCA!M171/100</f>
        <v>0</v>
      </c>
      <c r="N171" s="3">
        <f>$D171*TCA!N171/100</f>
        <v>2</v>
      </c>
      <c r="O171" s="3">
        <f>$D171*TCA!O171/100</f>
        <v>32</v>
      </c>
      <c r="P171" s="3" t="e">
        <f t="shared" si="2"/>
        <v>#DIV/0!</v>
      </c>
      <c r="Q171" s="3">
        <f>$D171*TCA!P171/100</f>
        <v>0.23</v>
      </c>
      <c r="R171" s="3">
        <f>$D171*TCA!Q171/100</f>
        <v>330</v>
      </c>
      <c r="S171" s="3">
        <f>$D171*TCA!R171/100</f>
        <v>9</v>
      </c>
      <c r="T171" s="3">
        <f>$D171*TCA!S171/100</f>
        <v>0.22</v>
      </c>
      <c r="U171" s="3">
        <f>$D171*TCA!T171/100</f>
        <v>0</v>
      </c>
      <c r="V171" s="3">
        <f>$D171*TCA!U171/100</f>
        <v>0</v>
      </c>
      <c r="W171" s="3">
        <f>$D171*TCA!V171/100</f>
        <v>0</v>
      </c>
      <c r="X171" s="3">
        <f>$D171*TCA!W171/100</f>
        <v>0</v>
      </c>
    </row>
    <row r="172" spans="1:24" x14ac:dyDescent="0.25">
      <c r="A172" s="3" t="s">
        <v>296</v>
      </c>
      <c r="B172" s="3" t="s">
        <v>338</v>
      </c>
      <c r="C172" s="3" t="s">
        <v>339</v>
      </c>
      <c r="D172" s="3">
        <v>100</v>
      </c>
      <c r="E172" s="3">
        <f>$D172*TCA!E172/100</f>
        <v>482.31</v>
      </c>
      <c r="F172" s="3">
        <f>$D172*TCA!F172/100</f>
        <v>1.63</v>
      </c>
      <c r="G172" s="3">
        <f>$D172*TCA!G172/100</f>
        <v>20.59</v>
      </c>
      <c r="H172" s="3">
        <f>$D172*TCA!H172/100</f>
        <v>72.62</v>
      </c>
      <c r="I172" s="3">
        <f>$D172*TCA!I172/100</f>
        <v>0</v>
      </c>
      <c r="J172" s="3">
        <f>$D172*TCA!J172/100</f>
        <v>0</v>
      </c>
      <c r="K172" s="3">
        <f>$D172*TCA!K172/100</f>
        <v>0</v>
      </c>
      <c r="L172" s="3">
        <f>$D172*TCA!L172/100</f>
        <v>0</v>
      </c>
      <c r="M172" s="3">
        <f>$D172*TCA!M172/100</f>
        <v>0</v>
      </c>
      <c r="N172" s="3">
        <f>$D172*TCA!N172/100</f>
        <v>3</v>
      </c>
      <c r="O172" s="3">
        <f>$D172*TCA!O172/100</f>
        <v>30</v>
      </c>
      <c r="P172" s="3">
        <f t="shared" si="2"/>
        <v>18.404907975460123</v>
      </c>
      <c r="Q172" s="3">
        <f>$D172*TCA!P172/100</f>
        <v>0.51</v>
      </c>
      <c r="R172" s="3">
        <f>$D172*TCA!Q172/100</f>
        <v>473</v>
      </c>
      <c r="S172" s="3">
        <f>$D172*TCA!R172/100</f>
        <v>2</v>
      </c>
      <c r="T172" s="3">
        <f>$D172*TCA!S172/100</f>
        <v>0.28000000000000003</v>
      </c>
      <c r="U172" s="3">
        <f>$D172*TCA!T172/100</f>
        <v>0</v>
      </c>
      <c r="V172" s="3">
        <f>$D172*TCA!U172/100</f>
        <v>0</v>
      </c>
      <c r="W172" s="3">
        <f>$D172*TCA!V172/100</f>
        <v>0</v>
      </c>
      <c r="X172" s="3">
        <f>$D172*TCA!W172/100</f>
        <v>0</v>
      </c>
    </row>
    <row r="173" spans="1:24" x14ac:dyDescent="0.25">
      <c r="A173" s="3" t="s">
        <v>296</v>
      </c>
      <c r="B173" s="3" t="s">
        <v>340</v>
      </c>
      <c r="C173" s="3" t="s">
        <v>341</v>
      </c>
      <c r="D173" s="3">
        <v>100</v>
      </c>
      <c r="E173" s="3">
        <f>$D173*TCA!E173/100</f>
        <v>121.4</v>
      </c>
      <c r="F173" s="3">
        <f>$D173*TCA!F173/100</f>
        <v>0</v>
      </c>
      <c r="G173" s="3">
        <f>$D173*TCA!G173/100</f>
        <v>0</v>
      </c>
      <c r="H173" s="3">
        <f>$D173*TCA!H173/100</f>
        <v>30.35</v>
      </c>
      <c r="I173" s="3">
        <f>$D173*TCA!I173/100</f>
        <v>0</v>
      </c>
      <c r="J173" s="3">
        <f>$D173*TCA!J173/100</f>
        <v>0</v>
      </c>
      <c r="K173" s="3">
        <f>$D173*TCA!K173/100</f>
        <v>0</v>
      </c>
      <c r="L173" s="3">
        <f>$D173*TCA!L173/100</f>
        <v>0</v>
      </c>
      <c r="M173" s="3">
        <f>$D173*TCA!M173/100</f>
        <v>0</v>
      </c>
      <c r="N173" s="3">
        <f>$D173*TCA!N173/100</f>
        <v>2</v>
      </c>
      <c r="O173" s="3">
        <f>$D173*TCA!O173/100</f>
        <v>6</v>
      </c>
      <c r="P173" s="3" t="e">
        <f t="shared" si="2"/>
        <v>#DIV/0!</v>
      </c>
      <c r="Q173" s="3">
        <f>$D173*TCA!P173/100</f>
        <v>0.18</v>
      </c>
      <c r="R173" s="3">
        <f>$D173*TCA!Q173/100</f>
        <v>26</v>
      </c>
      <c r="S173" s="3">
        <f>$D173*TCA!R173/100</f>
        <v>21</v>
      </c>
      <c r="T173" s="3">
        <f>$D173*TCA!S173/100</f>
        <v>7.0000000000000007E-2</v>
      </c>
      <c r="U173" s="3">
        <f>$D173*TCA!T173/100</f>
        <v>0</v>
      </c>
      <c r="V173" s="3">
        <f>$D173*TCA!U173/100</f>
        <v>0</v>
      </c>
      <c r="W173" s="3">
        <f>$D173*TCA!V173/100</f>
        <v>0</v>
      </c>
      <c r="X173" s="3">
        <f>$D173*TCA!W173/100</f>
        <v>0</v>
      </c>
    </row>
    <row r="174" spans="1:24" x14ac:dyDescent="0.25">
      <c r="A174" s="3" t="s">
        <v>296</v>
      </c>
      <c r="B174" s="3" t="s">
        <v>342</v>
      </c>
      <c r="C174" s="3" t="s">
        <v>343</v>
      </c>
      <c r="D174" s="3">
        <v>100</v>
      </c>
      <c r="E174" s="3">
        <f>$D174*TCA!E174/100</f>
        <v>136.09</v>
      </c>
      <c r="F174" s="3">
        <f>$D174*TCA!F174/100</f>
        <v>1.3</v>
      </c>
      <c r="G174" s="3">
        <f>$D174*TCA!G174/100</f>
        <v>0.37</v>
      </c>
      <c r="H174" s="3">
        <f>$D174*TCA!H174/100</f>
        <v>31.89</v>
      </c>
      <c r="I174" s="3">
        <f>$D174*TCA!I174/100</f>
        <v>2.2999999999999998</v>
      </c>
      <c r="J174" s="3">
        <f>$D174*TCA!J174/100</f>
        <v>0.14000000000000001</v>
      </c>
      <c r="K174" s="3">
        <f>$D174*TCA!K174/100</f>
        <v>0.03</v>
      </c>
      <c r="L174" s="3">
        <f>$D174*TCA!L174/100</f>
        <v>7.0000000000000007E-2</v>
      </c>
      <c r="M174" s="3">
        <f>$D174*TCA!M174/100</f>
        <v>0</v>
      </c>
      <c r="N174" s="3">
        <f>$D174*TCA!N174/100</f>
        <v>3</v>
      </c>
      <c r="O174" s="3">
        <f>$D174*TCA!O174/100</f>
        <v>34</v>
      </c>
      <c r="P174" s="3">
        <f t="shared" si="2"/>
        <v>26.153846153846153</v>
      </c>
      <c r="Q174" s="3">
        <f>$D174*TCA!P174/100</f>
        <v>0.6</v>
      </c>
      <c r="R174" s="3">
        <f>$D174*TCA!Q174/100</f>
        <v>499</v>
      </c>
      <c r="S174" s="3">
        <f>$D174*TCA!R174/100</f>
        <v>4</v>
      </c>
      <c r="T174" s="3">
        <f>$D174*TCA!S174/100</f>
        <v>0.14000000000000001</v>
      </c>
      <c r="U174" s="3">
        <f>$D174*TCA!T174/100</f>
        <v>18</v>
      </c>
      <c r="V174" s="3">
        <f>$D174*TCA!U174/100</f>
        <v>56</v>
      </c>
      <c r="W174" s="3">
        <f>$D174*TCA!V174/100</f>
        <v>22</v>
      </c>
      <c r="X174" s="3">
        <f>$D174*TCA!W174/100</f>
        <v>0</v>
      </c>
    </row>
    <row r="175" spans="1:24" x14ac:dyDescent="0.25">
      <c r="A175" s="3" t="s">
        <v>296</v>
      </c>
      <c r="B175" s="3" t="s">
        <v>344</v>
      </c>
      <c r="C175" s="3" t="s">
        <v>345</v>
      </c>
      <c r="D175" s="3">
        <v>100</v>
      </c>
      <c r="E175" s="3">
        <f>$D175*TCA!E175/100</f>
        <v>146.9</v>
      </c>
      <c r="F175" s="3">
        <f>$D175*TCA!F175/100</f>
        <v>1.2</v>
      </c>
      <c r="G175" s="3">
        <f>$D175*TCA!G175/100</f>
        <v>0.1</v>
      </c>
      <c r="H175" s="3">
        <f>$D175*TCA!H175/100</f>
        <v>35.299999999999997</v>
      </c>
      <c r="I175" s="3">
        <f>$D175*TCA!I175/100</f>
        <v>0.5</v>
      </c>
      <c r="J175" s="3">
        <f>$D175*TCA!J175/100</f>
        <v>0</v>
      </c>
      <c r="K175" s="3">
        <f>$D175*TCA!K175/100</f>
        <v>0</v>
      </c>
      <c r="L175" s="3">
        <f>$D175*TCA!L175/100</f>
        <v>0</v>
      </c>
      <c r="M175" s="3">
        <f>$D175*TCA!M175/100</f>
        <v>0</v>
      </c>
      <c r="N175" s="3">
        <f>$D175*TCA!N175/100</f>
        <v>8</v>
      </c>
      <c r="O175" s="3">
        <f>$D175*TCA!O175/100</f>
        <v>40</v>
      </c>
      <c r="P175" s="3">
        <f t="shared" si="2"/>
        <v>33.333333333333336</v>
      </c>
      <c r="Q175" s="3">
        <f>$D175*TCA!P175/100</f>
        <v>0.8</v>
      </c>
      <c r="R175" s="3">
        <f>$D175*TCA!Q175/100</f>
        <v>0</v>
      </c>
      <c r="S175" s="3">
        <f>$D175*TCA!R175/100</f>
        <v>0</v>
      </c>
      <c r="T175" s="3">
        <f>$D175*TCA!S175/100</f>
        <v>0</v>
      </c>
      <c r="U175" s="3">
        <f>$D175*TCA!T175/100</f>
        <v>28</v>
      </c>
      <c r="V175" s="3">
        <f>$D175*TCA!U175/100</f>
        <v>130</v>
      </c>
      <c r="W175" s="3">
        <f>$D175*TCA!V175/100</f>
        <v>0</v>
      </c>
      <c r="X175" s="3">
        <f>$D175*TCA!W175/100</f>
        <v>0</v>
      </c>
    </row>
    <row r="176" spans="1:24" x14ac:dyDescent="0.25">
      <c r="A176" s="3" t="s">
        <v>296</v>
      </c>
      <c r="B176" s="3" t="s">
        <v>346</v>
      </c>
      <c r="C176" s="3" t="s">
        <v>347</v>
      </c>
      <c r="D176" s="3">
        <v>100</v>
      </c>
      <c r="E176" s="3">
        <f>$D176*TCA!E176/100</f>
        <v>308.97000000000003</v>
      </c>
      <c r="F176" s="3">
        <f>$D176*TCA!F176/100</f>
        <v>1.5</v>
      </c>
      <c r="G176" s="3">
        <f>$D176*TCA!G176/100</f>
        <v>11.81</v>
      </c>
      <c r="H176" s="3">
        <f>$D176*TCA!H176/100</f>
        <v>49.17</v>
      </c>
      <c r="I176" s="3">
        <f>$D176*TCA!I176/100</f>
        <v>3.5</v>
      </c>
      <c r="J176" s="3">
        <f>$D176*TCA!J176/100</f>
        <v>3.69</v>
      </c>
      <c r="K176" s="3">
        <f>$D176*TCA!K176/100</f>
        <v>4.3499999999999996</v>
      </c>
      <c r="L176" s="3">
        <f>$D176*TCA!L176/100</f>
        <v>2.7</v>
      </c>
      <c r="M176" s="3">
        <f>$D176*TCA!M176/100</f>
        <v>0</v>
      </c>
      <c r="N176" s="3">
        <f>$D176*TCA!N176/100</f>
        <v>4</v>
      </c>
      <c r="O176" s="3">
        <f>$D176*TCA!O176/100</f>
        <v>44</v>
      </c>
      <c r="P176" s="3">
        <f t="shared" si="2"/>
        <v>29.333333333333332</v>
      </c>
      <c r="Q176" s="3">
        <f>$D176*TCA!P176/100</f>
        <v>0.67</v>
      </c>
      <c r="R176" s="3">
        <f>$D176*TCA!Q176/100</f>
        <v>482</v>
      </c>
      <c r="S176" s="3">
        <f>$D176*TCA!R176/100</f>
        <v>2</v>
      </c>
      <c r="T176" s="3">
        <f>$D176*TCA!S176/100</f>
        <v>0.23</v>
      </c>
      <c r="U176" s="3">
        <f>$D176*TCA!T176/100</f>
        <v>3.4</v>
      </c>
      <c r="V176" s="3">
        <f>$D176*TCA!U176/100</f>
        <v>357.6</v>
      </c>
      <c r="W176" s="3">
        <f>$D176*TCA!V176/100</f>
        <v>15</v>
      </c>
      <c r="X176" s="3">
        <f>$D176*TCA!W176/100</f>
        <v>0</v>
      </c>
    </row>
    <row r="177" spans="1:24" x14ac:dyDescent="0.25">
      <c r="A177" s="3" t="s">
        <v>296</v>
      </c>
      <c r="B177" s="3" t="s">
        <v>348</v>
      </c>
      <c r="C177" s="3" t="s">
        <v>349</v>
      </c>
      <c r="D177" s="3">
        <v>100</v>
      </c>
      <c r="E177" s="3">
        <f>$D177*TCA!E177/100</f>
        <v>237.33</v>
      </c>
      <c r="F177" s="3">
        <f>$D177*TCA!F177/100</f>
        <v>2.67</v>
      </c>
      <c r="G177" s="3">
        <f>$D177*TCA!G177/100</f>
        <v>2.67</v>
      </c>
      <c r="H177" s="3">
        <f>$D177*TCA!H177/100</f>
        <v>50.67</v>
      </c>
      <c r="I177" s="3">
        <f>$D177*TCA!I177/100</f>
        <v>0</v>
      </c>
      <c r="J177" s="3">
        <f>$D177*TCA!J177/100</f>
        <v>1.33</v>
      </c>
      <c r="K177" s="3">
        <f>$D177*TCA!K177/100</f>
        <v>0.67</v>
      </c>
      <c r="L177" s="3">
        <f>$D177*TCA!L177/100</f>
        <v>0</v>
      </c>
      <c r="M177" s="3">
        <f>$D177*TCA!M177/100</f>
        <v>45.33</v>
      </c>
      <c r="N177" s="3">
        <f>$D177*TCA!N177/100</f>
        <v>0</v>
      </c>
      <c r="O177" s="3">
        <f>$D177*TCA!O177/100</f>
        <v>0</v>
      </c>
      <c r="P177" s="3">
        <f t="shared" si="2"/>
        <v>0</v>
      </c>
      <c r="Q177" s="3">
        <f>$D177*TCA!P177/100</f>
        <v>0</v>
      </c>
      <c r="R177" s="3">
        <f>$D177*TCA!Q177/100</f>
        <v>0</v>
      </c>
      <c r="S177" s="3">
        <f>$D177*TCA!R177/100</f>
        <v>0</v>
      </c>
      <c r="T177" s="3">
        <f>$D177*TCA!S177/100</f>
        <v>0</v>
      </c>
      <c r="U177" s="3">
        <f>$D177*TCA!T177/100</f>
        <v>0</v>
      </c>
      <c r="V177" s="3">
        <f>$D177*TCA!U177/100</f>
        <v>0</v>
      </c>
      <c r="W177" s="3">
        <f>$D177*TCA!V177/100</f>
        <v>0</v>
      </c>
      <c r="X177" s="3">
        <f>$D177*TCA!W177/100</f>
        <v>0</v>
      </c>
    </row>
    <row r="178" spans="1:24" x14ac:dyDescent="0.25">
      <c r="A178" s="3" t="s">
        <v>296</v>
      </c>
      <c r="B178" s="3" t="s">
        <v>350</v>
      </c>
      <c r="C178" s="3" t="s">
        <v>351</v>
      </c>
      <c r="D178" s="3">
        <v>100</v>
      </c>
      <c r="E178" s="3">
        <f>$D178*TCA!E178/100</f>
        <v>160.19999999999999</v>
      </c>
      <c r="F178" s="3">
        <f>$D178*TCA!F178/100</f>
        <v>1.36</v>
      </c>
      <c r="G178" s="3">
        <f>$D178*TCA!G178/100</f>
        <v>0.28000000000000003</v>
      </c>
      <c r="H178" s="3">
        <f>$D178*TCA!H178/100</f>
        <v>38.06</v>
      </c>
      <c r="I178" s="3">
        <f>$D178*TCA!I178/100</f>
        <v>1.8</v>
      </c>
      <c r="J178" s="3">
        <f>$D178*TCA!J178/100</f>
        <v>7.0000000000000007E-2</v>
      </c>
      <c r="K178" s="3">
        <f>$D178*TCA!K178/100</f>
        <v>0.08</v>
      </c>
      <c r="L178" s="3">
        <f>$D178*TCA!L178/100</f>
        <v>0.05</v>
      </c>
      <c r="M178" s="3">
        <f>$D178*TCA!M178/100</f>
        <v>0</v>
      </c>
      <c r="N178" s="3">
        <f>$D178*TCA!N178/100</f>
        <v>16</v>
      </c>
      <c r="O178" s="3">
        <f>$D178*TCA!O178/100</f>
        <v>27</v>
      </c>
      <c r="P178" s="3">
        <f t="shared" si="2"/>
        <v>19.852941176470587</v>
      </c>
      <c r="Q178" s="3">
        <f>$D178*TCA!P178/100</f>
        <v>0.27</v>
      </c>
      <c r="R178" s="3">
        <f>$D178*TCA!Q178/100</f>
        <v>271</v>
      </c>
      <c r="S178" s="3">
        <f>$D178*TCA!R178/100</f>
        <v>14</v>
      </c>
      <c r="T178" s="3">
        <f>$D178*TCA!S178/100</f>
        <v>0.34</v>
      </c>
      <c r="U178" s="3">
        <f>$D178*TCA!T178/100</f>
        <v>21</v>
      </c>
      <c r="V178" s="3">
        <f>$D178*TCA!U178/100</f>
        <v>1</v>
      </c>
      <c r="W178" s="3">
        <f>$D178*TCA!V178/100</f>
        <v>27</v>
      </c>
      <c r="X178" s="3">
        <f>$D178*TCA!W178/100</f>
        <v>0</v>
      </c>
    </row>
    <row r="179" spans="1:24" x14ac:dyDescent="0.25">
      <c r="A179" s="3" t="s">
        <v>296</v>
      </c>
      <c r="B179" s="3" t="s">
        <v>352</v>
      </c>
      <c r="C179" s="3" t="s">
        <v>353</v>
      </c>
      <c r="D179" s="3">
        <v>100</v>
      </c>
      <c r="E179" s="3">
        <f>$D179*TCA!E179/100</f>
        <v>489.38</v>
      </c>
      <c r="F179" s="3">
        <f>$D179*TCA!F179/100</f>
        <v>2.0299999999999998</v>
      </c>
      <c r="G179" s="3">
        <f>$D179*TCA!G179/100</f>
        <v>24.58</v>
      </c>
      <c r="H179" s="3">
        <f>$D179*TCA!H179/100</f>
        <v>65.010000000000005</v>
      </c>
      <c r="I179" s="3">
        <f>$D179*TCA!I179/100</f>
        <v>0</v>
      </c>
      <c r="J179" s="3">
        <f>$D179*TCA!J179/100</f>
        <v>0</v>
      </c>
      <c r="K179" s="3">
        <f>$D179*TCA!K179/100</f>
        <v>0</v>
      </c>
      <c r="L179" s="3">
        <f>$D179*TCA!L179/100</f>
        <v>0</v>
      </c>
      <c r="M179" s="3">
        <f>$D179*TCA!M179/100</f>
        <v>0</v>
      </c>
      <c r="N179" s="3">
        <f>$D179*TCA!N179/100</f>
        <v>36</v>
      </c>
      <c r="O179" s="3">
        <f>$D179*TCA!O179/100</f>
        <v>94</v>
      </c>
      <c r="P179" s="3">
        <f t="shared" si="2"/>
        <v>46.305418719211829</v>
      </c>
      <c r="Q179" s="3">
        <f>$D179*TCA!P179/100</f>
        <v>0.79</v>
      </c>
      <c r="R179" s="3">
        <f>$D179*TCA!Q179/100</f>
        <v>1133</v>
      </c>
      <c r="S179" s="3">
        <f>$D179*TCA!R179/100</f>
        <v>577</v>
      </c>
      <c r="T179" s="3">
        <f>$D179*TCA!S179/100</f>
        <v>1.1599999999999999</v>
      </c>
      <c r="U179" s="3">
        <f>$D179*TCA!T179/100</f>
        <v>0</v>
      </c>
      <c r="V179" s="3">
        <f>$D179*TCA!U179/100</f>
        <v>0</v>
      </c>
      <c r="W179" s="3">
        <f>$D179*TCA!V179/100</f>
        <v>0</v>
      </c>
      <c r="X179" s="3">
        <f>$D179*TCA!W179/100</f>
        <v>0</v>
      </c>
    </row>
    <row r="180" spans="1:24" x14ac:dyDescent="0.25">
      <c r="A180" s="3" t="s">
        <v>296</v>
      </c>
      <c r="B180" s="3" t="s">
        <v>354</v>
      </c>
      <c r="C180" s="3" t="s">
        <v>355</v>
      </c>
      <c r="D180" s="3">
        <v>100</v>
      </c>
      <c r="E180" s="3">
        <f>$D180*TCA!E180/100</f>
        <v>76.02</v>
      </c>
      <c r="F180" s="3">
        <f>$D180*TCA!F180/100</f>
        <v>1.32</v>
      </c>
      <c r="G180" s="3">
        <f>$D180*TCA!G180/100</f>
        <v>0.3</v>
      </c>
      <c r="H180" s="3">
        <f>$D180*TCA!H180/100</f>
        <v>17.010000000000002</v>
      </c>
      <c r="I180" s="3">
        <f>$D180*TCA!I180/100</f>
        <v>3.6</v>
      </c>
      <c r="J180" s="3">
        <f>$D180*TCA!J180/100</f>
        <v>0.05</v>
      </c>
      <c r="K180" s="3">
        <f>$D180*TCA!K180/100</f>
        <v>0.11</v>
      </c>
      <c r="L180" s="3">
        <f>$D180*TCA!L180/100</f>
        <v>0.05</v>
      </c>
      <c r="M180" s="3">
        <f>$D180*TCA!M180/100</f>
        <v>0</v>
      </c>
      <c r="N180" s="3">
        <f>$D180*TCA!N180/100</f>
        <v>37</v>
      </c>
      <c r="O180" s="3">
        <f>$D180*TCA!O180/100</f>
        <v>69</v>
      </c>
      <c r="P180" s="3">
        <f t="shared" si="2"/>
        <v>52.272727272727273</v>
      </c>
      <c r="Q180" s="3">
        <f>$D180*TCA!P180/100</f>
        <v>0.57999999999999996</v>
      </c>
      <c r="R180" s="3">
        <f>$D180*TCA!Q180/100</f>
        <v>367</v>
      </c>
      <c r="S180" s="3">
        <f>$D180*TCA!R180/100</f>
        <v>10</v>
      </c>
      <c r="T180" s="3">
        <f>$D180*TCA!S180/100</f>
        <v>0.26</v>
      </c>
      <c r="U180" s="3">
        <f>$D180*TCA!T180/100</f>
        <v>13</v>
      </c>
      <c r="V180" s="3">
        <f>$D180*TCA!U180/100</f>
        <v>0</v>
      </c>
      <c r="W180" s="3">
        <f>$D180*TCA!V180/100</f>
        <v>58</v>
      </c>
      <c r="X180" s="3">
        <f>$D180*TCA!W180/100</f>
        <v>0</v>
      </c>
    </row>
    <row r="181" spans="1:24" x14ac:dyDescent="0.25">
      <c r="A181" s="3" t="s">
        <v>296</v>
      </c>
      <c r="B181" s="3" t="s">
        <v>356</v>
      </c>
      <c r="C181" s="3" t="s">
        <v>357</v>
      </c>
      <c r="D181" s="3">
        <v>100</v>
      </c>
      <c r="E181" s="3">
        <f>$D181*TCA!E181/100</f>
        <v>79.459999999999994</v>
      </c>
      <c r="F181" s="3">
        <f>$D181*TCA!F181/100</f>
        <v>1.2</v>
      </c>
      <c r="G181" s="3">
        <f>$D181*TCA!G181/100</f>
        <v>0.3</v>
      </c>
      <c r="H181" s="3">
        <f>$D181*TCA!H181/100</f>
        <v>17.989999999999998</v>
      </c>
      <c r="I181" s="3">
        <f>$D181*TCA!I181/100</f>
        <v>4.9000000000000004</v>
      </c>
      <c r="J181" s="3">
        <f>$D181*TCA!J181/100</f>
        <v>0.05</v>
      </c>
      <c r="K181" s="3">
        <f>$D181*TCA!K181/100</f>
        <v>0.11</v>
      </c>
      <c r="L181" s="3">
        <f>$D181*TCA!L181/100</f>
        <v>0.05</v>
      </c>
      <c r="M181" s="3">
        <f>$D181*TCA!M181/100</f>
        <v>0</v>
      </c>
      <c r="N181" s="3">
        <f>$D181*TCA!N181/100</f>
        <v>36</v>
      </c>
      <c r="O181" s="3">
        <f>$D181*TCA!O181/100</f>
        <v>71</v>
      </c>
      <c r="P181" s="3">
        <f t="shared" si="2"/>
        <v>59.166666666666671</v>
      </c>
      <c r="Q181" s="3">
        <f>$D181*TCA!P181/100</f>
        <v>0.59</v>
      </c>
      <c r="R181" s="3">
        <f>$D181*TCA!Q181/100</f>
        <v>375</v>
      </c>
      <c r="S181" s="3">
        <f>$D181*TCA!R181/100</f>
        <v>10</v>
      </c>
      <c r="T181" s="3">
        <f>$D181*TCA!S181/100</f>
        <v>0.59</v>
      </c>
      <c r="U181" s="3">
        <f>$D181*TCA!T181/100</f>
        <v>17</v>
      </c>
      <c r="V181" s="3">
        <f>$D181*TCA!U181/100</f>
        <v>0</v>
      </c>
      <c r="W181" s="3">
        <f>$D181*TCA!V181/100</f>
        <v>67</v>
      </c>
      <c r="X181" s="3">
        <f>$D181*TCA!W181/100</f>
        <v>0</v>
      </c>
    </row>
    <row r="182" spans="1:24" x14ac:dyDescent="0.25">
      <c r="A182" s="5"/>
      <c r="B182" s="5"/>
      <c r="C182" s="5"/>
      <c r="D182" s="3">
        <v>100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25">
      <c r="A183" s="3" t="s">
        <v>2026</v>
      </c>
      <c r="B183" s="3" t="s">
        <v>358</v>
      </c>
      <c r="C183" s="3" t="s">
        <v>359</v>
      </c>
      <c r="D183" s="3">
        <v>100</v>
      </c>
      <c r="E183" s="3">
        <f>$D183*TCA!E183/100</f>
        <v>174.06</v>
      </c>
      <c r="F183" s="3">
        <f>$D183*TCA!F183/100</f>
        <v>2</v>
      </c>
      <c r="G183" s="3">
        <f>$D183*TCA!G183/100</f>
        <v>14.66</v>
      </c>
      <c r="H183" s="3">
        <f>$D183*TCA!H183/100</f>
        <v>8.5299999999999994</v>
      </c>
      <c r="I183" s="3">
        <f>$D183*TCA!I183/100</f>
        <v>6.7</v>
      </c>
      <c r="J183" s="3">
        <f>$D183*TCA!J183/100</f>
        <v>2.13</v>
      </c>
      <c r="K183" s="3">
        <f>$D183*TCA!K183/100</f>
        <v>9.8000000000000007</v>
      </c>
      <c r="L183" s="3">
        <f>$D183*TCA!L183/100</f>
        <v>1.82</v>
      </c>
      <c r="M183" s="3">
        <f>$D183*TCA!M183/100</f>
        <v>0</v>
      </c>
      <c r="N183" s="3">
        <f>$D183*TCA!N183/100</f>
        <v>12</v>
      </c>
      <c r="O183" s="3">
        <f>$D183*TCA!O183/100</f>
        <v>52</v>
      </c>
      <c r="P183" s="3">
        <f t="shared" si="2"/>
        <v>26</v>
      </c>
      <c r="Q183" s="3">
        <f>$D183*TCA!P183/100</f>
        <v>0.55000000000000004</v>
      </c>
      <c r="R183" s="3">
        <f>$D183*TCA!Q183/100</f>
        <v>485</v>
      </c>
      <c r="S183" s="3">
        <f>$D183*TCA!R183/100</f>
        <v>7</v>
      </c>
      <c r="T183" s="3">
        <f>$D183*TCA!S183/100</f>
        <v>0.64</v>
      </c>
      <c r="U183" s="3">
        <f>$D183*TCA!T183/100</f>
        <v>10</v>
      </c>
      <c r="V183" s="3">
        <f>$D183*TCA!U183/100</f>
        <v>7</v>
      </c>
      <c r="W183" s="3">
        <f>$D183*TCA!V183/100</f>
        <v>81</v>
      </c>
      <c r="X183" s="3">
        <f>$D183*TCA!W183/100</f>
        <v>0</v>
      </c>
    </row>
    <row r="184" spans="1:24" x14ac:dyDescent="0.25">
      <c r="A184" s="3" t="s">
        <v>2026</v>
      </c>
      <c r="B184" s="3" t="s">
        <v>360</v>
      </c>
      <c r="C184" s="3" t="s">
        <v>361</v>
      </c>
      <c r="D184" s="3">
        <v>100</v>
      </c>
      <c r="E184" s="3">
        <f>$D184*TCA!E184/100</f>
        <v>130.74</v>
      </c>
      <c r="F184" s="3">
        <f>$D184*TCA!F184/100</f>
        <v>2.23</v>
      </c>
      <c r="G184" s="3">
        <f>$D184*TCA!G184/100</f>
        <v>10.06</v>
      </c>
      <c r="H184" s="3">
        <f>$D184*TCA!H184/100</f>
        <v>7.82</v>
      </c>
      <c r="I184" s="3">
        <f>$D184*TCA!I184/100</f>
        <v>5.6</v>
      </c>
      <c r="J184" s="3">
        <f>$D184*TCA!J184/100</f>
        <v>1.96</v>
      </c>
      <c r="K184" s="3">
        <f>$D184*TCA!K184/100</f>
        <v>5.51</v>
      </c>
      <c r="L184" s="3">
        <f>$D184*TCA!L184/100</f>
        <v>1.68</v>
      </c>
      <c r="M184" s="3">
        <f>$D184*TCA!M184/100</f>
        <v>0</v>
      </c>
      <c r="N184" s="3">
        <f>$D184*TCA!N184/100</f>
        <v>10</v>
      </c>
      <c r="O184" s="3">
        <f>$D184*TCA!O184/100</f>
        <v>40</v>
      </c>
      <c r="P184" s="3">
        <f t="shared" si="2"/>
        <v>17.937219730941703</v>
      </c>
      <c r="Q184" s="3">
        <f>$D184*TCA!P184/100</f>
        <v>0.17</v>
      </c>
      <c r="R184" s="3">
        <f>$D184*TCA!Q184/100</f>
        <v>351</v>
      </c>
      <c r="S184" s="3">
        <f>$D184*TCA!R184/100</f>
        <v>2</v>
      </c>
      <c r="T184" s="3">
        <f>$D184*TCA!S184/100</f>
        <v>0.4</v>
      </c>
      <c r="U184" s="3">
        <f>$D184*TCA!T184/100</f>
        <v>17.399999999999999</v>
      </c>
      <c r="V184" s="3">
        <f>$D184*TCA!U184/100</f>
        <v>7</v>
      </c>
      <c r="W184" s="3">
        <f>$D184*TCA!V184/100</f>
        <v>35</v>
      </c>
      <c r="X184" s="3">
        <f>$D184*TCA!W184/100</f>
        <v>0</v>
      </c>
    </row>
    <row r="185" spans="1:24" x14ac:dyDescent="0.25">
      <c r="A185" s="3" t="s">
        <v>2026</v>
      </c>
      <c r="B185" s="3" t="s">
        <v>362</v>
      </c>
      <c r="C185" s="3" t="s">
        <v>363</v>
      </c>
      <c r="D185" s="3">
        <v>100</v>
      </c>
      <c r="E185" s="3">
        <f>$D185*TCA!E185/100</f>
        <v>320</v>
      </c>
      <c r="F185" s="3">
        <f>$D185*TCA!F185/100</f>
        <v>0</v>
      </c>
      <c r="G185" s="3">
        <f>$D185*TCA!G185/100</f>
        <v>0</v>
      </c>
      <c r="H185" s="3">
        <f>$D185*TCA!H185/100</f>
        <v>80</v>
      </c>
      <c r="I185" s="3">
        <f>$D185*TCA!I185/100</f>
        <v>1.67</v>
      </c>
      <c r="J185" s="3">
        <f>$D185*TCA!J185/100</f>
        <v>0</v>
      </c>
      <c r="K185" s="3">
        <f>$D185*TCA!K185/100</f>
        <v>0</v>
      </c>
      <c r="L185" s="3">
        <f>$D185*TCA!L185/100</f>
        <v>0</v>
      </c>
      <c r="M185" s="3">
        <f>$D185*TCA!M185/100</f>
        <v>0</v>
      </c>
      <c r="N185" s="3">
        <f>$D185*TCA!N185/100</f>
        <v>0</v>
      </c>
      <c r="O185" s="3">
        <f>$D185*TCA!O185/100</f>
        <v>0</v>
      </c>
      <c r="P185" s="3" t="e">
        <f t="shared" si="2"/>
        <v>#DIV/0!</v>
      </c>
      <c r="Q185" s="3">
        <f>$D185*TCA!P185/100</f>
        <v>0</v>
      </c>
      <c r="R185" s="3">
        <f>$D185*TCA!Q185/100</f>
        <v>0</v>
      </c>
      <c r="S185" s="3">
        <f>$D185*TCA!R185/100</f>
        <v>100</v>
      </c>
      <c r="T185" s="3">
        <f>$D185*TCA!S185/100</f>
        <v>0</v>
      </c>
      <c r="U185" s="3">
        <f>$D185*TCA!T185/100</f>
        <v>0</v>
      </c>
      <c r="V185" s="3">
        <f>$D185*TCA!U185/100</f>
        <v>0</v>
      </c>
      <c r="W185" s="3">
        <f>$D185*TCA!V185/100</f>
        <v>0</v>
      </c>
      <c r="X185" s="3">
        <f>$D185*TCA!W185/100</f>
        <v>0</v>
      </c>
    </row>
    <row r="186" spans="1:24" x14ac:dyDescent="0.25">
      <c r="A186" s="3" t="s">
        <v>2026</v>
      </c>
      <c r="B186" s="3" t="s">
        <v>364</v>
      </c>
      <c r="C186" s="3" t="s">
        <v>365</v>
      </c>
      <c r="D186" s="3">
        <v>100</v>
      </c>
      <c r="E186" s="3">
        <f>$D186*TCA!E186/100</f>
        <v>340</v>
      </c>
      <c r="F186" s="3">
        <f>$D186*TCA!F186/100</f>
        <v>0</v>
      </c>
      <c r="G186" s="3">
        <f>$D186*TCA!G186/100</f>
        <v>0</v>
      </c>
      <c r="H186" s="3">
        <f>$D186*TCA!H186/100</f>
        <v>85</v>
      </c>
      <c r="I186" s="3">
        <f>$D186*TCA!I186/100</f>
        <v>5</v>
      </c>
      <c r="J186" s="3">
        <f>$D186*TCA!J186/100</f>
        <v>0</v>
      </c>
      <c r="K186" s="3">
        <f>$D186*TCA!K186/100</f>
        <v>0</v>
      </c>
      <c r="L186" s="3">
        <f>$D186*TCA!L186/100</f>
        <v>0</v>
      </c>
      <c r="M186" s="3">
        <f>$D186*TCA!M186/100</f>
        <v>0</v>
      </c>
      <c r="N186" s="3">
        <f>$D186*TCA!N186/100</f>
        <v>0</v>
      </c>
      <c r="O186" s="3">
        <f>$D186*TCA!O186/100</f>
        <v>0</v>
      </c>
      <c r="P186" s="3" t="e">
        <f t="shared" si="2"/>
        <v>#DIV/0!</v>
      </c>
      <c r="Q186" s="3">
        <f>$D186*TCA!P186/100</f>
        <v>0</v>
      </c>
      <c r="R186" s="3">
        <f>$D186*TCA!Q186/100</f>
        <v>0</v>
      </c>
      <c r="S186" s="3">
        <f>$D186*TCA!R186/100</f>
        <v>0</v>
      </c>
      <c r="T186" s="3">
        <f>$D186*TCA!S186/100</f>
        <v>0</v>
      </c>
      <c r="U186" s="3">
        <f>$D186*TCA!T186/100</f>
        <v>0</v>
      </c>
      <c r="V186" s="3">
        <f>$D186*TCA!U186/100</f>
        <v>0</v>
      </c>
      <c r="W186" s="3">
        <f>$D186*TCA!V186/100</f>
        <v>0</v>
      </c>
      <c r="X186" s="3">
        <f>$D186*TCA!W186/100</f>
        <v>0</v>
      </c>
    </row>
    <row r="187" spans="1:24" x14ac:dyDescent="0.25">
      <c r="A187" s="3" t="s">
        <v>2026</v>
      </c>
      <c r="B187" s="3" t="s">
        <v>366</v>
      </c>
      <c r="C187" s="3" t="s">
        <v>367</v>
      </c>
      <c r="D187" s="3">
        <v>100</v>
      </c>
      <c r="E187" s="3">
        <f>$D187*TCA!E187/100</f>
        <v>36.700000000000003</v>
      </c>
      <c r="F187" s="3">
        <f>$D187*TCA!F187/100</f>
        <v>1.1000000000000001</v>
      </c>
      <c r="G187" s="3">
        <f>$D187*TCA!G187/100</f>
        <v>1.1000000000000001</v>
      </c>
      <c r="H187" s="3">
        <f>$D187*TCA!H187/100</f>
        <v>5.6</v>
      </c>
      <c r="I187" s="3">
        <f>$D187*TCA!I187/100</f>
        <v>0.9</v>
      </c>
      <c r="J187" s="3">
        <f>$D187*TCA!J187/100</f>
        <v>0</v>
      </c>
      <c r="K187" s="3">
        <f>$D187*TCA!K187/100</f>
        <v>0</v>
      </c>
      <c r="L187" s="3">
        <f>$D187*TCA!L187/100</f>
        <v>0</v>
      </c>
      <c r="M187" s="3">
        <f>$D187*TCA!M187/100</f>
        <v>0</v>
      </c>
      <c r="N187" s="3">
        <f>$D187*TCA!N187/100</f>
        <v>4</v>
      </c>
      <c r="O187" s="3">
        <f>$D187*TCA!O187/100</f>
        <v>0</v>
      </c>
      <c r="P187" s="3">
        <f t="shared" si="2"/>
        <v>0</v>
      </c>
      <c r="Q187" s="3">
        <f>$D187*TCA!P187/100</f>
        <v>0.8</v>
      </c>
      <c r="R187" s="3">
        <f>$D187*TCA!Q187/100</f>
        <v>222</v>
      </c>
      <c r="S187" s="3">
        <f>$D187*TCA!R187/100</f>
        <v>28</v>
      </c>
      <c r="T187" s="3">
        <f>$D187*TCA!S187/100</f>
        <v>0.4</v>
      </c>
      <c r="U187" s="3">
        <f>$D187*TCA!T187/100</f>
        <v>0</v>
      </c>
      <c r="V187" s="3">
        <f>$D187*TCA!U187/100</f>
        <v>0</v>
      </c>
      <c r="W187" s="3">
        <f>$D187*TCA!V187/100</f>
        <v>0</v>
      </c>
      <c r="X187" s="3">
        <f>$D187*TCA!W187/100</f>
        <v>0</v>
      </c>
    </row>
    <row r="188" spans="1:24" x14ac:dyDescent="0.25">
      <c r="A188" s="3" t="s">
        <v>2026</v>
      </c>
      <c r="B188" s="3" t="s">
        <v>368</v>
      </c>
      <c r="C188" s="3" t="s">
        <v>369</v>
      </c>
      <c r="D188" s="3">
        <v>100</v>
      </c>
      <c r="E188" s="3">
        <f>$D188*TCA!E188/100</f>
        <v>31.4</v>
      </c>
      <c r="F188" s="3">
        <f>$D188*TCA!F188/100</f>
        <v>0.9</v>
      </c>
      <c r="G188" s="3">
        <f>$D188*TCA!G188/100</f>
        <v>0.2</v>
      </c>
      <c r="H188" s="3">
        <f>$D188*TCA!H188/100</f>
        <v>6.5</v>
      </c>
      <c r="I188" s="3">
        <f>$D188*TCA!I188/100</f>
        <v>0.5</v>
      </c>
      <c r="J188" s="3">
        <f>$D188*TCA!J188/100</f>
        <v>0</v>
      </c>
      <c r="K188" s="3">
        <f>$D188*TCA!K188/100</f>
        <v>0</v>
      </c>
      <c r="L188" s="3">
        <f>$D188*TCA!L188/100</f>
        <v>0</v>
      </c>
      <c r="M188" s="3">
        <f>$D188*TCA!M188/100</f>
        <v>0</v>
      </c>
      <c r="N188" s="3">
        <f>$D188*TCA!N188/100</f>
        <v>46</v>
      </c>
      <c r="O188" s="3">
        <f>$D188*TCA!O188/100</f>
        <v>14</v>
      </c>
      <c r="P188" s="3">
        <f t="shared" si="2"/>
        <v>15.555555555555555</v>
      </c>
      <c r="Q188" s="3">
        <f>$D188*TCA!P188/100</f>
        <v>0.7</v>
      </c>
      <c r="R188" s="3">
        <f>$D188*TCA!Q188/100</f>
        <v>223</v>
      </c>
      <c r="S188" s="3">
        <f>$D188*TCA!R188/100</f>
        <v>10</v>
      </c>
      <c r="T188" s="3">
        <f>$D188*TCA!S188/100</f>
        <v>0.1</v>
      </c>
      <c r="U188" s="3">
        <f>$D188*TCA!T188/100</f>
        <v>0</v>
      </c>
      <c r="V188" s="3">
        <f>$D188*TCA!U188/100</f>
        <v>12</v>
      </c>
      <c r="W188" s="3">
        <f>$D188*TCA!V188/100</f>
        <v>0</v>
      </c>
      <c r="X188" s="3">
        <f>$D188*TCA!W188/100</f>
        <v>0</v>
      </c>
    </row>
    <row r="189" spans="1:24" x14ac:dyDescent="0.25">
      <c r="A189" s="3" t="s">
        <v>2026</v>
      </c>
      <c r="B189" s="3" t="s">
        <v>370</v>
      </c>
      <c r="C189" s="3" t="s">
        <v>371</v>
      </c>
      <c r="D189" s="3">
        <v>100</v>
      </c>
      <c r="E189" s="3">
        <f>$D189*TCA!E189/100</f>
        <v>21.8</v>
      </c>
      <c r="F189" s="3">
        <f>$D189*TCA!F189/100</f>
        <v>0.7</v>
      </c>
      <c r="G189" s="3">
        <f>$D189*TCA!G189/100</f>
        <v>0.2</v>
      </c>
      <c r="H189" s="3">
        <f>$D189*TCA!H189/100</f>
        <v>4.3</v>
      </c>
      <c r="I189" s="3">
        <f>$D189*TCA!I189/100</f>
        <v>0</v>
      </c>
      <c r="J189" s="3">
        <f>$D189*TCA!J189/100</f>
        <v>0</v>
      </c>
      <c r="K189" s="3">
        <f>$D189*TCA!K189/100</f>
        <v>0</v>
      </c>
      <c r="L189" s="3">
        <f>$D189*TCA!L189/100</f>
        <v>0</v>
      </c>
      <c r="M189" s="3">
        <f>$D189*TCA!M189/100</f>
        <v>0</v>
      </c>
      <c r="N189" s="3">
        <f>$D189*TCA!N189/100</f>
        <v>14</v>
      </c>
      <c r="O189" s="3">
        <f>$D189*TCA!O189/100</f>
        <v>17</v>
      </c>
      <c r="P189" s="3">
        <f t="shared" si="2"/>
        <v>24.285714285714288</v>
      </c>
      <c r="Q189" s="3">
        <f>$D189*TCA!P189/100</f>
        <v>0.8</v>
      </c>
      <c r="R189" s="3">
        <f>$D189*TCA!Q189/100</f>
        <v>0</v>
      </c>
      <c r="S189" s="3">
        <f>$D189*TCA!R189/100</f>
        <v>0</v>
      </c>
      <c r="T189" s="3">
        <f>$D189*TCA!S189/100</f>
        <v>0</v>
      </c>
      <c r="U189" s="3">
        <f>$D189*TCA!T189/100</f>
        <v>15</v>
      </c>
      <c r="V189" s="3">
        <f>$D189*TCA!U189/100</f>
        <v>7</v>
      </c>
      <c r="W189" s="3">
        <f>$D189*TCA!V189/100</f>
        <v>0</v>
      </c>
      <c r="X189" s="3">
        <f>$D189*TCA!W189/100</f>
        <v>0</v>
      </c>
    </row>
    <row r="190" spans="1:24" x14ac:dyDescent="0.25">
      <c r="A190" s="3" t="s">
        <v>2026</v>
      </c>
      <c r="B190" s="3" t="s">
        <v>372</v>
      </c>
      <c r="C190" s="3" t="s">
        <v>373</v>
      </c>
      <c r="D190" s="3">
        <v>100</v>
      </c>
      <c r="E190" s="3">
        <f>$D190*TCA!E190/100</f>
        <v>115.8</v>
      </c>
      <c r="F190" s="3">
        <f>$D190*TCA!F190/100</f>
        <v>1.1000000000000001</v>
      </c>
      <c r="G190" s="3">
        <f>$D190*TCA!G190/100</f>
        <v>0.2</v>
      </c>
      <c r="H190" s="3">
        <f>$D190*TCA!H190/100</f>
        <v>27.4</v>
      </c>
      <c r="I190" s="3">
        <f>$D190*TCA!I190/100</f>
        <v>0</v>
      </c>
      <c r="J190" s="3">
        <f>$D190*TCA!J190/100</f>
        <v>0</v>
      </c>
      <c r="K190" s="3">
        <f>$D190*TCA!K190/100</f>
        <v>0</v>
      </c>
      <c r="L190" s="3">
        <f>$D190*TCA!L190/100</f>
        <v>0</v>
      </c>
      <c r="M190" s="3">
        <f>$D190*TCA!M190/100</f>
        <v>0</v>
      </c>
      <c r="N190" s="3">
        <f>$D190*TCA!N190/100</f>
        <v>8</v>
      </c>
      <c r="O190" s="3">
        <f>$D190*TCA!O190/100</f>
        <v>24</v>
      </c>
      <c r="P190" s="3">
        <f t="shared" si="2"/>
        <v>21.818181818181817</v>
      </c>
      <c r="Q190" s="3">
        <f>$D190*TCA!P190/100</f>
        <v>0.6</v>
      </c>
      <c r="R190" s="3">
        <f>$D190*TCA!Q190/100</f>
        <v>370</v>
      </c>
      <c r="S190" s="3">
        <f>$D190*TCA!R190/100</f>
        <v>1</v>
      </c>
      <c r="T190" s="3">
        <f>$D190*TCA!S190/100</f>
        <v>0.17</v>
      </c>
      <c r="U190" s="3">
        <f>$D190*TCA!T190/100</f>
        <v>13</v>
      </c>
      <c r="V190" s="3">
        <f>$D190*TCA!U190/100</f>
        <v>14</v>
      </c>
      <c r="W190" s="3">
        <f>$D190*TCA!V190/100</f>
        <v>0</v>
      </c>
      <c r="X190" s="3">
        <f>$D190*TCA!W190/100</f>
        <v>0</v>
      </c>
    </row>
    <row r="191" spans="1:24" x14ac:dyDescent="0.25">
      <c r="A191" s="3" t="s">
        <v>2026</v>
      </c>
      <c r="B191" s="3" t="s">
        <v>374</v>
      </c>
      <c r="C191" s="3" t="s">
        <v>375</v>
      </c>
      <c r="D191" s="3">
        <v>100</v>
      </c>
      <c r="E191" s="3">
        <f>$D191*TCA!E191/100</f>
        <v>98.69</v>
      </c>
      <c r="F191" s="3">
        <f>$D191*TCA!F191/100</f>
        <v>1.0900000000000001</v>
      </c>
      <c r="G191" s="3">
        <f>$D191*TCA!G191/100</f>
        <v>0.33</v>
      </c>
      <c r="H191" s="3">
        <f>$D191*TCA!H191/100</f>
        <v>22.84</v>
      </c>
      <c r="I191" s="3">
        <f>$D191*TCA!I191/100</f>
        <v>2.6</v>
      </c>
      <c r="J191" s="3">
        <f>$D191*TCA!J191/100</f>
        <v>0.11</v>
      </c>
      <c r="K191" s="3">
        <f>$D191*TCA!K191/100</f>
        <v>0.03</v>
      </c>
      <c r="L191" s="3">
        <f>$D191*TCA!L191/100</f>
        <v>7.0000000000000007E-2</v>
      </c>
      <c r="M191" s="3">
        <f>$D191*TCA!M191/100</f>
        <v>0</v>
      </c>
      <c r="N191" s="3">
        <f>$D191*TCA!N191/100</f>
        <v>5</v>
      </c>
      <c r="O191" s="3">
        <f>$D191*TCA!O191/100</f>
        <v>22</v>
      </c>
      <c r="P191" s="3">
        <f t="shared" si="2"/>
        <v>20.183486238532108</v>
      </c>
      <c r="Q191" s="3">
        <f>$D191*TCA!P191/100</f>
        <v>0.26</v>
      </c>
      <c r="R191" s="3">
        <f>$D191*TCA!Q191/100</f>
        <v>358</v>
      </c>
      <c r="S191" s="3">
        <f>$D191*TCA!R191/100</f>
        <v>1</v>
      </c>
      <c r="T191" s="3">
        <f>$D191*TCA!S191/100</f>
        <v>0.15</v>
      </c>
      <c r="U191" s="3">
        <f>$D191*TCA!T191/100</f>
        <v>9</v>
      </c>
      <c r="V191" s="3">
        <f>$D191*TCA!U191/100</f>
        <v>3</v>
      </c>
      <c r="W191" s="3">
        <f>$D191*TCA!V191/100</f>
        <v>20</v>
      </c>
      <c r="X191" s="3">
        <f>$D191*TCA!W191/100</f>
        <v>0</v>
      </c>
    </row>
    <row r="192" spans="1:24" x14ac:dyDescent="0.25">
      <c r="A192" s="3" t="s">
        <v>2026</v>
      </c>
      <c r="B192" s="3" t="s">
        <v>376</v>
      </c>
      <c r="C192" s="3" t="s">
        <v>377</v>
      </c>
      <c r="D192" s="3">
        <v>100</v>
      </c>
      <c r="E192" s="3">
        <f>$D192*TCA!E192/100</f>
        <v>133.4</v>
      </c>
      <c r="F192" s="3">
        <f>$D192*TCA!F192/100</f>
        <v>3</v>
      </c>
      <c r="G192" s="3">
        <f>$D192*TCA!G192/100</f>
        <v>0.6</v>
      </c>
      <c r="H192" s="3">
        <f>$D192*TCA!H192/100</f>
        <v>29</v>
      </c>
      <c r="I192" s="3">
        <f>$D192*TCA!I192/100</f>
        <v>0</v>
      </c>
      <c r="J192" s="3">
        <f>$D192*TCA!J192/100</f>
        <v>0</v>
      </c>
      <c r="K192" s="3">
        <f>$D192*TCA!K192/100</f>
        <v>0</v>
      </c>
      <c r="L192" s="3">
        <f>$D192*TCA!L192/100</f>
        <v>0</v>
      </c>
      <c r="M192" s="3">
        <f>$D192*TCA!M192/100</f>
        <v>0</v>
      </c>
      <c r="N192" s="3">
        <f>$D192*TCA!N192/100</f>
        <v>51</v>
      </c>
      <c r="O192" s="3">
        <f>$D192*TCA!O192/100</f>
        <v>0</v>
      </c>
      <c r="P192" s="3">
        <f t="shared" si="2"/>
        <v>0</v>
      </c>
      <c r="Q192" s="3">
        <f>$D192*TCA!P192/100</f>
        <v>6.9</v>
      </c>
      <c r="R192" s="3">
        <f>$D192*TCA!Q192/100</f>
        <v>464</v>
      </c>
      <c r="S192" s="3">
        <f>$D192*TCA!R192/100</f>
        <v>8</v>
      </c>
      <c r="T192" s="3">
        <f>$D192*TCA!S192/100</f>
        <v>1.5</v>
      </c>
      <c r="U192" s="3">
        <f>$D192*TCA!T192/100</f>
        <v>3</v>
      </c>
      <c r="V192" s="3">
        <f>$D192*TCA!U192/100</f>
        <v>0</v>
      </c>
      <c r="W192" s="3">
        <f>$D192*TCA!V192/100</f>
        <v>0</v>
      </c>
      <c r="X192" s="3">
        <f>$D192*TCA!W192/100</f>
        <v>0</v>
      </c>
    </row>
    <row r="193" spans="1:24" x14ac:dyDescent="0.25">
      <c r="A193" s="3" t="s">
        <v>2026</v>
      </c>
      <c r="B193" s="3" t="s">
        <v>378</v>
      </c>
      <c r="C193" s="3" t="s">
        <v>379</v>
      </c>
      <c r="D193" s="3">
        <v>100</v>
      </c>
      <c r="E193" s="3">
        <f>$D193*TCA!E193/100</f>
        <v>100.7</v>
      </c>
      <c r="F193" s="3">
        <f>$D193*TCA!F193/100</f>
        <v>2.1</v>
      </c>
      <c r="G193" s="3">
        <f>$D193*TCA!G193/100</f>
        <v>2.2999999999999998</v>
      </c>
      <c r="H193" s="3">
        <f>$D193*TCA!H193/100</f>
        <v>17.899999999999999</v>
      </c>
      <c r="I193" s="3">
        <f>$D193*TCA!I193/100</f>
        <v>0</v>
      </c>
      <c r="J193" s="3">
        <f>$D193*TCA!J193/100</f>
        <v>0</v>
      </c>
      <c r="K193" s="3">
        <f>$D193*TCA!K193/100</f>
        <v>0</v>
      </c>
      <c r="L193" s="3">
        <f>$D193*TCA!L193/100</f>
        <v>0</v>
      </c>
      <c r="M193" s="3">
        <f>$D193*TCA!M193/100</f>
        <v>0</v>
      </c>
      <c r="N193" s="3">
        <f>$D193*TCA!N193/100</f>
        <v>125</v>
      </c>
      <c r="O193" s="3">
        <f>$D193*TCA!O193/100</f>
        <v>94</v>
      </c>
      <c r="P193" s="3">
        <f t="shared" si="2"/>
        <v>44.761904761904759</v>
      </c>
      <c r="Q193" s="3">
        <f>$D193*TCA!P193/100</f>
        <v>1.2</v>
      </c>
      <c r="R193" s="3">
        <f>$D193*TCA!Q193/100</f>
        <v>0</v>
      </c>
      <c r="S193" s="3">
        <f>$D193*TCA!R193/100</f>
        <v>0</v>
      </c>
      <c r="T193" s="3">
        <f>$D193*TCA!S193/100</f>
        <v>0</v>
      </c>
      <c r="U193" s="3">
        <f>$D193*TCA!T193/100</f>
        <v>90</v>
      </c>
      <c r="V193" s="3">
        <f>$D193*TCA!U193/100</f>
        <v>0</v>
      </c>
      <c r="W193" s="3">
        <f>$D193*TCA!V193/100</f>
        <v>0</v>
      </c>
      <c r="X193" s="3">
        <f>$D193*TCA!W193/100</f>
        <v>0</v>
      </c>
    </row>
    <row r="194" spans="1:24" x14ac:dyDescent="0.25">
      <c r="A194" s="3" t="s">
        <v>2026</v>
      </c>
      <c r="B194" s="3" t="s">
        <v>380</v>
      </c>
      <c r="C194" s="3" t="s">
        <v>381</v>
      </c>
      <c r="D194" s="3">
        <v>100</v>
      </c>
      <c r="E194" s="3">
        <f>$D194*TCA!E194/100</f>
        <v>34.049999999999997</v>
      </c>
      <c r="F194" s="3">
        <f>$D194*TCA!F194/100</f>
        <v>1.04</v>
      </c>
      <c r="G194" s="3">
        <f>$D194*TCA!G194/100</f>
        <v>0.33</v>
      </c>
      <c r="H194" s="3">
        <f>$D194*TCA!H194/100</f>
        <v>6.73</v>
      </c>
      <c r="I194" s="3">
        <f>$D194*TCA!I194/100</f>
        <v>2.8</v>
      </c>
      <c r="J194" s="3">
        <f>$D194*TCA!J194/100</f>
        <v>0.02</v>
      </c>
      <c r="K194" s="3">
        <f>$D194*TCA!K194/100</f>
        <v>0.03</v>
      </c>
      <c r="L194" s="3">
        <f>$D194*TCA!L194/100</f>
        <v>0.18</v>
      </c>
      <c r="M194" s="3">
        <f>$D194*TCA!M194/100</f>
        <v>0</v>
      </c>
      <c r="N194" s="3">
        <f>$D194*TCA!N194/100</f>
        <v>3</v>
      </c>
      <c r="O194" s="3">
        <f>$D194*TCA!O194/100</f>
        <v>12</v>
      </c>
      <c r="P194" s="3">
        <f t="shared" si="2"/>
        <v>11.538461538461538</v>
      </c>
      <c r="Q194" s="3">
        <f>$D194*TCA!P194/100</f>
        <v>0.08</v>
      </c>
      <c r="R194" s="3">
        <f>$D194*TCA!Q194/100</f>
        <v>133</v>
      </c>
      <c r="S194" s="3">
        <f>$D194*TCA!R194/100</f>
        <v>2</v>
      </c>
      <c r="T194" s="3">
        <f>$D194*TCA!S194/100</f>
        <v>0.12</v>
      </c>
      <c r="U194" s="3">
        <f>$D194*TCA!T194/100</f>
        <v>34</v>
      </c>
      <c r="V194" s="3">
        <f>$D194*TCA!U194/100</f>
        <v>3</v>
      </c>
      <c r="W194" s="3">
        <f>$D194*TCA!V194/100</f>
        <v>12</v>
      </c>
      <c r="X194" s="3">
        <f>$D194*TCA!W194/100</f>
        <v>0</v>
      </c>
    </row>
    <row r="195" spans="1:24" x14ac:dyDescent="0.25">
      <c r="A195" s="3" t="s">
        <v>2026</v>
      </c>
      <c r="B195" s="3" t="s">
        <v>382</v>
      </c>
      <c r="C195" s="3" t="s">
        <v>383</v>
      </c>
      <c r="D195" s="3">
        <v>100</v>
      </c>
      <c r="E195" s="3">
        <f>$D195*TCA!E195/100</f>
        <v>96.9</v>
      </c>
      <c r="F195" s="3">
        <f>$D195*TCA!F195/100</f>
        <v>0.73</v>
      </c>
      <c r="G195" s="3">
        <f>$D195*TCA!G195/100</f>
        <v>0.1</v>
      </c>
      <c r="H195" s="3">
        <f>$D195*TCA!H195/100</f>
        <v>23.27</v>
      </c>
      <c r="I195" s="3">
        <f>$D195*TCA!I195/100</f>
        <v>1.1000000000000001</v>
      </c>
      <c r="J195" s="3">
        <f>$D195*TCA!J195/100</f>
        <v>0.02</v>
      </c>
      <c r="K195" s="3">
        <f>$D195*TCA!K195/100</f>
        <v>0.03</v>
      </c>
      <c r="L195" s="3">
        <f>$D195*TCA!L195/100</f>
        <v>0.03</v>
      </c>
      <c r="M195" s="3">
        <f>$D195*TCA!M195/100</f>
        <v>0</v>
      </c>
      <c r="N195" s="3">
        <f>$D195*TCA!N195/100</f>
        <v>10</v>
      </c>
      <c r="O195" s="3">
        <f>$D195*TCA!O195/100</f>
        <v>10</v>
      </c>
      <c r="P195" s="3">
        <f t="shared" si="2"/>
        <v>13.698630136986301</v>
      </c>
      <c r="Q195" s="3">
        <f>$D195*TCA!P195/100</f>
        <v>1.3</v>
      </c>
      <c r="R195" s="3">
        <f>$D195*TCA!Q195/100</f>
        <v>93</v>
      </c>
      <c r="S195" s="3">
        <f>$D195*TCA!R195/100</f>
        <v>7</v>
      </c>
      <c r="T195" s="3">
        <f>$D195*TCA!S195/100</f>
        <v>0.06</v>
      </c>
      <c r="U195" s="3">
        <f>$D195*TCA!T195/100</f>
        <v>2</v>
      </c>
      <c r="V195" s="3">
        <f>$D195*TCA!U195/100</f>
        <v>36</v>
      </c>
      <c r="W195" s="3">
        <f>$D195*TCA!V195/100</f>
        <v>8</v>
      </c>
      <c r="X195" s="3">
        <f>$D195*TCA!W195/100</f>
        <v>0</v>
      </c>
    </row>
    <row r="196" spans="1:24" x14ac:dyDescent="0.25">
      <c r="A196" s="3" t="s">
        <v>2026</v>
      </c>
      <c r="B196" s="3" t="s">
        <v>384</v>
      </c>
      <c r="C196" s="3" t="s">
        <v>385</v>
      </c>
      <c r="D196" s="3">
        <v>100</v>
      </c>
      <c r="E196" s="3">
        <f>$D196*TCA!E196/100</f>
        <v>55.42</v>
      </c>
      <c r="F196" s="3">
        <f>$D196*TCA!F196/100</f>
        <v>1</v>
      </c>
      <c r="G196" s="3">
        <f>$D196*TCA!G196/100</f>
        <v>0.3</v>
      </c>
      <c r="H196" s="3">
        <f>$D196*TCA!H196/100</f>
        <v>12.18</v>
      </c>
      <c r="I196" s="3">
        <f>$D196*TCA!I196/100</f>
        <v>1.6</v>
      </c>
      <c r="J196" s="3">
        <f>$D196*TCA!J196/100</f>
        <v>7.0000000000000007E-2</v>
      </c>
      <c r="K196" s="3">
        <f>$D196*TCA!K196/100</f>
        <v>0.08</v>
      </c>
      <c r="L196" s="3">
        <f>$D196*TCA!L196/100</f>
        <v>0.09</v>
      </c>
      <c r="M196" s="3">
        <f>$D196*TCA!M196/100</f>
        <v>0</v>
      </c>
      <c r="N196" s="3">
        <f>$D196*TCA!N196/100</f>
        <v>16</v>
      </c>
      <c r="O196" s="3">
        <f>$D196*TCA!O196/100</f>
        <v>15</v>
      </c>
      <c r="P196" s="3">
        <f t="shared" ref="P196:P259" si="3">O196/F196</f>
        <v>15</v>
      </c>
      <c r="Q196" s="3">
        <f>$D196*TCA!P196/100</f>
        <v>0.32</v>
      </c>
      <c r="R196" s="3">
        <f>$D196*TCA!Q196/100</f>
        <v>173</v>
      </c>
      <c r="S196" s="3">
        <f>$D196*TCA!R196/100</f>
        <v>3</v>
      </c>
      <c r="T196" s="3">
        <f>$D196*TCA!S196/100</f>
        <v>0.1</v>
      </c>
      <c r="U196" s="3">
        <f>$D196*TCA!T196/100</f>
        <v>10</v>
      </c>
      <c r="V196" s="3">
        <f>$D196*TCA!U196/100</f>
        <v>64</v>
      </c>
      <c r="W196" s="3">
        <f>$D196*TCA!V196/100</f>
        <v>8</v>
      </c>
      <c r="X196" s="3">
        <f>$D196*TCA!W196/100</f>
        <v>0</v>
      </c>
    </row>
    <row r="197" spans="1:24" x14ac:dyDescent="0.25">
      <c r="A197" s="3" t="s">
        <v>2026</v>
      </c>
      <c r="B197" s="3" t="s">
        <v>386</v>
      </c>
      <c r="C197" s="3" t="s">
        <v>387</v>
      </c>
      <c r="D197" s="3">
        <v>100</v>
      </c>
      <c r="E197" s="3">
        <f>$D197*TCA!E197/100</f>
        <v>216</v>
      </c>
      <c r="F197" s="3">
        <f>$D197*TCA!F197/100</f>
        <v>0</v>
      </c>
      <c r="G197" s="3">
        <f>$D197*TCA!G197/100</f>
        <v>0</v>
      </c>
      <c r="H197" s="3">
        <f>$D197*TCA!H197/100</f>
        <v>54</v>
      </c>
      <c r="I197" s="3">
        <f>$D197*TCA!I197/100</f>
        <v>0</v>
      </c>
      <c r="J197" s="3">
        <f>$D197*TCA!J197/100</f>
        <v>0</v>
      </c>
      <c r="K197" s="3">
        <f>$D197*TCA!K197/100</f>
        <v>0</v>
      </c>
      <c r="L197" s="3">
        <f>$D197*TCA!L197/100</f>
        <v>0</v>
      </c>
      <c r="M197" s="3">
        <f>$D197*TCA!M197/100</f>
        <v>0</v>
      </c>
      <c r="N197" s="3">
        <f>$D197*TCA!N197/100</f>
        <v>0</v>
      </c>
      <c r="O197" s="3">
        <f>$D197*TCA!O197/100</f>
        <v>0</v>
      </c>
      <c r="P197" s="3" t="e">
        <f t="shared" si="3"/>
        <v>#DIV/0!</v>
      </c>
      <c r="Q197" s="3">
        <f>$D197*TCA!P197/100</f>
        <v>0</v>
      </c>
      <c r="R197" s="3">
        <f>$D197*TCA!Q197/100</f>
        <v>0</v>
      </c>
      <c r="S197" s="3">
        <f>$D197*TCA!R197/100</f>
        <v>10</v>
      </c>
      <c r="T197" s="3">
        <f>$D197*TCA!S197/100</f>
        <v>0</v>
      </c>
      <c r="U197" s="3">
        <f>$D197*TCA!T197/100</f>
        <v>0</v>
      </c>
      <c r="V197" s="3">
        <f>$D197*TCA!U197/100</f>
        <v>0</v>
      </c>
      <c r="W197" s="3">
        <f>$D197*TCA!V197/100</f>
        <v>0</v>
      </c>
      <c r="X197" s="3">
        <f>$D197*TCA!W197/100</f>
        <v>0</v>
      </c>
    </row>
    <row r="198" spans="1:24" x14ac:dyDescent="0.25">
      <c r="A198" s="3" t="s">
        <v>2026</v>
      </c>
      <c r="B198" s="3" t="s">
        <v>388</v>
      </c>
      <c r="C198" s="3" t="s">
        <v>389</v>
      </c>
      <c r="D198" s="3">
        <v>100</v>
      </c>
      <c r="E198" s="3">
        <f>$D198*TCA!E198/100</f>
        <v>82.98</v>
      </c>
      <c r="F198" s="3">
        <f>$D198*TCA!F198/100</f>
        <v>1.65</v>
      </c>
      <c r="G198" s="3">
        <f>$D198*TCA!G198/100</f>
        <v>0.62</v>
      </c>
      <c r="H198" s="3">
        <f>$D198*TCA!H198/100</f>
        <v>17.7</v>
      </c>
      <c r="I198" s="3">
        <f>$D198*TCA!I198/100</f>
        <v>2.2999999999999998</v>
      </c>
      <c r="J198" s="3">
        <f>$D198*TCA!J198/100</f>
        <v>0</v>
      </c>
      <c r="K198" s="3">
        <f>$D198*TCA!K198/100</f>
        <v>0</v>
      </c>
      <c r="L198" s="3">
        <f>$D198*TCA!L198/100</f>
        <v>0</v>
      </c>
      <c r="M198" s="3">
        <f>$D198*TCA!M198/100</f>
        <v>0</v>
      </c>
      <c r="N198" s="3">
        <f>$D198*TCA!N198/100</f>
        <v>8</v>
      </c>
      <c r="O198" s="3">
        <f>$D198*TCA!O198/100</f>
        <v>26</v>
      </c>
      <c r="P198" s="3">
        <f t="shared" si="3"/>
        <v>15.757575757575758</v>
      </c>
      <c r="Q198" s="3">
        <f>$D198*TCA!P198/100</f>
        <v>0.3</v>
      </c>
      <c r="R198" s="3">
        <f>$D198*TCA!Q198/100</f>
        <v>269</v>
      </c>
      <c r="S198" s="3">
        <f>$D198*TCA!R198/100</f>
        <v>4</v>
      </c>
      <c r="T198" s="3">
        <f>$D198*TCA!S198/100</f>
        <v>0.18</v>
      </c>
      <c r="U198" s="3">
        <f>$D198*TCA!T198/100</f>
        <v>12</v>
      </c>
      <c r="V198" s="3">
        <f>$D198*TCA!U198/100</f>
        <v>0</v>
      </c>
      <c r="W198" s="3">
        <f>$D198*TCA!V198/100</f>
        <v>18</v>
      </c>
      <c r="X198" s="3">
        <f>$D198*TCA!W198/100</f>
        <v>0</v>
      </c>
    </row>
    <row r="199" spans="1:24" x14ac:dyDescent="0.25">
      <c r="A199" s="3" t="s">
        <v>2026</v>
      </c>
      <c r="B199" s="3" t="s">
        <v>390</v>
      </c>
      <c r="C199" s="3" t="s">
        <v>391</v>
      </c>
      <c r="D199" s="3">
        <v>100</v>
      </c>
      <c r="E199" s="3">
        <f>$D199*TCA!E199/100</f>
        <v>195.54</v>
      </c>
      <c r="F199" s="3">
        <f>$D199*TCA!F199/100</f>
        <v>0</v>
      </c>
      <c r="G199" s="3">
        <f>$D199*TCA!G199/100</f>
        <v>4.58</v>
      </c>
      <c r="H199" s="3">
        <f>$D199*TCA!H199/100</f>
        <v>38.58</v>
      </c>
      <c r="I199" s="3">
        <f>$D199*TCA!I199/100</f>
        <v>0</v>
      </c>
      <c r="J199" s="3">
        <f>$D199*TCA!J199/100</f>
        <v>0</v>
      </c>
      <c r="K199" s="3">
        <f>$D199*TCA!K199/100</f>
        <v>0</v>
      </c>
      <c r="L199" s="3">
        <f>$D199*TCA!L199/100</f>
        <v>0</v>
      </c>
      <c r="M199" s="3">
        <f>$D199*TCA!M199/100</f>
        <v>0</v>
      </c>
      <c r="N199" s="3">
        <f>$D199*TCA!N199/100</f>
        <v>1</v>
      </c>
      <c r="O199" s="3">
        <f>$D199*TCA!O199/100</f>
        <v>20</v>
      </c>
      <c r="P199" s="3" t="e">
        <f t="shared" si="3"/>
        <v>#DIV/0!</v>
      </c>
      <c r="Q199" s="3">
        <f>$D199*TCA!P199/100</f>
        <v>0.34</v>
      </c>
      <c r="R199" s="3">
        <f>$D199*TCA!Q199/100</f>
        <v>201</v>
      </c>
      <c r="S199" s="3">
        <f>$D199*TCA!R199/100</f>
        <v>11</v>
      </c>
      <c r="T199" s="3">
        <f>$D199*TCA!S199/100</f>
        <v>0.24</v>
      </c>
      <c r="U199" s="3">
        <f>$D199*TCA!T199/100</f>
        <v>0</v>
      </c>
      <c r="V199" s="3">
        <f>$D199*TCA!U199/100</f>
        <v>0</v>
      </c>
      <c r="W199" s="3">
        <f>$D199*TCA!V199/100</f>
        <v>0</v>
      </c>
      <c r="X199" s="3">
        <f>$D199*TCA!W199/100</f>
        <v>0</v>
      </c>
    </row>
    <row r="200" spans="1:24" x14ac:dyDescent="0.25">
      <c r="A200" s="3" t="s">
        <v>2026</v>
      </c>
      <c r="B200" s="3" t="s">
        <v>392</v>
      </c>
      <c r="C200" s="3" t="s">
        <v>393</v>
      </c>
      <c r="D200" s="3">
        <v>100</v>
      </c>
      <c r="E200" s="3">
        <f>$D200*TCA!E200/100</f>
        <v>231.35</v>
      </c>
      <c r="F200" s="3">
        <f>$D200*TCA!F200/100</f>
        <v>0</v>
      </c>
      <c r="G200" s="3">
        <f>$D200*TCA!G200/100</f>
        <v>4.87</v>
      </c>
      <c r="H200" s="3">
        <f>$D200*TCA!H200/100</f>
        <v>46.88</v>
      </c>
      <c r="I200" s="3">
        <f>$D200*TCA!I200/100</f>
        <v>0</v>
      </c>
      <c r="J200" s="3">
        <f>$D200*TCA!J200/100</f>
        <v>0</v>
      </c>
      <c r="K200" s="3">
        <f>$D200*TCA!K200/100</f>
        <v>0</v>
      </c>
      <c r="L200" s="3">
        <f>$D200*TCA!L200/100</f>
        <v>0</v>
      </c>
      <c r="M200" s="3">
        <f>$D200*TCA!M200/100</f>
        <v>0</v>
      </c>
      <c r="N200" s="3">
        <f>$D200*TCA!N200/100</f>
        <v>1</v>
      </c>
      <c r="O200" s="3">
        <f>$D200*TCA!O200/100</f>
        <v>24</v>
      </c>
      <c r="P200" s="3" t="e">
        <f t="shared" si="3"/>
        <v>#DIV/0!</v>
      </c>
      <c r="Q200" s="3">
        <f>$D200*TCA!P200/100</f>
        <v>0.65</v>
      </c>
      <c r="R200" s="3">
        <f>$D200*TCA!Q200/100</f>
        <v>252</v>
      </c>
      <c r="S200" s="3">
        <f>$D200*TCA!R200/100</f>
        <v>2</v>
      </c>
      <c r="T200" s="3">
        <f>$D200*TCA!S200/100</f>
        <v>0.28999999999999998</v>
      </c>
      <c r="U200" s="3">
        <f>$D200*TCA!T200/100</f>
        <v>0</v>
      </c>
      <c r="V200" s="3">
        <f>$D200*TCA!U200/100</f>
        <v>0</v>
      </c>
      <c r="W200" s="3">
        <f>$D200*TCA!V200/100</f>
        <v>0</v>
      </c>
      <c r="X200" s="3">
        <f>$D200*TCA!W200/100</f>
        <v>0</v>
      </c>
    </row>
    <row r="201" spans="1:24" x14ac:dyDescent="0.25">
      <c r="A201" s="3" t="s">
        <v>2026</v>
      </c>
      <c r="B201" s="3" t="s">
        <v>394</v>
      </c>
      <c r="C201" s="3" t="s">
        <v>395</v>
      </c>
      <c r="D201" s="3">
        <v>100</v>
      </c>
      <c r="E201" s="3">
        <f>$D201*TCA!E201/100</f>
        <v>51</v>
      </c>
      <c r="F201" s="3">
        <f>$D201*TCA!F201/100</f>
        <v>0.7</v>
      </c>
      <c r="G201" s="3">
        <f>$D201*TCA!G201/100</f>
        <v>0.28000000000000003</v>
      </c>
      <c r="H201" s="3">
        <f>$D201*TCA!H201/100</f>
        <v>11.42</v>
      </c>
      <c r="I201" s="3">
        <f>$D201*TCA!I201/100</f>
        <v>1.4</v>
      </c>
      <c r="J201" s="3">
        <f>$D201*TCA!J201/100</f>
        <v>0.02</v>
      </c>
      <c r="K201" s="3">
        <f>$D201*TCA!K201/100</f>
        <v>0.13</v>
      </c>
      <c r="L201" s="3">
        <f>$D201*TCA!L201/100</f>
        <v>0.04</v>
      </c>
      <c r="M201" s="3">
        <f>$D201*TCA!M201/100</f>
        <v>0</v>
      </c>
      <c r="N201" s="3">
        <f>$D201*TCA!N201/100</f>
        <v>6</v>
      </c>
      <c r="O201" s="3">
        <f>$D201*TCA!O201/100</f>
        <v>16</v>
      </c>
      <c r="P201" s="3">
        <f t="shared" si="3"/>
        <v>22.857142857142858</v>
      </c>
      <c r="Q201" s="3">
        <f>$D201*TCA!P201/100</f>
        <v>0.17</v>
      </c>
      <c r="R201" s="3">
        <f>$D201*TCA!Q201/100</f>
        <v>157</v>
      </c>
      <c r="S201" s="3">
        <f>$D201*TCA!R201/100</f>
        <v>0</v>
      </c>
      <c r="T201" s="3">
        <f>$D201*TCA!S201/100</f>
        <v>0.1</v>
      </c>
      <c r="U201" s="3">
        <f>$D201*TCA!T201/100</f>
        <v>10</v>
      </c>
      <c r="V201" s="3">
        <f>$D201*TCA!U201/100</f>
        <v>17</v>
      </c>
      <c r="W201" s="3">
        <f>$D201*TCA!V201/100</f>
        <v>5</v>
      </c>
      <c r="X201" s="3">
        <f>$D201*TCA!W201/100</f>
        <v>0</v>
      </c>
    </row>
    <row r="202" spans="1:24" x14ac:dyDescent="0.25">
      <c r="A202" s="3" t="s">
        <v>2026</v>
      </c>
      <c r="B202" s="3" t="s">
        <v>396</v>
      </c>
      <c r="C202" s="3" t="s">
        <v>397</v>
      </c>
      <c r="D202" s="3">
        <v>100</v>
      </c>
      <c r="E202" s="3">
        <f>$D202*TCA!E202/100</f>
        <v>267.66000000000003</v>
      </c>
      <c r="F202" s="3">
        <f>$D202*TCA!F202/100</f>
        <v>2.1800000000000002</v>
      </c>
      <c r="G202" s="3">
        <f>$D202*TCA!G202/100</f>
        <v>0.38</v>
      </c>
      <c r="H202" s="3">
        <f>$D202*TCA!H202/100</f>
        <v>63.88</v>
      </c>
      <c r="I202" s="3">
        <f>$D202*TCA!I202/100</f>
        <v>7.1</v>
      </c>
      <c r="J202" s="3">
        <f>$D202*TCA!J202/100</f>
        <v>0.09</v>
      </c>
      <c r="K202" s="3">
        <f>$D202*TCA!K202/100</f>
        <v>0.05</v>
      </c>
      <c r="L202" s="3">
        <f>$D202*TCA!L202/100</f>
        <v>0.06</v>
      </c>
      <c r="M202" s="3">
        <f>$D202*TCA!M202/100</f>
        <v>0</v>
      </c>
      <c r="N202" s="3">
        <f>$D202*TCA!N202/100</f>
        <v>43</v>
      </c>
      <c r="O202" s="3">
        <f>$D202*TCA!O202/100</f>
        <v>69</v>
      </c>
      <c r="P202" s="3">
        <f t="shared" si="3"/>
        <v>31.651376146788987</v>
      </c>
      <c r="Q202" s="3">
        <f>$D202*TCA!P202/100</f>
        <v>0.93</v>
      </c>
      <c r="R202" s="3">
        <f>$D202*TCA!Q202/100</f>
        <v>732</v>
      </c>
      <c r="S202" s="3">
        <f>$D202*TCA!R202/100</f>
        <v>2</v>
      </c>
      <c r="T202" s="3">
        <f>$D202*TCA!S202/100</f>
        <v>0.44</v>
      </c>
      <c r="U202" s="3">
        <f>$D202*TCA!T202/100</f>
        <v>1</v>
      </c>
      <c r="V202" s="3">
        <f>$D202*TCA!U202/100</f>
        <v>39</v>
      </c>
      <c r="W202" s="3">
        <f>$D202*TCA!V202/100</f>
        <v>4</v>
      </c>
      <c r="X202" s="3">
        <f>$D202*TCA!W202/100</f>
        <v>0</v>
      </c>
    </row>
    <row r="203" spans="1:24" x14ac:dyDescent="0.25">
      <c r="A203" s="3" t="s">
        <v>2026</v>
      </c>
      <c r="B203" s="3" t="s">
        <v>398</v>
      </c>
      <c r="C203" s="3" t="s">
        <v>399</v>
      </c>
      <c r="D203" s="3">
        <v>100</v>
      </c>
      <c r="E203" s="3">
        <f>$D203*TCA!E203/100</f>
        <v>270</v>
      </c>
      <c r="F203" s="3">
        <f>$D203*TCA!F203/100</f>
        <v>2.5</v>
      </c>
      <c r="G203" s="3">
        <f>$D203*TCA!G203/100</f>
        <v>0</v>
      </c>
      <c r="H203" s="3">
        <f>$D203*TCA!H203/100</f>
        <v>65</v>
      </c>
      <c r="I203" s="3">
        <f>$D203*TCA!I203/100</f>
        <v>5</v>
      </c>
      <c r="J203" s="3">
        <f>$D203*TCA!J203/100</f>
        <v>0</v>
      </c>
      <c r="K203" s="3">
        <f>$D203*TCA!K203/100</f>
        <v>0</v>
      </c>
      <c r="L203" s="3">
        <f>$D203*TCA!L203/100</f>
        <v>0</v>
      </c>
      <c r="M203" s="3">
        <f>$D203*TCA!M203/100</f>
        <v>0</v>
      </c>
      <c r="N203" s="3">
        <f>$D203*TCA!N203/100</f>
        <v>0</v>
      </c>
      <c r="O203" s="3">
        <f>$D203*TCA!O203/100</f>
        <v>0</v>
      </c>
      <c r="P203" s="3">
        <f t="shared" si="3"/>
        <v>0</v>
      </c>
      <c r="Q203" s="3">
        <f>$D203*TCA!P203/100</f>
        <v>0</v>
      </c>
      <c r="R203" s="3">
        <f>$D203*TCA!Q203/100</f>
        <v>0</v>
      </c>
      <c r="S203" s="3">
        <f>$D203*TCA!R203/100</f>
        <v>12.5</v>
      </c>
      <c r="T203" s="3">
        <f>$D203*TCA!S203/100</f>
        <v>0</v>
      </c>
      <c r="U203" s="3">
        <f>$D203*TCA!T203/100</f>
        <v>0</v>
      </c>
      <c r="V203" s="3">
        <f>$D203*TCA!U203/100</f>
        <v>0</v>
      </c>
      <c r="W203" s="3">
        <f>$D203*TCA!V203/100</f>
        <v>0</v>
      </c>
      <c r="X203" s="3">
        <f>$D203*TCA!W203/100</f>
        <v>0</v>
      </c>
    </row>
    <row r="204" spans="1:24" x14ac:dyDescent="0.25">
      <c r="A204" s="3" t="s">
        <v>2026</v>
      </c>
      <c r="B204" s="3" t="s">
        <v>400</v>
      </c>
      <c r="C204" s="3" t="s">
        <v>401</v>
      </c>
      <c r="D204" s="3">
        <v>100</v>
      </c>
      <c r="E204" s="3">
        <f>$D204*TCA!E204/100</f>
        <v>179.07</v>
      </c>
      <c r="F204" s="3">
        <f>$D204*TCA!F204/100</f>
        <v>0</v>
      </c>
      <c r="G204" s="3">
        <f>$D204*TCA!G204/100</f>
        <v>11.63</v>
      </c>
      <c r="H204" s="3">
        <f>$D204*TCA!H204/100</f>
        <v>18.600000000000001</v>
      </c>
      <c r="I204" s="3">
        <f>$D204*TCA!I204/100</f>
        <v>0</v>
      </c>
      <c r="J204" s="3">
        <f>$D204*TCA!J204/100</f>
        <v>2.33</v>
      </c>
      <c r="K204" s="3">
        <f>$D204*TCA!K204/100</f>
        <v>0</v>
      </c>
      <c r="L204" s="3">
        <f>$D204*TCA!L204/100</f>
        <v>0</v>
      </c>
      <c r="M204" s="3">
        <f>$D204*TCA!M204/100</f>
        <v>0</v>
      </c>
      <c r="N204" s="3">
        <f>$D204*TCA!N204/100</f>
        <v>0</v>
      </c>
      <c r="O204" s="3">
        <f>$D204*TCA!O204/100</f>
        <v>0</v>
      </c>
      <c r="P204" s="3" t="e">
        <f t="shared" si="3"/>
        <v>#DIV/0!</v>
      </c>
      <c r="Q204" s="3">
        <f>$D204*TCA!P204/100</f>
        <v>0</v>
      </c>
      <c r="R204" s="3">
        <f>$D204*TCA!Q204/100</f>
        <v>0</v>
      </c>
      <c r="S204" s="3">
        <f>$D204*TCA!R204/100</f>
        <v>0</v>
      </c>
      <c r="T204" s="3">
        <f>$D204*TCA!S204/100</f>
        <v>0</v>
      </c>
      <c r="U204" s="3">
        <f>$D204*TCA!T204/100</f>
        <v>0</v>
      </c>
      <c r="V204" s="3">
        <f>$D204*TCA!U204/100</f>
        <v>0</v>
      </c>
      <c r="W204" s="3">
        <f>$D204*TCA!V204/100</f>
        <v>0</v>
      </c>
      <c r="X204" s="3">
        <f>$D204*TCA!W204/100</f>
        <v>0</v>
      </c>
    </row>
    <row r="205" spans="1:24" x14ac:dyDescent="0.25">
      <c r="A205" s="3" t="s">
        <v>2026</v>
      </c>
      <c r="B205" s="3" t="s">
        <v>403</v>
      </c>
      <c r="C205" s="3" t="s">
        <v>404</v>
      </c>
      <c r="D205" s="3">
        <v>100</v>
      </c>
      <c r="E205" s="3">
        <f>$D205*TCA!E205/100</f>
        <v>213.33</v>
      </c>
      <c r="F205" s="3">
        <f>$D205*TCA!F205/100</f>
        <v>3.33</v>
      </c>
      <c r="G205" s="3">
        <f>$D205*TCA!G205/100</f>
        <v>0</v>
      </c>
      <c r="H205" s="3">
        <f>$D205*TCA!H205/100</f>
        <v>50</v>
      </c>
      <c r="I205" s="3">
        <f>$D205*TCA!I205/100</f>
        <v>6.67</v>
      </c>
      <c r="J205" s="3">
        <f>$D205*TCA!J205/100</f>
        <v>0</v>
      </c>
      <c r="K205" s="3">
        <f>$D205*TCA!K205/100</f>
        <v>0</v>
      </c>
      <c r="L205" s="3">
        <f>$D205*TCA!L205/100</f>
        <v>0</v>
      </c>
      <c r="M205" s="3">
        <f>$D205*TCA!M205/100</f>
        <v>0</v>
      </c>
      <c r="N205" s="3">
        <f>$D205*TCA!N205/100</f>
        <v>0</v>
      </c>
      <c r="O205" s="3">
        <f>$D205*TCA!O205/100</f>
        <v>0</v>
      </c>
      <c r="P205" s="3">
        <f t="shared" si="3"/>
        <v>0</v>
      </c>
      <c r="Q205" s="3">
        <f>$D205*TCA!P205/100</f>
        <v>0</v>
      </c>
      <c r="R205" s="3">
        <f>$D205*TCA!Q205/100</f>
        <v>0</v>
      </c>
      <c r="S205" s="3">
        <f>$D205*TCA!R205/100</f>
        <v>0</v>
      </c>
      <c r="T205" s="3">
        <f>$D205*TCA!S205/100</f>
        <v>0</v>
      </c>
      <c r="U205" s="3">
        <f>$D205*TCA!T205/100</f>
        <v>0</v>
      </c>
      <c r="V205" s="3">
        <f>$D205*TCA!U205/100</f>
        <v>0</v>
      </c>
      <c r="W205" s="3">
        <f>$D205*TCA!V205/100</f>
        <v>0</v>
      </c>
      <c r="X205" s="3">
        <f>$D205*TCA!W205/100</f>
        <v>0</v>
      </c>
    </row>
    <row r="206" spans="1:24" x14ac:dyDescent="0.25">
      <c r="A206" s="3" t="s">
        <v>2026</v>
      </c>
      <c r="B206" s="3" t="s">
        <v>405</v>
      </c>
      <c r="C206" s="3" t="s">
        <v>406</v>
      </c>
      <c r="D206" s="3">
        <v>100</v>
      </c>
      <c r="E206" s="3">
        <f>$D206*TCA!E206/100</f>
        <v>19.52</v>
      </c>
      <c r="F206" s="3">
        <f>$D206*TCA!F206/100</f>
        <v>0.72</v>
      </c>
      <c r="G206" s="3">
        <f>$D206*TCA!G206/100</f>
        <v>0.2</v>
      </c>
      <c r="H206" s="3">
        <f>$D206*TCA!H206/100</f>
        <v>3.71</v>
      </c>
      <c r="I206" s="3">
        <f>$D206*TCA!I206/100</f>
        <v>1.1000000000000001</v>
      </c>
      <c r="J206" s="3">
        <f>$D206*TCA!J206/100</f>
        <v>0.18</v>
      </c>
      <c r="K206" s="3">
        <f>$D206*TCA!K206/100</f>
        <v>0.01</v>
      </c>
      <c r="L206" s="3">
        <f>$D206*TCA!L206/100</f>
        <v>0</v>
      </c>
      <c r="M206" s="3">
        <f>$D206*TCA!M206/100</f>
        <v>0</v>
      </c>
      <c r="N206" s="3">
        <f>$D206*TCA!N206/100</f>
        <v>24</v>
      </c>
      <c r="O206" s="3">
        <f>$D206*TCA!O206/100</f>
        <v>20</v>
      </c>
      <c r="P206" s="3">
        <f t="shared" si="3"/>
        <v>27.777777777777779</v>
      </c>
      <c r="Q206" s="3">
        <f>$D206*TCA!P206/100</f>
        <v>0.28999999999999998</v>
      </c>
      <c r="R206" s="3">
        <f>$D206*TCA!Q206/100</f>
        <v>250</v>
      </c>
      <c r="S206" s="3">
        <f>$D206*TCA!R206/100</f>
        <v>105</v>
      </c>
      <c r="T206" s="3">
        <f>$D206*TCA!S206/100</f>
        <v>0.1</v>
      </c>
      <c r="U206" s="3">
        <f>$D206*TCA!T206/100</f>
        <v>2</v>
      </c>
      <c r="V206" s="3">
        <f>$D206*TCA!U206/100</f>
        <v>0</v>
      </c>
      <c r="W206" s="3">
        <f>$D206*TCA!V206/100</f>
        <v>3</v>
      </c>
      <c r="X206" s="3">
        <f>$D206*TCA!W206/100</f>
        <v>0</v>
      </c>
    </row>
    <row r="207" spans="1:24" x14ac:dyDescent="0.25">
      <c r="A207" s="3" t="s">
        <v>2026</v>
      </c>
      <c r="B207" s="3" t="s">
        <v>407</v>
      </c>
      <c r="C207" s="3" t="s">
        <v>408</v>
      </c>
      <c r="D207" s="3">
        <v>100</v>
      </c>
      <c r="E207" s="3">
        <f>$D207*TCA!E207/100</f>
        <v>560</v>
      </c>
      <c r="F207" s="3">
        <f>$D207*TCA!F207/100</f>
        <v>4</v>
      </c>
      <c r="G207" s="3">
        <f>$D207*TCA!G207/100</f>
        <v>48</v>
      </c>
      <c r="H207" s="3">
        <f>$D207*TCA!H207/100</f>
        <v>28</v>
      </c>
      <c r="I207" s="3">
        <f>$D207*TCA!I207/100</f>
        <v>12</v>
      </c>
      <c r="J207" s="3">
        <f>$D207*TCA!J207/100</f>
        <v>44</v>
      </c>
      <c r="K207" s="3">
        <f>$D207*TCA!K207/100</f>
        <v>0</v>
      </c>
      <c r="L207" s="3">
        <f>$D207*TCA!L207/100</f>
        <v>0</v>
      </c>
      <c r="M207" s="3">
        <f>$D207*TCA!M207/100</f>
        <v>0</v>
      </c>
      <c r="N207" s="3">
        <f>$D207*TCA!N207/100</f>
        <v>0</v>
      </c>
      <c r="O207" s="3">
        <f>$D207*TCA!O207/100</f>
        <v>0</v>
      </c>
      <c r="P207" s="3">
        <f t="shared" si="3"/>
        <v>0</v>
      </c>
      <c r="Q207" s="3">
        <f>$D207*TCA!P207/100</f>
        <v>0</v>
      </c>
      <c r="R207" s="3">
        <f>$D207*TCA!Q207/100</f>
        <v>0</v>
      </c>
      <c r="S207" s="3">
        <f>$D207*TCA!R207/100</f>
        <v>240</v>
      </c>
      <c r="T207" s="3">
        <f>$D207*TCA!S207/100</f>
        <v>0</v>
      </c>
      <c r="U207" s="3">
        <f>$D207*TCA!T207/100</f>
        <v>0</v>
      </c>
      <c r="V207" s="3">
        <f>$D207*TCA!U207/100</f>
        <v>0</v>
      </c>
      <c r="W207" s="3">
        <f>$D207*TCA!V207/100</f>
        <v>0</v>
      </c>
      <c r="X207" s="3">
        <f>$D207*TCA!W207/100</f>
        <v>0</v>
      </c>
    </row>
    <row r="208" spans="1:24" x14ac:dyDescent="0.25">
      <c r="A208" s="3" t="s">
        <v>2026</v>
      </c>
      <c r="B208" s="3" t="s">
        <v>409</v>
      </c>
      <c r="C208" s="3" t="s">
        <v>410</v>
      </c>
      <c r="D208" s="3">
        <v>100</v>
      </c>
      <c r="E208" s="3">
        <f>$D208*TCA!E208/100</f>
        <v>375.65</v>
      </c>
      <c r="F208" s="3">
        <f>$D208*TCA!F208/100</f>
        <v>3.33</v>
      </c>
      <c r="G208" s="3">
        <f>$D208*TCA!G208/100</f>
        <v>33.49</v>
      </c>
      <c r="H208" s="3">
        <f>$D208*TCA!H208/100</f>
        <v>15.23</v>
      </c>
      <c r="I208" s="3">
        <f>$D208*TCA!I208/100</f>
        <v>9</v>
      </c>
      <c r="J208" s="3">
        <f>$D208*TCA!J208/100</f>
        <v>29.7</v>
      </c>
      <c r="K208" s="3">
        <f>$D208*TCA!K208/100</f>
        <v>1.42</v>
      </c>
      <c r="L208" s="3">
        <f>$D208*TCA!L208/100</f>
        <v>0.37</v>
      </c>
      <c r="M208" s="3">
        <f>$D208*TCA!M208/100</f>
        <v>0</v>
      </c>
      <c r="N208" s="3">
        <f>$D208*TCA!N208/100</f>
        <v>14</v>
      </c>
      <c r="O208" s="3">
        <f>$D208*TCA!O208/100</f>
        <v>113</v>
      </c>
      <c r="P208" s="3">
        <f t="shared" si="3"/>
        <v>33.933933933933936</v>
      </c>
      <c r="Q208" s="3">
        <f>$D208*TCA!P208/100</f>
        <v>2.4300000000000002</v>
      </c>
      <c r="R208" s="3">
        <f>$D208*TCA!Q208/100</f>
        <v>356</v>
      </c>
      <c r="S208" s="3">
        <f>$D208*TCA!R208/100</f>
        <v>20</v>
      </c>
      <c r="T208" s="3">
        <f>$D208*TCA!S208/100</f>
        <v>1.1000000000000001</v>
      </c>
      <c r="U208" s="3">
        <f>$D208*TCA!T208/100</f>
        <v>3</v>
      </c>
      <c r="V208" s="3">
        <f>$D208*TCA!U208/100</f>
        <v>0</v>
      </c>
      <c r="W208" s="3">
        <f>$D208*TCA!V208/100</f>
        <v>26</v>
      </c>
      <c r="X208" s="3">
        <f>$D208*TCA!W208/100</f>
        <v>0</v>
      </c>
    </row>
    <row r="209" spans="1:24" x14ac:dyDescent="0.25">
      <c r="A209" s="3" t="s">
        <v>2026</v>
      </c>
      <c r="B209" s="3" t="s">
        <v>411</v>
      </c>
      <c r="C209" s="3" t="s">
        <v>412</v>
      </c>
      <c r="D209" s="3">
        <v>100</v>
      </c>
      <c r="E209" s="3">
        <f>$D209*TCA!E209/100</f>
        <v>492.83</v>
      </c>
      <c r="F209" s="3">
        <f>$D209*TCA!F209/100</f>
        <v>3.28</v>
      </c>
      <c r="G209" s="3">
        <f>$D209*TCA!G209/100</f>
        <v>32.15</v>
      </c>
      <c r="H209" s="3">
        <f>$D209*TCA!H209/100</f>
        <v>47.59</v>
      </c>
      <c r="I209" s="3">
        <f>$D209*TCA!I209/100</f>
        <v>4.3</v>
      </c>
      <c r="J209" s="3">
        <f>$D209*TCA!J209/100</f>
        <v>28.51</v>
      </c>
      <c r="K209" s="3">
        <f>$D209*TCA!K209/100</f>
        <v>1.37</v>
      </c>
      <c r="L209" s="3">
        <f>$D209*TCA!L209/100</f>
        <v>0.35</v>
      </c>
      <c r="M209" s="3">
        <f>$D209*TCA!M209/100</f>
        <v>0</v>
      </c>
      <c r="N209" s="3">
        <f>$D209*TCA!N209/100</f>
        <v>14</v>
      </c>
      <c r="O209" s="3">
        <f>$D209*TCA!O209/100</f>
        <v>100</v>
      </c>
      <c r="P209" s="3">
        <f t="shared" si="3"/>
        <v>30.487804878048781</v>
      </c>
      <c r="Q209" s="3">
        <f>$D209*TCA!P209/100</f>
        <v>1.8</v>
      </c>
      <c r="R209" s="3">
        <f>$D209*TCA!Q209/100</f>
        <v>316</v>
      </c>
      <c r="S209" s="3">
        <f>$D209*TCA!R209/100</f>
        <v>256</v>
      </c>
      <c r="T209" s="3">
        <f>$D209*TCA!S209/100</f>
        <v>1.75</v>
      </c>
      <c r="U209" s="3">
        <f>$D209*TCA!T209/100</f>
        <v>0</v>
      </c>
      <c r="V209" s="3">
        <f>$D209*TCA!U209/100</f>
        <v>0</v>
      </c>
      <c r="W209" s="3">
        <f>$D209*TCA!V209/100</f>
        <v>8</v>
      </c>
      <c r="X209" s="3">
        <f>$D209*TCA!W209/100</f>
        <v>0</v>
      </c>
    </row>
    <row r="210" spans="1:24" x14ac:dyDescent="0.25">
      <c r="A210" s="3" t="s">
        <v>2026</v>
      </c>
      <c r="B210" s="3" t="s">
        <v>413</v>
      </c>
      <c r="C210" s="3" t="s">
        <v>414</v>
      </c>
      <c r="D210" s="3">
        <v>100</v>
      </c>
      <c r="E210" s="3">
        <f>$D210*TCA!E210/100</f>
        <v>93.75</v>
      </c>
      <c r="F210" s="3">
        <f>$D210*TCA!F210/100</f>
        <v>0.39</v>
      </c>
      <c r="G210" s="3">
        <f>$D210*TCA!G210/100</f>
        <v>7.0000000000000007E-2</v>
      </c>
      <c r="H210" s="3">
        <f>$D210*TCA!H210/100</f>
        <v>22.89</v>
      </c>
      <c r="I210" s="3">
        <f>$D210*TCA!I210/100</f>
        <v>1.1000000000000001</v>
      </c>
      <c r="J210" s="3">
        <f>$D210*TCA!J210/100</f>
        <v>0.01</v>
      </c>
      <c r="K210" s="3">
        <f>$D210*TCA!K210/100</f>
        <v>0.01</v>
      </c>
      <c r="L210" s="3">
        <f>$D210*TCA!L210/100</f>
        <v>0.03</v>
      </c>
      <c r="M210" s="3">
        <f>$D210*TCA!M210/100</f>
        <v>0</v>
      </c>
      <c r="N210" s="3">
        <f>$D210*TCA!N210/100</f>
        <v>6</v>
      </c>
      <c r="O210" s="3">
        <f>$D210*TCA!O210/100</f>
        <v>11</v>
      </c>
      <c r="P210" s="3">
        <f t="shared" si="3"/>
        <v>28.205128205128204</v>
      </c>
      <c r="Q210" s="3">
        <f>$D210*TCA!P210/100</f>
        <v>0.28000000000000003</v>
      </c>
      <c r="R210" s="3">
        <f>$D210*TCA!Q210/100</f>
        <v>86</v>
      </c>
      <c r="S210" s="3">
        <f>$D210*TCA!R210/100</f>
        <v>6</v>
      </c>
      <c r="T210" s="3">
        <f>$D210*TCA!S210/100</f>
        <v>0.08</v>
      </c>
      <c r="U210" s="3">
        <f>$D210*TCA!T210/100</f>
        <v>1.9</v>
      </c>
      <c r="V210" s="3">
        <f>$D210*TCA!U210/100</f>
        <v>10</v>
      </c>
      <c r="W210" s="3">
        <f>$D210*TCA!V210/100</f>
        <v>3</v>
      </c>
      <c r="X210" s="3">
        <f>$D210*TCA!W210/100</f>
        <v>0</v>
      </c>
    </row>
    <row r="211" spans="1:24" x14ac:dyDescent="0.25">
      <c r="A211" s="3" t="s">
        <v>2026</v>
      </c>
      <c r="B211" s="3" t="s">
        <v>415</v>
      </c>
      <c r="C211" s="3" t="s">
        <v>416</v>
      </c>
      <c r="D211" s="3">
        <v>100</v>
      </c>
      <c r="E211" s="3">
        <f>$D211*TCA!E211/100</f>
        <v>82.86</v>
      </c>
      <c r="F211" s="3">
        <f>$D211*TCA!F211/100</f>
        <v>0.71</v>
      </c>
      <c r="G211" s="3">
        <f>$D211*TCA!G211/100</f>
        <v>0</v>
      </c>
      <c r="H211" s="3">
        <f>$D211*TCA!H211/100</f>
        <v>20</v>
      </c>
      <c r="I211" s="3">
        <f>$D211*TCA!I211/100</f>
        <v>0.71</v>
      </c>
      <c r="J211" s="3">
        <f>$D211*TCA!J211/100</f>
        <v>0</v>
      </c>
      <c r="K211" s="3">
        <f>$D211*TCA!K211/100</f>
        <v>0</v>
      </c>
      <c r="L211" s="3">
        <f>$D211*TCA!L211/100</f>
        <v>0</v>
      </c>
      <c r="M211" s="3">
        <f>$D211*TCA!M211/100</f>
        <v>0</v>
      </c>
      <c r="N211" s="3">
        <f>$D211*TCA!N211/100</f>
        <v>0</v>
      </c>
      <c r="O211" s="3">
        <f>$D211*TCA!O211/100</f>
        <v>0</v>
      </c>
      <c r="P211" s="3">
        <f t="shared" si="3"/>
        <v>0</v>
      </c>
      <c r="Q211" s="3">
        <f>$D211*TCA!P211/100</f>
        <v>0</v>
      </c>
      <c r="R211" s="3">
        <f>$D211*TCA!Q211/100</f>
        <v>0</v>
      </c>
      <c r="S211" s="3">
        <f>$D211*TCA!R211/100</f>
        <v>14.29</v>
      </c>
      <c r="T211" s="3">
        <f>$D211*TCA!S211/100</f>
        <v>0</v>
      </c>
      <c r="U211" s="3">
        <f>$D211*TCA!T211/100</f>
        <v>0</v>
      </c>
      <c r="V211" s="3">
        <f>$D211*TCA!U211/100</f>
        <v>0</v>
      </c>
      <c r="W211" s="3">
        <f>$D211*TCA!V211/100</f>
        <v>0</v>
      </c>
      <c r="X211" s="3">
        <f>$D211*TCA!W211/100</f>
        <v>0</v>
      </c>
    </row>
    <row r="212" spans="1:24" x14ac:dyDescent="0.25">
      <c r="A212" s="3" t="s">
        <v>2026</v>
      </c>
      <c r="B212" s="3" t="s">
        <v>417</v>
      </c>
      <c r="C212" s="3" t="s">
        <v>418</v>
      </c>
      <c r="D212" s="3">
        <v>100</v>
      </c>
      <c r="E212" s="3">
        <f>$D212*TCA!E212/100</f>
        <v>68</v>
      </c>
      <c r="F212" s="3">
        <f>$D212*TCA!F212/100</f>
        <v>-1</v>
      </c>
      <c r="G212" s="3">
        <f>$D212*TCA!G212/100</f>
        <v>0</v>
      </c>
      <c r="H212" s="3">
        <f>$D212*TCA!H212/100</f>
        <v>18</v>
      </c>
      <c r="I212" s="3">
        <f>$D212*TCA!I212/100</f>
        <v>0</v>
      </c>
      <c r="J212" s="3">
        <f>$D212*TCA!J212/100</f>
        <v>0</v>
      </c>
      <c r="K212" s="3">
        <f>$D212*TCA!K212/100</f>
        <v>0</v>
      </c>
      <c r="L212" s="3">
        <f>$D212*TCA!L212/100</f>
        <v>0</v>
      </c>
      <c r="M212" s="3">
        <f>$D212*TCA!M212/100</f>
        <v>0</v>
      </c>
      <c r="N212" s="3">
        <f>$D212*TCA!N212/100</f>
        <v>0</v>
      </c>
      <c r="O212" s="3">
        <f>$D212*TCA!O212/100</f>
        <v>0</v>
      </c>
      <c r="P212" s="3">
        <f t="shared" si="3"/>
        <v>0</v>
      </c>
      <c r="Q212" s="3">
        <f>$D212*TCA!P212/100</f>
        <v>0</v>
      </c>
      <c r="R212" s="3">
        <f>$D212*TCA!Q212/100</f>
        <v>0</v>
      </c>
      <c r="S212" s="3">
        <f>$D212*TCA!R212/100</f>
        <v>3</v>
      </c>
      <c r="T212" s="3">
        <f>$D212*TCA!S212/100</f>
        <v>0</v>
      </c>
      <c r="U212" s="3">
        <f>$D212*TCA!T212/100</f>
        <v>0</v>
      </c>
      <c r="V212" s="3">
        <f>$D212*TCA!U212/100</f>
        <v>0</v>
      </c>
      <c r="W212" s="3">
        <f>$D212*TCA!V212/100</f>
        <v>0</v>
      </c>
      <c r="X212" s="3">
        <f>$D212*TCA!W212/100</f>
        <v>0</v>
      </c>
    </row>
    <row r="213" spans="1:24" x14ac:dyDescent="0.25">
      <c r="A213" s="3" t="s">
        <v>2026</v>
      </c>
      <c r="B213" s="3" t="s">
        <v>419</v>
      </c>
      <c r="C213" s="3" t="s">
        <v>414</v>
      </c>
      <c r="D213" s="3">
        <v>100</v>
      </c>
      <c r="E213" s="3">
        <f>$D213*TCA!E213/100</f>
        <v>77.42</v>
      </c>
      <c r="F213" s="3">
        <f>$D213*TCA!F213/100</f>
        <v>0.37</v>
      </c>
      <c r="G213" s="3">
        <f>$D213*TCA!G213/100</f>
        <v>0.1</v>
      </c>
      <c r="H213" s="3">
        <f>$D213*TCA!H213/100</f>
        <v>18.760000000000002</v>
      </c>
      <c r="I213" s="3">
        <f>$D213*TCA!I213/100</f>
        <v>1</v>
      </c>
      <c r="J213" s="3">
        <f>$D213*TCA!J213/100</f>
        <v>0.01</v>
      </c>
      <c r="K213" s="3">
        <f>$D213*TCA!K213/100</f>
        <v>0.02</v>
      </c>
      <c r="L213" s="3">
        <f>$D213*TCA!L213/100</f>
        <v>0.04</v>
      </c>
      <c r="M213" s="3">
        <f>$D213*TCA!M213/100</f>
        <v>0</v>
      </c>
      <c r="N213" s="3">
        <f>$D213*TCA!N213/100</f>
        <v>1</v>
      </c>
      <c r="O213" s="3">
        <f>$D213*TCA!O213/100</f>
        <v>10</v>
      </c>
      <c r="P213" s="3">
        <f t="shared" si="3"/>
        <v>27.027027027027028</v>
      </c>
      <c r="Q213" s="3">
        <f>$D213*TCA!P213/100</f>
        <v>0.36</v>
      </c>
      <c r="R213" s="3">
        <f>$D213*TCA!Q213/100</f>
        <v>84</v>
      </c>
      <c r="S213" s="3">
        <f>$D213*TCA!R213/100</f>
        <v>4</v>
      </c>
      <c r="T213" s="3">
        <f>$D213*TCA!S213/100</f>
        <v>7.0000000000000007E-2</v>
      </c>
      <c r="U213" s="3">
        <f>$D213*TCA!T213/100</f>
        <v>69</v>
      </c>
      <c r="V213" s="3">
        <f>$D213*TCA!U213/100</f>
        <v>10</v>
      </c>
      <c r="W213" s="3">
        <f>$D213*TCA!V213/100</f>
        <v>3</v>
      </c>
      <c r="X213" s="3">
        <f>$D213*TCA!W213/100</f>
        <v>0</v>
      </c>
    </row>
    <row r="214" spans="1:24" x14ac:dyDescent="0.25">
      <c r="A214" s="3" t="s">
        <v>2026</v>
      </c>
      <c r="B214" s="3" t="s">
        <v>420</v>
      </c>
      <c r="C214" s="3" t="s">
        <v>421</v>
      </c>
      <c r="D214" s="3">
        <v>100</v>
      </c>
      <c r="E214" s="3">
        <f>$D214*TCA!E214/100</f>
        <v>58.2</v>
      </c>
      <c r="F214" s="3">
        <f>$D214*TCA!F214/100</f>
        <v>0.8</v>
      </c>
      <c r="G214" s="3">
        <f>$D214*TCA!G214/100</f>
        <v>0.2</v>
      </c>
      <c r="H214" s="3">
        <f>$D214*TCA!H214/100</f>
        <v>13.3</v>
      </c>
      <c r="I214" s="3">
        <f>$D214*TCA!I214/100</f>
        <v>1.5</v>
      </c>
      <c r="J214" s="3">
        <f>$D214*TCA!J214/100</f>
        <v>0.02</v>
      </c>
      <c r="K214" s="3">
        <f>$D214*TCA!K214/100</f>
        <v>7.0000000000000007E-2</v>
      </c>
      <c r="L214" s="3">
        <f>$D214*TCA!L214/100</f>
        <v>0.09</v>
      </c>
      <c r="M214" s="3">
        <f>$D214*TCA!M214/100</f>
        <v>0</v>
      </c>
      <c r="N214" s="3">
        <f>$D214*TCA!N214/100</f>
        <v>12</v>
      </c>
      <c r="O214" s="3">
        <f>$D214*TCA!O214/100</f>
        <v>26</v>
      </c>
      <c r="P214" s="3">
        <f t="shared" si="3"/>
        <v>32.5</v>
      </c>
      <c r="Q214" s="3">
        <f>$D214*TCA!P214/100</f>
        <v>1.1000000000000001</v>
      </c>
      <c r="R214" s="3">
        <f>$D214*TCA!Q214/100</f>
        <v>190</v>
      </c>
      <c r="S214" s="3">
        <f>$D214*TCA!R214/100</f>
        <v>0</v>
      </c>
      <c r="T214" s="3">
        <f>$D214*TCA!S214/100</f>
        <v>0.17</v>
      </c>
      <c r="U214" s="3">
        <f>$D214*TCA!T214/100</f>
        <v>28</v>
      </c>
      <c r="V214" s="3">
        <f>$D214*TCA!U214/100</f>
        <v>16</v>
      </c>
      <c r="W214" s="3">
        <f>$D214*TCA!V214/100</f>
        <v>4</v>
      </c>
      <c r="X214" s="3">
        <f>$D214*TCA!W214/100</f>
        <v>0</v>
      </c>
    </row>
    <row r="215" spans="1:24" x14ac:dyDescent="0.25">
      <c r="A215" s="3" t="s">
        <v>2026</v>
      </c>
      <c r="B215" s="3" t="s">
        <v>422</v>
      </c>
      <c r="C215" s="3" t="s">
        <v>423</v>
      </c>
      <c r="D215" s="3">
        <v>100</v>
      </c>
      <c r="E215" s="3">
        <f>$D215*TCA!E215/100</f>
        <v>77.14</v>
      </c>
      <c r="F215" s="3">
        <f>$D215*TCA!F215/100</f>
        <v>0.71</v>
      </c>
      <c r="G215" s="3">
        <f>$D215*TCA!G215/100</f>
        <v>0</v>
      </c>
      <c r="H215" s="3">
        <f>$D215*TCA!H215/100</f>
        <v>18.57</v>
      </c>
      <c r="I215" s="3">
        <f>$D215*TCA!I215/100</f>
        <v>0</v>
      </c>
      <c r="J215" s="3">
        <f>$D215*TCA!J215/100</f>
        <v>0</v>
      </c>
      <c r="K215" s="3">
        <f>$D215*TCA!K215/100</f>
        <v>0</v>
      </c>
      <c r="L215" s="3">
        <f>$D215*TCA!L215/100</f>
        <v>0</v>
      </c>
      <c r="M215" s="3">
        <f>$D215*TCA!M215/100</f>
        <v>0</v>
      </c>
      <c r="N215" s="3">
        <f>$D215*TCA!N215/100</f>
        <v>0</v>
      </c>
      <c r="O215" s="3">
        <f>$D215*TCA!O215/100</f>
        <v>0</v>
      </c>
      <c r="P215" s="3">
        <f t="shared" si="3"/>
        <v>0</v>
      </c>
      <c r="Q215" s="3">
        <f>$D215*TCA!P215/100</f>
        <v>0</v>
      </c>
      <c r="R215" s="3">
        <f>$D215*TCA!Q215/100</f>
        <v>0</v>
      </c>
      <c r="S215" s="3">
        <f>$D215*TCA!R215/100</f>
        <v>7.14</v>
      </c>
      <c r="T215" s="3">
        <f>$D215*TCA!S215/100</f>
        <v>0</v>
      </c>
      <c r="U215" s="3">
        <f>$D215*TCA!T215/100</f>
        <v>0</v>
      </c>
      <c r="V215" s="3">
        <f>$D215*TCA!U215/100</f>
        <v>0</v>
      </c>
      <c r="W215" s="3">
        <f>$D215*TCA!V215/100</f>
        <v>0</v>
      </c>
      <c r="X215" s="3">
        <f>$D215*TCA!W215/100</f>
        <v>0</v>
      </c>
    </row>
    <row r="216" spans="1:24" x14ac:dyDescent="0.25">
      <c r="A216" s="3" t="s">
        <v>2026</v>
      </c>
      <c r="B216" s="3" t="s">
        <v>424</v>
      </c>
      <c r="C216" s="3" t="s">
        <v>425</v>
      </c>
      <c r="D216" s="3">
        <v>100</v>
      </c>
      <c r="E216" s="3">
        <f>$D216*TCA!E216/100</f>
        <v>65.209999999999994</v>
      </c>
      <c r="F216" s="3">
        <f>$D216*TCA!F216/100</f>
        <v>0.43</v>
      </c>
      <c r="G216" s="3">
        <f>$D216*TCA!G216/100</f>
        <v>7.0000000000000007E-2</v>
      </c>
      <c r="H216" s="3">
        <f>$D216*TCA!H216/100</f>
        <v>15.71</v>
      </c>
      <c r="I216" s="3">
        <f>$D216*TCA!I216/100</f>
        <v>1.43</v>
      </c>
      <c r="J216" s="3">
        <f>$D216*TCA!J216/100</f>
        <v>7.0000000000000007E-2</v>
      </c>
      <c r="K216" s="3">
        <f>$D216*TCA!K216/100</f>
        <v>0</v>
      </c>
      <c r="L216" s="3">
        <f>$D216*TCA!L216/100</f>
        <v>0</v>
      </c>
      <c r="M216" s="3">
        <f>$D216*TCA!M216/100</f>
        <v>0</v>
      </c>
      <c r="N216" s="3">
        <f>$D216*TCA!N216/100</f>
        <v>0</v>
      </c>
      <c r="O216" s="3">
        <f>$D216*TCA!O216/100</f>
        <v>0</v>
      </c>
      <c r="P216" s="3">
        <f t="shared" si="3"/>
        <v>0</v>
      </c>
      <c r="Q216" s="3">
        <f>$D216*TCA!P216/100</f>
        <v>0</v>
      </c>
      <c r="R216" s="3">
        <f>$D216*TCA!Q216/100</f>
        <v>0</v>
      </c>
      <c r="S216" s="3">
        <f>$D216*TCA!R216/100</f>
        <v>10</v>
      </c>
      <c r="T216" s="3">
        <f>$D216*TCA!S216/100</f>
        <v>0</v>
      </c>
      <c r="U216" s="3">
        <f>$D216*TCA!T216/100</f>
        <v>0</v>
      </c>
      <c r="V216" s="3">
        <f>$D216*TCA!U216/100</f>
        <v>0</v>
      </c>
      <c r="W216" s="3">
        <f>$D216*TCA!V216/100</f>
        <v>0</v>
      </c>
      <c r="X216" s="3">
        <f>$D216*TCA!W216/100</f>
        <v>0</v>
      </c>
    </row>
    <row r="217" spans="1:24" x14ac:dyDescent="0.25">
      <c r="A217" s="3" t="s">
        <v>2026</v>
      </c>
      <c r="B217" s="3" t="s">
        <v>426</v>
      </c>
      <c r="C217" s="3" t="s">
        <v>427</v>
      </c>
      <c r="D217" s="3">
        <v>100</v>
      </c>
      <c r="E217" s="3">
        <f>$D217*TCA!E217/100</f>
        <v>42.1</v>
      </c>
      <c r="F217" s="3">
        <f>$D217*TCA!F217/100</f>
        <v>0.6</v>
      </c>
      <c r="G217" s="3">
        <f>$D217*TCA!G217/100</f>
        <v>0.1</v>
      </c>
      <c r="H217" s="3">
        <f>$D217*TCA!H217/100</f>
        <v>9.6999999999999993</v>
      </c>
      <c r="I217" s="3">
        <f>$D217*TCA!I217/100</f>
        <v>0</v>
      </c>
      <c r="J217" s="3">
        <f>$D217*TCA!J217/100</f>
        <v>0.02</v>
      </c>
      <c r="K217" s="3">
        <f>$D217*TCA!K217/100</f>
        <v>0.06</v>
      </c>
      <c r="L217" s="3">
        <f>$D217*TCA!L217/100</f>
        <v>0.04</v>
      </c>
      <c r="M217" s="3">
        <f>$D217*TCA!M217/100</f>
        <v>0</v>
      </c>
      <c r="N217" s="3">
        <f>$D217*TCA!N217/100</f>
        <v>21</v>
      </c>
      <c r="O217" s="3">
        <f>$D217*TCA!O217/100</f>
        <v>0</v>
      </c>
      <c r="P217" s="3">
        <f t="shared" si="3"/>
        <v>0</v>
      </c>
      <c r="Q217" s="3">
        <f>$D217*TCA!P217/100</f>
        <v>0.3</v>
      </c>
      <c r="R217" s="3">
        <f>$D217*TCA!Q217/100</f>
        <v>202</v>
      </c>
      <c r="S217" s="3">
        <f>$D217*TCA!R217/100</f>
        <v>1</v>
      </c>
      <c r="T217" s="3">
        <f>$D217*TCA!S217/100</f>
        <v>0.14000000000000001</v>
      </c>
      <c r="U217" s="3">
        <f>$D217*TCA!T217/100</f>
        <v>10</v>
      </c>
      <c r="V217" s="3">
        <f>$D217*TCA!U217/100</f>
        <v>35</v>
      </c>
      <c r="W217" s="3">
        <f>$D217*TCA!V217/100</f>
        <v>0</v>
      </c>
      <c r="X217" s="3">
        <f>$D217*TCA!W217/100</f>
        <v>0</v>
      </c>
    </row>
    <row r="218" spans="1:24" x14ac:dyDescent="0.25">
      <c r="A218" s="3" t="s">
        <v>2026</v>
      </c>
      <c r="B218" s="3" t="s">
        <v>428</v>
      </c>
      <c r="C218" s="3" t="s">
        <v>429</v>
      </c>
      <c r="D218" s="3">
        <v>100</v>
      </c>
      <c r="E218" s="3">
        <f>$D218*TCA!E218/100</f>
        <v>51.3</v>
      </c>
      <c r="F218" s="3">
        <f>$D218*TCA!F218/100</f>
        <v>0.9</v>
      </c>
      <c r="G218" s="3">
        <f>$D218*TCA!G218/100</f>
        <v>0.1</v>
      </c>
      <c r="H218" s="3">
        <f>$D218*TCA!H218/100</f>
        <v>11.7</v>
      </c>
      <c r="I218" s="3">
        <f>$D218*TCA!I218/100</f>
        <v>1.5</v>
      </c>
      <c r="J218" s="3">
        <f>$D218*TCA!J218/100</f>
        <v>0.02</v>
      </c>
      <c r="K218" s="3">
        <f>$D218*TCA!K218/100</f>
        <v>7.0000000000000007E-2</v>
      </c>
      <c r="L218" s="3">
        <f>$D218*TCA!L218/100</f>
        <v>0.09</v>
      </c>
      <c r="M218" s="3">
        <f>$D218*TCA!M218/100</f>
        <v>0</v>
      </c>
      <c r="N218" s="3">
        <f>$D218*TCA!N218/100</f>
        <v>16</v>
      </c>
      <c r="O218" s="3">
        <f>$D218*TCA!O218/100</f>
        <v>0</v>
      </c>
      <c r="P218" s="3">
        <f t="shared" si="3"/>
        <v>0</v>
      </c>
      <c r="Q218" s="3">
        <f>$D218*TCA!P218/100</f>
        <v>0.1</v>
      </c>
      <c r="R218" s="3">
        <f>$D218*TCA!Q218/100</f>
        <v>190</v>
      </c>
      <c r="S218" s="3">
        <f>$D218*TCA!R218/100</f>
        <v>0</v>
      </c>
      <c r="T218" s="3">
        <f>$D218*TCA!S218/100</f>
        <v>0.17</v>
      </c>
      <c r="U218" s="3">
        <f>$D218*TCA!T218/100</f>
        <v>19</v>
      </c>
      <c r="V218" s="3">
        <f>$D218*TCA!U218/100</f>
        <v>22</v>
      </c>
      <c r="W218" s="3">
        <f>$D218*TCA!V218/100</f>
        <v>4</v>
      </c>
      <c r="X218" s="3">
        <f>$D218*TCA!W218/100</f>
        <v>0</v>
      </c>
    </row>
    <row r="219" spans="1:24" x14ac:dyDescent="0.25">
      <c r="A219" s="3" t="s">
        <v>2026</v>
      </c>
      <c r="B219" s="3" t="s">
        <v>430</v>
      </c>
      <c r="C219" s="3" t="s">
        <v>431</v>
      </c>
      <c r="D219" s="3">
        <v>100</v>
      </c>
      <c r="E219" s="3">
        <f>$D219*TCA!E219/100</f>
        <v>49.32</v>
      </c>
      <c r="F219" s="3">
        <f>$D219*TCA!F219/100</f>
        <v>1.06</v>
      </c>
      <c r="G219" s="3">
        <f>$D219*TCA!G219/100</f>
        <v>0.32</v>
      </c>
      <c r="H219" s="3">
        <f>$D219*TCA!H219/100</f>
        <v>10.55</v>
      </c>
      <c r="I219" s="3">
        <f>$D219*TCA!I219/100</f>
        <v>1.7</v>
      </c>
      <c r="J219" s="3">
        <f>$D219*TCA!J219/100</f>
        <v>0.03</v>
      </c>
      <c r="K219" s="3">
        <f>$D219*TCA!K219/100</f>
        <v>0.09</v>
      </c>
      <c r="L219" s="3">
        <f>$D219*TCA!L219/100</f>
        <v>0.11</v>
      </c>
      <c r="M219" s="3">
        <f>$D219*TCA!M219/100</f>
        <v>0</v>
      </c>
      <c r="N219" s="3">
        <f>$D219*TCA!N219/100</f>
        <v>6</v>
      </c>
      <c r="O219" s="3">
        <f>$D219*TCA!O219/100</f>
        <v>26</v>
      </c>
      <c r="P219" s="3">
        <f t="shared" si="3"/>
        <v>24.528301886792452</v>
      </c>
      <c r="Q219" s="3">
        <f>$D219*TCA!P219/100</f>
        <v>0.28000000000000003</v>
      </c>
      <c r="R219" s="3">
        <f>$D219*TCA!Q219/100</f>
        <v>201</v>
      </c>
      <c r="S219" s="3">
        <f>$D219*TCA!R219/100</f>
        <v>0</v>
      </c>
      <c r="T219" s="3">
        <f>$D219*TCA!S219/100</f>
        <v>0.17</v>
      </c>
      <c r="U219" s="3">
        <f>$D219*TCA!T219/100</f>
        <v>5</v>
      </c>
      <c r="V219" s="3">
        <f>$D219*TCA!U219/100</f>
        <v>17</v>
      </c>
      <c r="W219" s="3">
        <f>$D219*TCA!V219/100</f>
        <v>5</v>
      </c>
      <c r="X219" s="3">
        <f>$D219*TCA!W219/100</f>
        <v>0</v>
      </c>
    </row>
    <row r="220" spans="1:24" x14ac:dyDescent="0.25">
      <c r="A220" s="3" t="s">
        <v>2026</v>
      </c>
      <c r="B220" s="3" t="s">
        <v>432</v>
      </c>
      <c r="C220" s="3" t="s">
        <v>433</v>
      </c>
      <c r="D220" s="3">
        <v>100</v>
      </c>
      <c r="E220" s="3">
        <f>$D220*TCA!E220/100</f>
        <v>82.46</v>
      </c>
      <c r="F220" s="3">
        <f>$D220*TCA!F220/100</f>
        <v>0.45</v>
      </c>
      <c r="G220" s="3">
        <f>$D220*TCA!G220/100</f>
        <v>0.1</v>
      </c>
      <c r="H220" s="3">
        <f>$D220*TCA!H220/100</f>
        <v>19.940000000000001</v>
      </c>
      <c r="I220" s="3">
        <f>$D220*TCA!I220/100</f>
        <v>1.3</v>
      </c>
      <c r="J220" s="3">
        <f>$D220*TCA!J220/100</f>
        <v>0.01</v>
      </c>
      <c r="K220" s="3">
        <f>$D220*TCA!K220/100</f>
        <v>0.04</v>
      </c>
      <c r="L220" s="3">
        <f>$D220*TCA!L220/100</f>
        <v>0.05</v>
      </c>
      <c r="M220" s="3">
        <f>$D220*TCA!M220/100</f>
        <v>0</v>
      </c>
      <c r="N220" s="3">
        <f>$D220*TCA!N220/100</f>
        <v>3</v>
      </c>
      <c r="O220" s="3">
        <f>$D220*TCA!O220/100</f>
        <v>11</v>
      </c>
      <c r="P220" s="3">
        <f t="shared" si="3"/>
        <v>24.444444444444443</v>
      </c>
      <c r="Q220" s="3">
        <f>$D220*TCA!P220/100</f>
        <v>0.27</v>
      </c>
      <c r="R220" s="3">
        <f>$D220*TCA!Q220/100</f>
        <v>92</v>
      </c>
      <c r="S220" s="3">
        <f>$D220*TCA!R220/100</f>
        <v>6</v>
      </c>
      <c r="T220" s="3">
        <f>$D220*TCA!S220/100</f>
        <v>0.09</v>
      </c>
      <c r="U220" s="3">
        <f>$D220*TCA!T220/100</f>
        <v>3</v>
      </c>
      <c r="V220" s="3">
        <f>$D220*TCA!U220/100</f>
        <v>17</v>
      </c>
      <c r="W220" s="3">
        <f>$D220*TCA!V220/100</f>
        <v>3</v>
      </c>
      <c r="X220" s="3">
        <f>$D220*TCA!W220/100</f>
        <v>0</v>
      </c>
    </row>
    <row r="221" spans="1:24" x14ac:dyDescent="0.25">
      <c r="A221" s="3" t="s">
        <v>2026</v>
      </c>
      <c r="B221" s="3" t="s">
        <v>434</v>
      </c>
      <c r="C221" s="3" t="s">
        <v>435</v>
      </c>
      <c r="D221" s="3">
        <v>100</v>
      </c>
      <c r="E221" s="3">
        <f>$D221*TCA!E221/100</f>
        <v>297.14</v>
      </c>
      <c r="F221" s="3">
        <f>$D221*TCA!F221/100</f>
        <v>2.86</v>
      </c>
      <c r="G221" s="3">
        <f>$D221*TCA!G221/100</f>
        <v>0</v>
      </c>
      <c r="H221" s="3">
        <f>$D221*TCA!H221/100</f>
        <v>71.430000000000007</v>
      </c>
      <c r="I221" s="3">
        <f>$D221*TCA!I221/100</f>
        <v>8.57</v>
      </c>
      <c r="J221" s="3">
        <f>$D221*TCA!J221/100</f>
        <v>0</v>
      </c>
      <c r="K221" s="3">
        <f>$D221*TCA!K221/100</f>
        <v>0</v>
      </c>
      <c r="L221" s="3">
        <f>$D221*TCA!L221/100</f>
        <v>0</v>
      </c>
      <c r="M221" s="3">
        <f>$D221*TCA!M221/100</f>
        <v>0</v>
      </c>
      <c r="N221" s="3">
        <f>$D221*TCA!N221/100</f>
        <v>0</v>
      </c>
      <c r="O221" s="3">
        <f>$D221*TCA!O221/100</f>
        <v>0</v>
      </c>
      <c r="P221" s="3">
        <f t="shared" si="3"/>
        <v>0</v>
      </c>
      <c r="Q221" s="3">
        <f>$D221*TCA!P221/100</f>
        <v>0</v>
      </c>
      <c r="R221" s="3">
        <f>$D221*TCA!Q221/100</f>
        <v>0</v>
      </c>
      <c r="S221" s="3">
        <f>$D221*TCA!R221/100</f>
        <v>0</v>
      </c>
      <c r="T221" s="3">
        <f>$D221*TCA!S221/100</f>
        <v>0</v>
      </c>
      <c r="U221" s="3">
        <f>$D221*TCA!T221/100</f>
        <v>0</v>
      </c>
      <c r="V221" s="3">
        <f>$D221*TCA!U221/100</f>
        <v>0</v>
      </c>
      <c r="W221" s="3">
        <f>$D221*TCA!V221/100</f>
        <v>0</v>
      </c>
      <c r="X221" s="3">
        <f>$D221*TCA!W221/100</f>
        <v>0</v>
      </c>
    </row>
    <row r="222" spans="1:24" x14ac:dyDescent="0.25">
      <c r="A222" s="3" t="s">
        <v>2026</v>
      </c>
      <c r="B222" s="3" t="s">
        <v>436</v>
      </c>
      <c r="C222" s="3" t="s">
        <v>437</v>
      </c>
      <c r="D222" s="3">
        <v>100</v>
      </c>
      <c r="E222" s="3">
        <f>$D222*TCA!E222/100</f>
        <v>114.83</v>
      </c>
      <c r="F222" s="3">
        <f>$D222*TCA!F222/100</f>
        <v>1.07</v>
      </c>
      <c r="G222" s="3">
        <f>$D222*TCA!G222/100</f>
        <v>0.23</v>
      </c>
      <c r="H222" s="3">
        <f>$D222*TCA!H222/100</f>
        <v>27.12</v>
      </c>
      <c r="I222" s="3">
        <f>$D222*TCA!I222/100</f>
        <v>4.9000000000000004</v>
      </c>
      <c r="J222" s="3">
        <f>$D222*TCA!J222/100</f>
        <v>0.05</v>
      </c>
      <c r="K222" s="3">
        <f>$D222*TCA!K222/100</f>
        <v>0.03</v>
      </c>
      <c r="L222" s="3">
        <f>$D222*TCA!L222/100</f>
        <v>7.0000000000000007E-2</v>
      </c>
      <c r="M222" s="3">
        <f>$D222*TCA!M222/100</f>
        <v>0</v>
      </c>
      <c r="N222" s="3">
        <f>$D222*TCA!N222/100</f>
        <v>17</v>
      </c>
      <c r="O222" s="3">
        <f>$D222*TCA!O222/100</f>
        <v>30</v>
      </c>
      <c r="P222" s="3">
        <f t="shared" si="3"/>
        <v>28.037383177570092</v>
      </c>
      <c r="Q222" s="3">
        <f>$D222*TCA!P222/100</f>
        <v>0.54</v>
      </c>
      <c r="R222" s="3">
        <f>$D222*TCA!Q222/100</f>
        <v>490</v>
      </c>
      <c r="S222" s="3">
        <f>$D222*TCA!R222/100</f>
        <v>2</v>
      </c>
      <c r="T222" s="3" t="e">
        <f>$D222*TCA!S222/100</f>
        <v>#VALUE!</v>
      </c>
      <c r="U222" s="3">
        <f>$D222*TCA!T222/100</f>
        <v>29</v>
      </c>
      <c r="V222" s="3">
        <f>$D222*TCA!U222/100</f>
        <v>0</v>
      </c>
      <c r="W222" s="3">
        <f>$D222*TCA!V222/100</f>
        <v>14</v>
      </c>
      <c r="X222" s="3">
        <f>$D222*TCA!W222/100</f>
        <v>0</v>
      </c>
    </row>
    <row r="223" spans="1:24" x14ac:dyDescent="0.25">
      <c r="A223" s="3" t="s">
        <v>2026</v>
      </c>
      <c r="B223" s="3" t="s">
        <v>439</v>
      </c>
      <c r="C223" s="3" t="s">
        <v>440</v>
      </c>
      <c r="D223" s="3">
        <v>100</v>
      </c>
      <c r="E223" s="3">
        <f>$D223*TCA!E223/100</f>
        <v>36.1</v>
      </c>
      <c r="F223" s="3">
        <f>$D223*TCA!F223/100</f>
        <v>0.67</v>
      </c>
      <c r="G223" s="3">
        <f>$D223*TCA!G223/100</f>
        <v>0.3</v>
      </c>
      <c r="H223" s="3">
        <f>$D223*TCA!H223/100</f>
        <v>7.68</v>
      </c>
      <c r="I223" s="3">
        <f>$D223*TCA!I223/100</f>
        <v>2</v>
      </c>
      <c r="J223" s="3">
        <f>$D223*TCA!J223/100</f>
        <v>0.01</v>
      </c>
      <c r="K223" s="3">
        <f>$D223*TCA!K223/100</f>
        <v>0.04</v>
      </c>
      <c r="L223" s="3">
        <f>$D223*TCA!L223/100</f>
        <v>0.16</v>
      </c>
      <c r="M223" s="3">
        <f>$D223*TCA!M223/100</f>
        <v>0</v>
      </c>
      <c r="N223" s="3">
        <f>$D223*TCA!N223/100</f>
        <v>16</v>
      </c>
      <c r="O223" s="3">
        <f>$D223*TCA!O223/100</f>
        <v>24</v>
      </c>
      <c r="P223" s="3">
        <f t="shared" si="3"/>
        <v>35.820895522388057</v>
      </c>
      <c r="Q223" s="3">
        <f>$D223*TCA!P223/100</f>
        <v>0.42</v>
      </c>
      <c r="R223" s="3">
        <f>$D223*TCA!Q223/100</f>
        <v>153</v>
      </c>
      <c r="S223" s="3">
        <f>$D223*TCA!R223/100</f>
        <v>1</v>
      </c>
      <c r="T223" s="3">
        <f>$D223*TCA!S223/100</f>
        <v>0.14000000000000001</v>
      </c>
      <c r="U223" s="3">
        <f>$D223*TCA!T223/100</f>
        <v>59</v>
      </c>
      <c r="V223" s="3">
        <f>$D223*TCA!U223/100</f>
        <v>1</v>
      </c>
      <c r="W223" s="3">
        <f>$D223*TCA!V223/100</f>
        <v>24</v>
      </c>
      <c r="X223" s="3">
        <f>$D223*TCA!W223/100</f>
        <v>0</v>
      </c>
    </row>
    <row r="224" spans="1:24" x14ac:dyDescent="0.25">
      <c r="A224" s="3" t="s">
        <v>2026</v>
      </c>
      <c r="B224" s="3" t="s">
        <v>441</v>
      </c>
      <c r="C224" s="3" t="s">
        <v>442</v>
      </c>
      <c r="D224" s="3">
        <v>100</v>
      </c>
      <c r="E224" s="3">
        <f>$D224*TCA!E224/100</f>
        <v>348</v>
      </c>
      <c r="F224" s="3">
        <f>$D224*TCA!F224/100</f>
        <v>7</v>
      </c>
      <c r="G224" s="3">
        <f>$D224*TCA!G224/100</f>
        <v>0</v>
      </c>
      <c r="H224" s="3">
        <f>$D224*TCA!H224/100</f>
        <v>80</v>
      </c>
      <c r="I224" s="3">
        <f>$D224*TCA!I224/100</f>
        <v>20</v>
      </c>
      <c r="J224" s="3">
        <f>$D224*TCA!J224/100</f>
        <v>0</v>
      </c>
      <c r="K224" s="3">
        <f>$D224*TCA!K224/100</f>
        <v>0</v>
      </c>
      <c r="L224" s="3">
        <f>$D224*TCA!L224/100</f>
        <v>0</v>
      </c>
      <c r="M224" s="3">
        <f>$D224*TCA!M224/100</f>
        <v>0</v>
      </c>
      <c r="N224" s="3">
        <f>$D224*TCA!N224/100</f>
        <v>0</v>
      </c>
      <c r="O224" s="3">
        <f>$D224*TCA!O224/100</f>
        <v>0</v>
      </c>
      <c r="P224" s="3">
        <f t="shared" si="3"/>
        <v>0</v>
      </c>
      <c r="Q224" s="3">
        <f>$D224*TCA!P224/100</f>
        <v>0</v>
      </c>
      <c r="R224" s="3">
        <f>$D224*TCA!Q224/100</f>
        <v>0</v>
      </c>
      <c r="S224" s="3">
        <f>$D224*TCA!R224/100</f>
        <v>0</v>
      </c>
      <c r="T224" s="3">
        <f>$D224*TCA!S224/100</f>
        <v>0</v>
      </c>
      <c r="U224" s="3">
        <f>$D224*TCA!T224/100</f>
        <v>0</v>
      </c>
      <c r="V224" s="3">
        <f>$D224*TCA!U224/100</f>
        <v>0</v>
      </c>
      <c r="W224" s="3">
        <f>$D224*TCA!V224/100</f>
        <v>0</v>
      </c>
      <c r="X224" s="3">
        <f>$D224*TCA!W224/100</f>
        <v>0</v>
      </c>
    </row>
    <row r="225" spans="1:24" x14ac:dyDescent="0.25">
      <c r="A225" s="3" t="s">
        <v>2026</v>
      </c>
      <c r="B225" s="3" t="s">
        <v>443</v>
      </c>
      <c r="C225" s="3" t="s">
        <v>444</v>
      </c>
      <c r="D225" s="3">
        <v>100</v>
      </c>
      <c r="E225" s="3">
        <f>$D225*TCA!E225/100</f>
        <v>104</v>
      </c>
      <c r="F225" s="3">
        <f>$D225*TCA!F225/100</f>
        <v>2.4</v>
      </c>
      <c r="G225" s="3">
        <f>$D225*TCA!G225/100</f>
        <v>2.8</v>
      </c>
      <c r="H225" s="3">
        <f>$D225*TCA!H225/100</f>
        <v>17.3</v>
      </c>
      <c r="I225" s="3">
        <f>$D225*TCA!I225/100</f>
        <v>0</v>
      </c>
      <c r="J225" s="3">
        <f>$D225*TCA!J225/100</f>
        <v>0</v>
      </c>
      <c r="K225" s="3">
        <f>$D225*TCA!K225/100</f>
        <v>0</v>
      </c>
      <c r="L225" s="3">
        <f>$D225*TCA!L225/100</f>
        <v>0</v>
      </c>
      <c r="M225" s="3">
        <f>$D225*TCA!M225/100</f>
        <v>0</v>
      </c>
      <c r="N225" s="3">
        <f>$D225*TCA!N225/100</f>
        <v>10</v>
      </c>
      <c r="O225" s="3">
        <f>$D225*TCA!O225/100</f>
        <v>64</v>
      </c>
      <c r="P225" s="3">
        <f t="shared" si="3"/>
        <v>26.666666666666668</v>
      </c>
      <c r="Q225" s="3">
        <f>$D225*TCA!P225/100</f>
        <v>0.9</v>
      </c>
      <c r="R225" s="3">
        <f>$D225*TCA!Q225/100</f>
        <v>348</v>
      </c>
      <c r="S225" s="3">
        <f>$D225*TCA!R225/100</f>
        <v>28</v>
      </c>
      <c r="T225" s="3">
        <f>$D225*TCA!S225/100</f>
        <v>0</v>
      </c>
      <c r="U225" s="3">
        <f>$D225*TCA!T225/100</f>
        <v>20</v>
      </c>
      <c r="V225" s="3">
        <f>$D225*TCA!U225/100</f>
        <v>28</v>
      </c>
      <c r="W225" s="3">
        <f>$D225*TCA!V225/100</f>
        <v>0</v>
      </c>
      <c r="X225" s="3">
        <f>$D225*TCA!W225/100</f>
        <v>0</v>
      </c>
    </row>
    <row r="226" spans="1:24" x14ac:dyDescent="0.25">
      <c r="A226" s="3" t="s">
        <v>2026</v>
      </c>
      <c r="B226" s="3" t="s">
        <v>445</v>
      </c>
      <c r="C226" s="3" t="s">
        <v>446</v>
      </c>
      <c r="D226" s="3">
        <v>100</v>
      </c>
      <c r="E226" s="3">
        <f>$D226*TCA!E226/100</f>
        <v>32.479999999999997</v>
      </c>
      <c r="F226" s="3">
        <f>$D226*TCA!F226/100</f>
        <v>0</v>
      </c>
      <c r="G226" s="3">
        <f>$D226*TCA!G226/100</f>
        <v>0</v>
      </c>
      <c r="H226" s="3">
        <f>$D226*TCA!H226/100</f>
        <v>8.1199999999999992</v>
      </c>
      <c r="I226" s="3">
        <f>$D226*TCA!I226/100</f>
        <v>0</v>
      </c>
      <c r="J226" s="3">
        <f>$D226*TCA!J226/100</f>
        <v>0</v>
      </c>
      <c r="K226" s="3">
        <f>$D226*TCA!K226/100</f>
        <v>0</v>
      </c>
      <c r="L226" s="3">
        <f>$D226*TCA!L226/100</f>
        <v>0</v>
      </c>
      <c r="M226" s="3">
        <f>$D226*TCA!M226/100</f>
        <v>0</v>
      </c>
      <c r="N226" s="3">
        <f>$D226*TCA!N226/100</f>
        <v>3</v>
      </c>
      <c r="O226" s="3">
        <f>$D226*TCA!O226/100</f>
        <v>13</v>
      </c>
      <c r="P226" s="3" t="e">
        <f t="shared" si="3"/>
        <v>#DIV/0!</v>
      </c>
      <c r="Q226" s="3">
        <f>$D226*TCA!P226/100</f>
        <v>0.15</v>
      </c>
      <c r="R226" s="3">
        <f>$D226*TCA!Q226/100</f>
        <v>151</v>
      </c>
      <c r="S226" s="3">
        <f>$D226*TCA!R226/100</f>
        <v>835</v>
      </c>
      <c r="T226" s="3">
        <f>$D226*TCA!S226/100</f>
        <v>0.18</v>
      </c>
      <c r="U226" s="3">
        <f>$D226*TCA!T226/100</f>
        <v>0</v>
      </c>
      <c r="V226" s="3">
        <f>$D226*TCA!U226/100</f>
        <v>0</v>
      </c>
      <c r="W226" s="3">
        <f>$D226*TCA!V226/100</f>
        <v>0</v>
      </c>
      <c r="X226" s="3">
        <f>$D226*TCA!W226/100</f>
        <v>0</v>
      </c>
    </row>
    <row r="227" spans="1:24" x14ac:dyDescent="0.25">
      <c r="A227" s="3" t="s">
        <v>2026</v>
      </c>
      <c r="B227" s="3" t="s">
        <v>447</v>
      </c>
      <c r="C227" s="3" t="s">
        <v>448</v>
      </c>
      <c r="D227" s="3">
        <v>100</v>
      </c>
      <c r="E227" s="3">
        <f>$D227*TCA!E227/100</f>
        <v>25.36</v>
      </c>
      <c r="F227" s="3">
        <f>$D227*TCA!F227/100</f>
        <v>0</v>
      </c>
      <c r="G227" s="3">
        <f>$D227*TCA!G227/100</f>
        <v>0</v>
      </c>
      <c r="H227" s="3">
        <f>$D227*TCA!H227/100</f>
        <v>6.34</v>
      </c>
      <c r="I227" s="3">
        <f>$D227*TCA!I227/100</f>
        <v>0</v>
      </c>
      <c r="J227" s="3">
        <f>$D227*TCA!J227/100</f>
        <v>0</v>
      </c>
      <c r="K227" s="3">
        <f>$D227*TCA!K227/100</f>
        <v>0</v>
      </c>
      <c r="L227" s="3">
        <f>$D227*TCA!L227/100</f>
        <v>0</v>
      </c>
      <c r="M227" s="3">
        <f>$D227*TCA!M227/100</f>
        <v>0</v>
      </c>
      <c r="N227" s="3">
        <f>$D227*TCA!N227/100</f>
        <v>1</v>
      </c>
      <c r="O227" s="3">
        <f>$D227*TCA!O227/100</f>
        <v>10</v>
      </c>
      <c r="P227" s="3" t="e">
        <f t="shared" si="3"/>
        <v>#DIV/0!</v>
      </c>
      <c r="Q227" s="3">
        <f>$D227*TCA!P227/100</f>
        <v>0.15</v>
      </c>
      <c r="R227" s="3">
        <f>$D227*TCA!Q227/100</f>
        <v>135</v>
      </c>
      <c r="S227" s="3">
        <f>$D227*TCA!R227/100</f>
        <v>31</v>
      </c>
      <c r="T227" s="3">
        <f>$D227*TCA!S227/100</f>
        <v>0.06</v>
      </c>
      <c r="U227" s="3">
        <f>$D227*TCA!T227/100</f>
        <v>0</v>
      </c>
      <c r="V227" s="3">
        <f>$D227*TCA!U227/100</f>
        <v>0</v>
      </c>
      <c r="W227" s="3">
        <f>$D227*TCA!V227/100</f>
        <v>0</v>
      </c>
      <c r="X227" s="3">
        <f>$D227*TCA!W227/100</f>
        <v>0</v>
      </c>
    </row>
    <row r="228" spans="1:24" x14ac:dyDescent="0.25">
      <c r="A228" s="3" t="s">
        <v>2026</v>
      </c>
      <c r="B228" s="3" t="s">
        <v>449</v>
      </c>
      <c r="C228" s="3" t="s">
        <v>450</v>
      </c>
      <c r="D228" s="3">
        <v>100</v>
      </c>
      <c r="E228" s="3">
        <f>$D228*TCA!E228/100</f>
        <v>36.76</v>
      </c>
      <c r="F228" s="3">
        <f>$D228*TCA!F228/100</f>
        <v>0.8</v>
      </c>
      <c r="G228" s="3">
        <f>$D228*TCA!G228/100</f>
        <v>0.4</v>
      </c>
      <c r="H228" s="3">
        <f>$D228*TCA!H228/100</f>
        <v>7.49</v>
      </c>
      <c r="I228" s="3">
        <f>$D228*TCA!I228/100</f>
        <v>0</v>
      </c>
      <c r="J228" s="3">
        <f>$D228*TCA!J228/100</f>
        <v>0</v>
      </c>
      <c r="K228" s="3">
        <f>$D228*TCA!K228/100</f>
        <v>0</v>
      </c>
      <c r="L228" s="3">
        <f>$D228*TCA!L228/100</f>
        <v>0</v>
      </c>
      <c r="M228" s="3">
        <f>$D228*TCA!M228/100</f>
        <v>0</v>
      </c>
      <c r="N228" s="3">
        <f>$D228*TCA!N228/100</f>
        <v>9</v>
      </c>
      <c r="O228" s="3">
        <f>$D228*TCA!O228/100</f>
        <v>11</v>
      </c>
      <c r="P228" s="3">
        <f t="shared" si="3"/>
        <v>13.75</v>
      </c>
      <c r="Q228" s="3">
        <f>$D228*TCA!P228/100</f>
        <v>0.2</v>
      </c>
      <c r="R228" s="3">
        <f>$D228*TCA!Q228/100</f>
        <v>103</v>
      </c>
      <c r="S228" s="3">
        <f>$D228*TCA!R228/100</f>
        <v>3</v>
      </c>
      <c r="T228" s="3">
        <f>$D228*TCA!S228/100</f>
        <v>0</v>
      </c>
      <c r="U228" s="3">
        <f>$D228*TCA!T228/100</f>
        <v>26.3</v>
      </c>
      <c r="V228" s="3">
        <f>$D228*TCA!U228/100</f>
        <v>75</v>
      </c>
      <c r="W228" s="3">
        <f>$D228*TCA!V228/100</f>
        <v>0</v>
      </c>
      <c r="X228" s="3">
        <f>$D228*TCA!W228/100</f>
        <v>0</v>
      </c>
    </row>
    <row r="229" spans="1:24" x14ac:dyDescent="0.25">
      <c r="A229" s="3" t="s">
        <v>2026</v>
      </c>
      <c r="B229" s="3" t="s">
        <v>451</v>
      </c>
      <c r="C229" s="3" t="s">
        <v>452</v>
      </c>
      <c r="D229" s="3">
        <v>100</v>
      </c>
      <c r="E229" s="3">
        <f>$D229*TCA!E229/100</f>
        <v>66.900000000000006</v>
      </c>
      <c r="F229" s="3">
        <f>$D229*TCA!F229/100</f>
        <v>1</v>
      </c>
      <c r="G229" s="3">
        <f>$D229*TCA!G229/100</f>
        <v>0.1</v>
      </c>
      <c r="H229" s="3">
        <f>$D229*TCA!H229/100</f>
        <v>15.5</v>
      </c>
      <c r="I229" s="3">
        <f>$D229*TCA!I229/100</f>
        <v>0</v>
      </c>
      <c r="J229" s="3">
        <f>$D229*TCA!J229/100</f>
        <v>0</v>
      </c>
      <c r="K229" s="3">
        <f>$D229*TCA!K229/100</f>
        <v>0</v>
      </c>
      <c r="L229" s="3">
        <f>$D229*TCA!L229/100</f>
        <v>0</v>
      </c>
      <c r="M229" s="3">
        <f>$D229*TCA!M229/100</f>
        <v>0</v>
      </c>
      <c r="N229" s="3">
        <f>$D229*TCA!N229/100</f>
        <v>21</v>
      </c>
      <c r="O229" s="3">
        <f>$D229*TCA!O229/100</f>
        <v>20</v>
      </c>
      <c r="P229" s="3">
        <f t="shared" si="3"/>
        <v>20</v>
      </c>
      <c r="Q229" s="3">
        <f>$D229*TCA!P229/100</f>
        <v>0.9</v>
      </c>
      <c r="R229" s="3">
        <f>$D229*TCA!Q229/100</f>
        <v>0</v>
      </c>
      <c r="S229" s="3">
        <f>$D229*TCA!R229/100</f>
        <v>0</v>
      </c>
      <c r="T229" s="3">
        <f>$D229*TCA!S229/100</f>
        <v>0</v>
      </c>
      <c r="U229" s="3">
        <f>$D229*TCA!T229/100</f>
        <v>9</v>
      </c>
      <c r="V229" s="3">
        <f>$D229*TCA!U229/100</f>
        <v>0</v>
      </c>
      <c r="W229" s="3">
        <f>$D229*TCA!V229/100</f>
        <v>0</v>
      </c>
      <c r="X229" s="3">
        <f>$D229*TCA!W229/100</f>
        <v>0</v>
      </c>
    </row>
    <row r="230" spans="1:24" x14ac:dyDescent="0.25">
      <c r="A230" s="3" t="s">
        <v>2026</v>
      </c>
      <c r="B230" s="3" t="s">
        <v>453</v>
      </c>
      <c r="C230" s="3" t="s">
        <v>454</v>
      </c>
      <c r="D230" s="3">
        <v>100</v>
      </c>
      <c r="E230" s="3">
        <f>$D230*TCA!E230/100</f>
        <v>74.06</v>
      </c>
      <c r="F230" s="3">
        <f>$D230*TCA!F230/100</f>
        <v>1</v>
      </c>
      <c r="G230" s="3">
        <f>$D230*TCA!G230/100</f>
        <v>0.3</v>
      </c>
      <c r="H230" s="3">
        <f>$D230*TCA!H230/100</f>
        <v>16.84</v>
      </c>
      <c r="I230" s="3">
        <f>$D230*TCA!I230/100</f>
        <v>3.3</v>
      </c>
      <c r="J230" s="3">
        <f>$D230*TCA!J230/100</f>
        <v>0.05</v>
      </c>
      <c r="K230" s="3">
        <f>$D230*TCA!K230/100</f>
        <v>0.09</v>
      </c>
      <c r="L230" s="3">
        <f>$D230*TCA!L230/100</f>
        <v>7.0000000000000007E-2</v>
      </c>
      <c r="M230" s="3">
        <f>$D230*TCA!M230/100</f>
        <v>0</v>
      </c>
      <c r="N230" s="3">
        <f>$D230*TCA!N230/100</f>
        <v>14</v>
      </c>
      <c r="O230" s="3">
        <f>$D230*TCA!O230/100</f>
        <v>27</v>
      </c>
      <c r="P230" s="3">
        <f t="shared" si="3"/>
        <v>27</v>
      </c>
      <c r="Q230" s="3">
        <f>$D230*TCA!P230/100</f>
        <v>0.6</v>
      </c>
      <c r="R230" s="3">
        <f>$D230*TCA!Q230/100</f>
        <v>278</v>
      </c>
      <c r="S230" s="3">
        <f>$D230*TCA!R230/100</f>
        <v>14</v>
      </c>
      <c r="T230" s="3">
        <f>$D230*TCA!S230/100</f>
        <v>0.1</v>
      </c>
      <c r="U230" s="3">
        <f>$D230*TCA!T230/100</f>
        <v>21</v>
      </c>
      <c r="V230" s="3">
        <f>$D230*TCA!U230/100</f>
        <v>0</v>
      </c>
      <c r="W230" s="3">
        <f>$D230*TCA!V230/100</f>
        <v>14</v>
      </c>
      <c r="X230" s="3">
        <f>$D230*TCA!W230/100</f>
        <v>0</v>
      </c>
    </row>
    <row r="231" spans="1:24" x14ac:dyDescent="0.25">
      <c r="A231" s="3" t="s">
        <v>2026</v>
      </c>
      <c r="B231" s="3" t="s">
        <v>455</v>
      </c>
      <c r="C231" s="3" t="s">
        <v>456</v>
      </c>
      <c r="D231" s="3">
        <v>100</v>
      </c>
      <c r="E231" s="3">
        <f>$D231*TCA!E231/100</f>
        <v>140</v>
      </c>
      <c r="F231" s="3">
        <f>$D231*TCA!F231/100</f>
        <v>0</v>
      </c>
      <c r="G231" s="3">
        <f>$D231*TCA!G231/100</f>
        <v>0</v>
      </c>
      <c r="H231" s="3">
        <f>$D231*TCA!H231/100</f>
        <v>35</v>
      </c>
      <c r="I231" s="3">
        <f>$D231*TCA!I231/100</f>
        <v>0</v>
      </c>
      <c r="J231" s="3">
        <f>$D231*TCA!J231/100</f>
        <v>0</v>
      </c>
      <c r="K231" s="3">
        <f>$D231*TCA!K231/100</f>
        <v>0</v>
      </c>
      <c r="L231" s="3">
        <f>$D231*TCA!L231/100</f>
        <v>0</v>
      </c>
      <c r="M231" s="3">
        <f>$D231*TCA!M231/100</f>
        <v>0</v>
      </c>
      <c r="N231" s="3">
        <f>$D231*TCA!N231/100</f>
        <v>0</v>
      </c>
      <c r="O231" s="3">
        <f>$D231*TCA!O231/100</f>
        <v>0</v>
      </c>
      <c r="P231" s="3" t="e">
        <f t="shared" si="3"/>
        <v>#DIV/0!</v>
      </c>
      <c r="Q231" s="3">
        <f>$D231*TCA!P231/100</f>
        <v>0</v>
      </c>
      <c r="R231" s="3">
        <f>$D231*TCA!Q231/100</f>
        <v>0</v>
      </c>
      <c r="S231" s="3">
        <f>$D231*TCA!R231/100</f>
        <v>33.33</v>
      </c>
      <c r="T231" s="3">
        <f>$D231*TCA!S231/100</f>
        <v>0</v>
      </c>
      <c r="U231" s="3">
        <f>$D231*TCA!T231/100</f>
        <v>0</v>
      </c>
      <c r="V231" s="3">
        <f>$D231*TCA!U231/100</f>
        <v>0</v>
      </c>
      <c r="W231" s="3">
        <f>$D231*TCA!V231/100</f>
        <v>0</v>
      </c>
      <c r="X231" s="3">
        <f>$D231*TCA!W231/100</f>
        <v>0</v>
      </c>
    </row>
    <row r="232" spans="1:24" x14ac:dyDescent="0.25">
      <c r="A232" s="3" t="s">
        <v>2026</v>
      </c>
      <c r="B232" s="3" t="s">
        <v>457</v>
      </c>
      <c r="C232" s="3" t="s">
        <v>458</v>
      </c>
      <c r="D232" s="3">
        <v>100</v>
      </c>
      <c r="E232" s="3">
        <f>$D232*TCA!E232/100</f>
        <v>108</v>
      </c>
      <c r="F232" s="3">
        <f>$D232*TCA!F232/100</f>
        <v>0</v>
      </c>
      <c r="G232" s="3">
        <f>$D232*TCA!G232/100</f>
        <v>0</v>
      </c>
      <c r="H232" s="3">
        <f>$D232*TCA!H232/100</f>
        <v>27</v>
      </c>
      <c r="I232" s="3">
        <f>$D232*TCA!I232/100</f>
        <v>3</v>
      </c>
      <c r="J232" s="3">
        <f>$D232*TCA!J232/100</f>
        <v>0</v>
      </c>
      <c r="K232" s="3">
        <f>$D232*TCA!K232/100</f>
        <v>0</v>
      </c>
      <c r="L232" s="3">
        <f>$D232*TCA!L232/100</f>
        <v>0</v>
      </c>
      <c r="M232" s="3">
        <f>$D232*TCA!M232/100</f>
        <v>0</v>
      </c>
      <c r="N232" s="3">
        <f>$D232*TCA!N232/100</f>
        <v>0</v>
      </c>
      <c r="O232" s="3">
        <f>$D232*TCA!O232/100</f>
        <v>0</v>
      </c>
      <c r="P232" s="3" t="e">
        <f t="shared" si="3"/>
        <v>#DIV/0!</v>
      </c>
      <c r="Q232" s="3">
        <f>$D232*TCA!P232/100</f>
        <v>0</v>
      </c>
      <c r="R232" s="3">
        <f>$D232*TCA!Q232/100</f>
        <v>0</v>
      </c>
      <c r="S232" s="3">
        <f>$D232*TCA!R232/100</f>
        <v>30</v>
      </c>
      <c r="T232" s="3">
        <f>$D232*TCA!S232/100</f>
        <v>0</v>
      </c>
      <c r="U232" s="3">
        <f>$D232*TCA!T232/100</f>
        <v>0</v>
      </c>
      <c r="V232" s="3">
        <f>$D232*TCA!U232/100</f>
        <v>0</v>
      </c>
      <c r="W232" s="3">
        <f>$D232*TCA!V232/100</f>
        <v>0</v>
      </c>
      <c r="X232" s="3">
        <f>$D232*TCA!W232/100</f>
        <v>0</v>
      </c>
    </row>
    <row r="233" spans="1:24" x14ac:dyDescent="0.25">
      <c r="A233" s="3" t="s">
        <v>2026</v>
      </c>
      <c r="B233" s="3" t="s">
        <v>459</v>
      </c>
      <c r="C233" s="3" t="s">
        <v>460</v>
      </c>
      <c r="D233" s="3">
        <v>100</v>
      </c>
      <c r="E233" s="3">
        <f>$D233*TCA!E233/100</f>
        <v>56.2</v>
      </c>
      <c r="F233" s="3">
        <f>$D233*TCA!F233/100</f>
        <v>0.8</v>
      </c>
      <c r="G233" s="3">
        <f>$D233*TCA!G233/100</f>
        <v>0.6</v>
      </c>
      <c r="H233" s="3">
        <f>$D233*TCA!H233/100</f>
        <v>11.9</v>
      </c>
      <c r="I233" s="3">
        <f>$D233*TCA!I233/100</f>
        <v>0</v>
      </c>
      <c r="J233" s="3">
        <f>$D233*TCA!J233/100</f>
        <v>0.17</v>
      </c>
      <c r="K233" s="3">
        <f>$D233*TCA!K233/100</f>
        <v>0.05</v>
      </c>
      <c r="L233" s="3">
        <f>$D233*TCA!L233/100</f>
        <v>0.18</v>
      </c>
      <c r="M233" s="3">
        <f>$D233*TCA!M233/100</f>
        <v>0</v>
      </c>
      <c r="N233" s="3">
        <f>$D233*TCA!N233/100</f>
        <v>20</v>
      </c>
      <c r="O233" s="3">
        <f>$D233*TCA!O233/100</f>
        <v>0</v>
      </c>
      <c r="P233" s="3">
        <f t="shared" si="3"/>
        <v>0</v>
      </c>
      <c r="Q233" s="3">
        <f>$D233*TCA!P233/100</f>
        <v>0.3</v>
      </c>
      <c r="R233" s="3">
        <f>$D233*TCA!Q233/100</f>
        <v>284</v>
      </c>
      <c r="S233" s="3">
        <f>$D233*TCA!R233/100</f>
        <v>3</v>
      </c>
      <c r="T233" s="3">
        <f>$D233*TCA!S233/100</f>
        <v>0.23</v>
      </c>
      <c r="U233" s="3">
        <f>$D233*TCA!T233/100</f>
        <v>183</v>
      </c>
      <c r="V233" s="3">
        <f>$D233*TCA!U233/100</f>
        <v>32</v>
      </c>
      <c r="W233" s="3">
        <f>$D233*TCA!V233/100</f>
        <v>0</v>
      </c>
      <c r="X233" s="3">
        <f>$D233*TCA!W233/100</f>
        <v>0</v>
      </c>
    </row>
    <row r="234" spans="1:24" x14ac:dyDescent="0.25">
      <c r="A234" s="3" t="s">
        <v>2026</v>
      </c>
      <c r="B234" s="3" t="s">
        <v>461</v>
      </c>
      <c r="C234" s="3" t="s">
        <v>462</v>
      </c>
      <c r="D234" s="3">
        <v>100</v>
      </c>
      <c r="E234" s="3">
        <f>$D234*TCA!E234/100</f>
        <v>277.05</v>
      </c>
      <c r="F234" s="3">
        <f>$D234*TCA!F234/100</f>
        <v>3.3</v>
      </c>
      <c r="G234" s="3">
        <f>$D234*TCA!G234/100</f>
        <v>0.93</v>
      </c>
      <c r="H234" s="3">
        <f>$D234*TCA!H234/100</f>
        <v>63.87</v>
      </c>
      <c r="I234" s="3">
        <f>$D234*TCA!I234/100</f>
        <v>9.8000000000000007</v>
      </c>
      <c r="J234" s="3">
        <f>$D234*TCA!J234/100</f>
        <v>0.14000000000000001</v>
      </c>
      <c r="K234" s="3">
        <f>$D234*TCA!K234/100</f>
        <v>0.16</v>
      </c>
      <c r="L234" s="3">
        <f>$D234*TCA!L234/100</f>
        <v>0.34</v>
      </c>
      <c r="M234" s="3">
        <f>$D234*TCA!M234/100</f>
        <v>0</v>
      </c>
      <c r="N234" s="3">
        <f>$D234*TCA!N234/100</f>
        <v>162</v>
      </c>
      <c r="O234" s="3">
        <f>$D234*TCA!O234/100</f>
        <v>67</v>
      </c>
      <c r="P234" s="3">
        <f t="shared" si="3"/>
        <v>20.303030303030305</v>
      </c>
      <c r="Q234" s="3">
        <f>$D234*TCA!P234/100</f>
        <v>2.0299999999999998</v>
      </c>
      <c r="R234" s="3">
        <f>$D234*TCA!Q234/100</f>
        <v>680</v>
      </c>
      <c r="S234" s="3">
        <f>$D234*TCA!R234/100</f>
        <v>10</v>
      </c>
      <c r="T234" s="3">
        <f>$D234*TCA!S234/100</f>
        <v>0.55000000000000004</v>
      </c>
      <c r="U234" s="3">
        <f>$D234*TCA!T234/100</f>
        <v>1</v>
      </c>
      <c r="V234" s="3">
        <f>$D234*TCA!U234/100</f>
        <v>0</v>
      </c>
      <c r="W234" s="3">
        <f>$D234*TCA!V234/100</f>
        <v>9</v>
      </c>
      <c r="X234" s="3">
        <f>$D234*TCA!W234/100</f>
        <v>0</v>
      </c>
    </row>
    <row r="235" spans="1:24" x14ac:dyDescent="0.25">
      <c r="A235" s="3" t="s">
        <v>2026</v>
      </c>
      <c r="B235" s="3" t="s">
        <v>463</v>
      </c>
      <c r="C235" s="3" t="s">
        <v>464</v>
      </c>
      <c r="D235" s="3">
        <v>100</v>
      </c>
      <c r="E235" s="3">
        <f>$D235*TCA!E235/100</f>
        <v>94.02</v>
      </c>
      <c r="F235" s="3">
        <f>$D235*TCA!F235/100</f>
        <v>0.38</v>
      </c>
      <c r="G235" s="3">
        <f>$D235*TCA!G235/100</f>
        <v>0.1</v>
      </c>
      <c r="H235" s="3">
        <f>$D235*TCA!H235/100</f>
        <v>22.9</v>
      </c>
      <c r="I235" s="3">
        <f>$D235*TCA!I235/100</f>
        <v>2.2000000000000002</v>
      </c>
      <c r="J235" s="3">
        <f>$D235*TCA!J235/100</f>
        <v>0.02</v>
      </c>
      <c r="K235" s="3">
        <f>$D235*TCA!K235/100</f>
        <v>0.02</v>
      </c>
      <c r="L235" s="3">
        <f>$D235*TCA!L235/100</f>
        <v>0.05</v>
      </c>
      <c r="M235" s="3">
        <f>$D235*TCA!M235/100</f>
        <v>0</v>
      </c>
      <c r="N235" s="3">
        <f>$D235*TCA!N235/100</f>
        <v>27</v>
      </c>
      <c r="O235" s="3">
        <f>$D235*TCA!O235/100</f>
        <v>10</v>
      </c>
      <c r="P235" s="3">
        <f t="shared" si="3"/>
        <v>26.315789473684209</v>
      </c>
      <c r="Q235" s="3">
        <f>$D235*TCA!P235/100</f>
        <v>0.28000000000000003</v>
      </c>
      <c r="R235" s="3">
        <f>$D235*TCA!Q235/100</f>
        <v>99</v>
      </c>
      <c r="S235" s="3">
        <f>$D235*TCA!R235/100</f>
        <v>1</v>
      </c>
      <c r="T235" s="3">
        <f>$D235*TCA!S235/100</f>
        <v>0.11</v>
      </c>
      <c r="U235" s="3">
        <f>$D235*TCA!T235/100</f>
        <v>1</v>
      </c>
      <c r="V235" s="3">
        <f>$D235*TCA!U235/100</f>
        <v>2</v>
      </c>
      <c r="W235" s="3">
        <f>$D235*TCA!V235/100</f>
        <v>2</v>
      </c>
      <c r="X235" s="3">
        <f>$D235*TCA!W235/100</f>
        <v>0</v>
      </c>
    </row>
    <row r="236" spans="1:24" x14ac:dyDescent="0.25">
      <c r="A236" s="3" t="s">
        <v>2026</v>
      </c>
      <c r="B236" s="3" t="s">
        <v>465</v>
      </c>
      <c r="C236" s="3" t="s">
        <v>466</v>
      </c>
      <c r="D236" s="3">
        <v>100</v>
      </c>
      <c r="E236" s="3">
        <f>$D236*TCA!E236/100</f>
        <v>232</v>
      </c>
      <c r="F236" s="3">
        <f>$D236*TCA!F236/100</f>
        <v>0</v>
      </c>
      <c r="G236" s="3">
        <f>$D236*TCA!G236/100</f>
        <v>0</v>
      </c>
      <c r="H236" s="3">
        <f>$D236*TCA!H236/100</f>
        <v>58</v>
      </c>
      <c r="I236" s="3">
        <f>$D236*TCA!I236/100</f>
        <v>0</v>
      </c>
      <c r="J236" s="3">
        <f>$D236*TCA!J236/100</f>
        <v>0</v>
      </c>
      <c r="K236" s="3">
        <f>$D236*TCA!K236/100</f>
        <v>0</v>
      </c>
      <c r="L236" s="3">
        <f>$D236*TCA!L236/100</f>
        <v>0</v>
      </c>
      <c r="M236" s="3">
        <f>$D236*TCA!M236/100</f>
        <v>0</v>
      </c>
      <c r="N236" s="3">
        <f>$D236*TCA!N236/100</f>
        <v>0</v>
      </c>
      <c r="O236" s="3">
        <f>$D236*TCA!O236/100</f>
        <v>0</v>
      </c>
      <c r="P236" s="3" t="e">
        <f t="shared" si="3"/>
        <v>#DIV/0!</v>
      </c>
      <c r="Q236" s="3">
        <f>$D236*TCA!P236/100</f>
        <v>0</v>
      </c>
      <c r="R236" s="3">
        <f>$D236*TCA!Q236/100</f>
        <v>0</v>
      </c>
      <c r="S236" s="3">
        <f>$D236*TCA!R236/100</f>
        <v>55</v>
      </c>
      <c r="T236" s="3">
        <f>$D236*TCA!S236/100</f>
        <v>0</v>
      </c>
      <c r="U236" s="3">
        <f>$D236*TCA!T236/100</f>
        <v>0</v>
      </c>
      <c r="V236" s="3">
        <f>$D236*TCA!U236/100</f>
        <v>0</v>
      </c>
      <c r="W236" s="3">
        <f>$D236*TCA!V236/100</f>
        <v>0</v>
      </c>
      <c r="X236" s="3">
        <f>$D236*TCA!W236/100</f>
        <v>0</v>
      </c>
    </row>
    <row r="237" spans="1:24" x14ac:dyDescent="0.25">
      <c r="A237" s="3" t="s">
        <v>2026</v>
      </c>
      <c r="B237" s="3" t="s">
        <v>467</v>
      </c>
      <c r="C237" s="3" t="s">
        <v>468</v>
      </c>
      <c r="D237" s="3">
        <v>100</v>
      </c>
      <c r="E237" s="3">
        <f>$D237*TCA!E237/100</f>
        <v>82.42</v>
      </c>
      <c r="F237" s="3">
        <f>$D237*TCA!F237/100</f>
        <v>0.75</v>
      </c>
      <c r="G237" s="3">
        <f>$D237*TCA!G237/100</f>
        <v>0.3</v>
      </c>
      <c r="H237" s="3">
        <f>$D237*TCA!H237/100</f>
        <v>19.18</v>
      </c>
      <c r="I237" s="3">
        <f>$D237*TCA!I237/100</f>
        <v>2.9</v>
      </c>
      <c r="J237" s="3">
        <f>$D237*TCA!J237/100</f>
        <v>0.06</v>
      </c>
      <c r="K237" s="3">
        <f>$D237*TCA!K237/100</f>
        <v>7.0000000000000007E-2</v>
      </c>
      <c r="L237" s="3">
        <f>$D237*TCA!L237/100</f>
        <v>0.14000000000000001</v>
      </c>
      <c r="M237" s="3">
        <f>$D237*TCA!M237/100</f>
        <v>0</v>
      </c>
      <c r="N237" s="3">
        <f>$D237*TCA!N237/100</f>
        <v>35</v>
      </c>
      <c r="O237" s="3">
        <f>$D237*TCA!O237/100</f>
        <v>14</v>
      </c>
      <c r="P237" s="3">
        <f t="shared" si="3"/>
        <v>18.666666666666668</v>
      </c>
      <c r="Q237" s="3">
        <f>$D237*TCA!P237/100</f>
        <v>0.37</v>
      </c>
      <c r="R237" s="3">
        <f>$D237*TCA!Q237/100</f>
        <v>232</v>
      </c>
      <c r="S237" s="3">
        <f>$D237*TCA!R237/100</f>
        <v>1</v>
      </c>
      <c r="T237" s="3">
        <f>$D237*TCA!S237/100</f>
        <v>0.15</v>
      </c>
      <c r="U237" s="3">
        <f>$D237*TCA!T237/100</f>
        <v>2</v>
      </c>
      <c r="V237" s="3">
        <f>$D237*TCA!U237/100</f>
        <v>7</v>
      </c>
      <c r="W237" s="3">
        <f>$D237*TCA!V237/100</f>
        <v>6</v>
      </c>
      <c r="X237" s="3">
        <f>$D237*TCA!W237/100</f>
        <v>0</v>
      </c>
    </row>
    <row r="238" spans="1:24" x14ac:dyDescent="0.25">
      <c r="A238" s="3" t="s">
        <v>2026</v>
      </c>
      <c r="B238" s="3" t="s">
        <v>469</v>
      </c>
      <c r="C238" s="3" t="s">
        <v>470</v>
      </c>
      <c r="D238" s="3">
        <v>100</v>
      </c>
      <c r="E238" s="3">
        <f>$D238*TCA!E238/100</f>
        <v>67.88</v>
      </c>
      <c r="F238" s="3">
        <f>$D238*TCA!F238/100</f>
        <v>1.1399999999999999</v>
      </c>
      <c r="G238" s="3">
        <f>$D238*TCA!G238/100</f>
        <v>0.52</v>
      </c>
      <c r="H238" s="3">
        <f>$D238*TCA!H238/100</f>
        <v>14.66</v>
      </c>
      <c r="I238" s="3">
        <f>$D238*TCA!I238/100</f>
        <v>3</v>
      </c>
      <c r="J238" s="3">
        <f>$D238*TCA!J238/100</f>
        <v>0.03</v>
      </c>
      <c r="K238" s="3">
        <f>$D238*TCA!K238/100</f>
        <v>0.05</v>
      </c>
      <c r="L238" s="3">
        <f>$D238*TCA!L238/100</f>
        <v>0.28999999999999998</v>
      </c>
      <c r="M238" s="3">
        <f>$D238*TCA!M238/100</f>
        <v>0</v>
      </c>
      <c r="N238" s="3">
        <f>$D238*TCA!N238/100</f>
        <v>34</v>
      </c>
      <c r="O238" s="3">
        <f>$D238*TCA!O238/100</f>
        <v>34</v>
      </c>
      <c r="P238" s="3">
        <f t="shared" si="3"/>
        <v>29.824561403508774</v>
      </c>
      <c r="Q238" s="3">
        <f>$D238*TCA!P238/100</f>
        <v>0.31</v>
      </c>
      <c r="R238" s="3">
        <f>$D238*TCA!Q238/100</f>
        <v>312</v>
      </c>
      <c r="S238" s="3">
        <f>$D238*TCA!R238/100</f>
        <v>3</v>
      </c>
      <c r="T238" s="3">
        <f>$D238*TCA!S238/100</f>
        <v>0.14000000000000001</v>
      </c>
      <c r="U238" s="3">
        <f>$D238*TCA!T238/100</f>
        <v>93</v>
      </c>
      <c r="V238" s="3">
        <f>$D238*TCA!U238/100</f>
        <v>4</v>
      </c>
      <c r="W238" s="3">
        <f>$D238*TCA!V238/100</f>
        <v>25</v>
      </c>
      <c r="X238" s="3">
        <f>$D238*TCA!W238/100</f>
        <v>0</v>
      </c>
    </row>
    <row r="239" spans="1:24" x14ac:dyDescent="0.25">
      <c r="A239" s="3" t="s">
        <v>2026</v>
      </c>
      <c r="B239" s="3" t="s">
        <v>471</v>
      </c>
      <c r="C239" s="3" t="s">
        <v>472</v>
      </c>
      <c r="D239" s="3">
        <v>100</v>
      </c>
      <c r="E239" s="3">
        <f>$D239*TCA!E239/100</f>
        <v>46.76</v>
      </c>
      <c r="F239" s="3">
        <f>$D239*TCA!F239/100</f>
        <v>0.7</v>
      </c>
      <c r="G239" s="3">
        <f>$D239*TCA!G239/100</f>
        <v>0.2</v>
      </c>
      <c r="H239" s="3">
        <f>$D239*TCA!H239/100</f>
        <v>10.54</v>
      </c>
      <c r="I239" s="3">
        <f>$D239*TCA!I239/100</f>
        <v>2.8</v>
      </c>
      <c r="J239" s="3">
        <f>$D239*TCA!J239/100</f>
        <v>0.02</v>
      </c>
      <c r="K239" s="3">
        <f>$D239*TCA!K239/100</f>
        <v>0.02</v>
      </c>
      <c r="L239" s="3">
        <f>$D239*TCA!L239/100</f>
        <v>0.06</v>
      </c>
      <c r="M239" s="3">
        <f>$D239*TCA!M239/100</f>
        <v>0</v>
      </c>
      <c r="N239" s="3">
        <f>$D239*TCA!N239/100</f>
        <v>33</v>
      </c>
      <c r="O239" s="3">
        <f>$D239*TCA!O239/100</f>
        <v>18</v>
      </c>
      <c r="P239" s="3">
        <f t="shared" si="3"/>
        <v>25.714285714285715</v>
      </c>
      <c r="Q239" s="3">
        <f>$D239*TCA!P239/100</f>
        <v>0.6</v>
      </c>
      <c r="R239" s="3">
        <f>$D239*TCA!Q239/100</f>
        <v>102</v>
      </c>
      <c r="S239" s="3">
        <f>$D239*TCA!R239/100</f>
        <v>2</v>
      </c>
      <c r="T239" s="3">
        <f>$D239*TCA!S239/100</f>
        <v>0.11</v>
      </c>
      <c r="U239" s="3">
        <f>$D239*TCA!T239/100</f>
        <v>29.1</v>
      </c>
      <c r="V239" s="3">
        <f>$D239*TCA!U239/100</f>
        <v>2</v>
      </c>
      <c r="W239" s="3">
        <f>$D239*TCA!V239/100</f>
        <v>8</v>
      </c>
      <c r="X239" s="3">
        <f>$D239*TCA!W239/100</f>
        <v>0</v>
      </c>
    </row>
    <row r="240" spans="1:24" x14ac:dyDescent="0.25">
      <c r="A240" s="3" t="s">
        <v>2026</v>
      </c>
      <c r="B240" s="3" t="s">
        <v>473</v>
      </c>
      <c r="C240" s="3" t="s">
        <v>474</v>
      </c>
      <c r="D240" s="3">
        <v>100</v>
      </c>
      <c r="E240" s="3">
        <f>$D240*TCA!E240/100</f>
        <v>44.38</v>
      </c>
      <c r="F240" s="3">
        <f>$D240*TCA!F240/100</f>
        <v>1.1000000000000001</v>
      </c>
      <c r="G240" s="3">
        <f>$D240*TCA!G240/100</f>
        <v>0.3</v>
      </c>
      <c r="H240" s="3">
        <f>$D240*TCA!H240/100</f>
        <v>9.32</v>
      </c>
      <c r="I240" s="3">
        <f>$D240*TCA!I240/100</f>
        <v>2.8</v>
      </c>
      <c r="J240" s="3">
        <f>$D240*TCA!J240/100</f>
        <v>0.04</v>
      </c>
      <c r="K240" s="3">
        <f>$D240*TCA!K240/100</f>
        <v>0.01</v>
      </c>
      <c r="L240" s="3">
        <f>$D240*TCA!L240/100</f>
        <v>0.09</v>
      </c>
      <c r="M240" s="3">
        <f>$D240*TCA!M240/100</f>
        <v>0</v>
      </c>
      <c r="N240" s="3">
        <f>$D240*TCA!N240/100</f>
        <v>26</v>
      </c>
      <c r="O240" s="3">
        <f>$D240*TCA!O240/100</f>
        <v>16</v>
      </c>
      <c r="P240" s="3">
        <f t="shared" si="3"/>
        <v>14.545454545454545</v>
      </c>
      <c r="Q240" s="3">
        <f>$D240*TCA!P240/100</f>
        <v>0.6</v>
      </c>
      <c r="R240" s="3">
        <f>$D240*TCA!Q240/100</f>
        <v>138</v>
      </c>
      <c r="S240" s="3">
        <f>$D240*TCA!R240/100</f>
        <v>2</v>
      </c>
      <c r="T240" s="3">
        <f>$D240*TCA!S240/100</f>
        <v>0.06</v>
      </c>
      <c r="U240" s="3">
        <f>$D240*TCA!T240/100</f>
        <v>53</v>
      </c>
      <c r="V240" s="3">
        <f>$D240*TCA!U240/100</f>
        <v>1</v>
      </c>
      <c r="W240" s="3">
        <f>$D240*TCA!V240/100</f>
        <v>11</v>
      </c>
      <c r="X240" s="3">
        <f>$D240*TCA!W240/100</f>
        <v>0</v>
      </c>
    </row>
    <row r="241" spans="1:24" x14ac:dyDescent="0.25">
      <c r="A241" s="3" t="s">
        <v>2026</v>
      </c>
      <c r="B241" s="3" t="s">
        <v>475</v>
      </c>
      <c r="C241" s="3" t="s">
        <v>476</v>
      </c>
      <c r="D241" s="3">
        <v>100</v>
      </c>
      <c r="E241" s="3">
        <f>$D241*TCA!E241/100</f>
        <v>31.16</v>
      </c>
      <c r="F241" s="3">
        <f>$D241*TCA!F241/100</f>
        <v>0.35</v>
      </c>
      <c r="G241" s="3">
        <f>$D241*TCA!G241/100</f>
        <v>0.24</v>
      </c>
      <c r="H241" s="3">
        <f>$D241*TCA!H241/100</f>
        <v>6.9</v>
      </c>
      <c r="I241" s="3">
        <f>$D241*TCA!I241/100</f>
        <v>0.3</v>
      </c>
      <c r="J241" s="3">
        <f>$D241*TCA!J241/100</f>
        <v>0.04</v>
      </c>
      <c r="K241" s="3">
        <f>$D241*TCA!K241/100</f>
        <v>0.01</v>
      </c>
      <c r="L241" s="3">
        <f>$D241*TCA!L241/100</f>
        <v>0.02</v>
      </c>
      <c r="M241" s="3">
        <f>$D241*TCA!M241/100</f>
        <v>0</v>
      </c>
      <c r="N241" s="3">
        <f>$D241*TCA!N241/100</f>
        <v>6</v>
      </c>
      <c r="O241" s="3">
        <f>$D241*TCA!O241/100</f>
        <v>8</v>
      </c>
      <c r="P241" s="3">
        <f t="shared" si="3"/>
        <v>22.857142857142858</v>
      </c>
      <c r="Q241" s="3">
        <f>$D241*TCA!P241/100</f>
        <v>0.08</v>
      </c>
      <c r="R241" s="3">
        <f>$D241*TCA!Q241/100</f>
        <v>103</v>
      </c>
      <c r="S241" s="3">
        <f>$D241*TCA!R241/100</f>
        <v>1</v>
      </c>
      <c r="T241" s="3">
        <f>$D241*TCA!S241/100</f>
        <v>0.05</v>
      </c>
      <c r="U241" s="3">
        <f>$D241*TCA!T241/100</f>
        <v>38.700000000000003</v>
      </c>
      <c r="V241" s="3">
        <f>$D241*TCA!U241/100</f>
        <v>0</v>
      </c>
      <c r="W241" s="3">
        <f>$D241*TCA!V241/100</f>
        <v>20</v>
      </c>
      <c r="X241" s="3">
        <f>$D241*TCA!W241/100</f>
        <v>0</v>
      </c>
    </row>
    <row r="242" spans="1:24" x14ac:dyDescent="0.25">
      <c r="A242" s="3" t="s">
        <v>2026</v>
      </c>
      <c r="B242" s="3" t="s">
        <v>477</v>
      </c>
      <c r="C242" s="3" t="s">
        <v>478</v>
      </c>
      <c r="D242" s="3">
        <v>100</v>
      </c>
      <c r="E242" s="3">
        <f>$D242*TCA!E242/100</f>
        <v>56.5</v>
      </c>
      <c r="F242" s="3">
        <f>$D242*TCA!F242/100</f>
        <v>0.5</v>
      </c>
      <c r="G242" s="3">
        <f>$D242*TCA!G242/100</f>
        <v>0.5</v>
      </c>
      <c r="H242" s="3">
        <f>$D242*TCA!H242/100</f>
        <v>12.5</v>
      </c>
      <c r="I242" s="3">
        <f>$D242*TCA!I242/100</f>
        <v>3</v>
      </c>
      <c r="J242" s="3">
        <f>$D242*TCA!J242/100</f>
        <v>0.14000000000000001</v>
      </c>
      <c r="K242" s="3">
        <f>$D242*TCA!K242/100</f>
        <v>0.2</v>
      </c>
      <c r="L242" s="3">
        <f>$D242*TCA!L242/100</f>
        <v>0.08</v>
      </c>
      <c r="M242" s="3">
        <f>$D242*TCA!M242/100</f>
        <v>0</v>
      </c>
      <c r="N242" s="3">
        <f>$D242*TCA!N242/100</f>
        <v>11</v>
      </c>
      <c r="O242" s="3">
        <f>$D242*TCA!O242/100</f>
        <v>11</v>
      </c>
      <c r="P242" s="3">
        <f t="shared" si="3"/>
        <v>22</v>
      </c>
      <c r="Q242" s="3">
        <f>$D242*TCA!P242/100</f>
        <v>0.7</v>
      </c>
      <c r="R242" s="3">
        <f>$D242*TCA!Q242/100</f>
        <v>47</v>
      </c>
      <c r="S242" s="3">
        <f>$D242*TCA!R242/100</f>
        <v>15</v>
      </c>
      <c r="T242" s="3">
        <f>$D242*TCA!S242/100</f>
        <v>0.1</v>
      </c>
      <c r="U242" s="3">
        <f>$D242*TCA!T242/100</f>
        <v>14</v>
      </c>
      <c r="V242" s="3">
        <f>$D242*TCA!U242/100</f>
        <v>12</v>
      </c>
      <c r="W242" s="3">
        <f>$D242*TCA!V242/100</f>
        <v>14</v>
      </c>
      <c r="X242" s="3">
        <f>$D242*TCA!W242/100</f>
        <v>0</v>
      </c>
    </row>
    <row r="243" spans="1:24" x14ac:dyDescent="0.25">
      <c r="A243" s="3" t="s">
        <v>2026</v>
      </c>
      <c r="B243" s="3" t="s">
        <v>479</v>
      </c>
      <c r="C243" s="3" t="s">
        <v>480</v>
      </c>
      <c r="D243" s="3">
        <v>100</v>
      </c>
      <c r="E243" s="3">
        <f>$D243*TCA!E243/100</f>
        <v>59.39</v>
      </c>
      <c r="F243" s="3">
        <f>$D243*TCA!F243/100</f>
        <v>0.81</v>
      </c>
      <c r="G243" s="3">
        <f>$D243*TCA!G243/100</f>
        <v>0.31</v>
      </c>
      <c r="H243" s="3">
        <f>$D243*TCA!H243/100</f>
        <v>13.34</v>
      </c>
      <c r="I243" s="3">
        <f>$D243*TCA!I243/100</f>
        <v>1.8</v>
      </c>
      <c r="J243" s="3">
        <f>$D243*TCA!J243/100</f>
        <v>0.04</v>
      </c>
      <c r="K243" s="3">
        <f>$D243*TCA!K243/100</f>
        <v>0.06</v>
      </c>
      <c r="L243" s="3">
        <f>$D243*TCA!L243/100</f>
        <v>0.06</v>
      </c>
      <c r="M243" s="3">
        <f>$D243*TCA!M243/100</f>
        <v>0</v>
      </c>
      <c r="N243" s="3">
        <f>$D243*TCA!N243/100</f>
        <v>37</v>
      </c>
      <c r="O243" s="3">
        <f>$D243*TCA!O243/100</f>
        <v>20</v>
      </c>
      <c r="P243" s="3">
        <f t="shared" si="3"/>
        <v>24.691358024691358</v>
      </c>
      <c r="Q243" s="3">
        <f>$D243*TCA!P243/100</f>
        <v>0.15</v>
      </c>
      <c r="R243" s="3">
        <f>$D243*TCA!Q243/100</f>
        <v>166</v>
      </c>
      <c r="S243" s="3">
        <f>$D243*TCA!R243/100</f>
        <v>2</v>
      </c>
      <c r="T243" s="3">
        <f>$D243*TCA!S243/100</f>
        <v>7.0000000000000007E-2</v>
      </c>
      <c r="U243" s="3">
        <f>$D243*TCA!T243/100</f>
        <v>27</v>
      </c>
      <c r="V243" s="3">
        <f>$D243*TCA!U243/100</f>
        <v>34</v>
      </c>
      <c r="W243" s="3">
        <f>$D243*TCA!V243/100</f>
        <v>16</v>
      </c>
      <c r="X243" s="3">
        <f>$D243*TCA!W243/100</f>
        <v>0</v>
      </c>
    </row>
    <row r="244" spans="1:24" x14ac:dyDescent="0.25">
      <c r="A244" s="3" t="s">
        <v>2026</v>
      </c>
      <c r="B244" s="3" t="s">
        <v>481</v>
      </c>
      <c r="C244" s="3" t="s">
        <v>482</v>
      </c>
      <c r="D244" s="3">
        <v>100</v>
      </c>
      <c r="E244" s="3">
        <f>$D244*TCA!E244/100</f>
        <v>39.200000000000003</v>
      </c>
      <c r="F244" s="3">
        <f>$D244*TCA!F244/100</f>
        <v>0.8</v>
      </c>
      <c r="G244" s="3">
        <f>$D244*TCA!G244/100</f>
        <v>0</v>
      </c>
      <c r="H244" s="3">
        <f>$D244*TCA!H244/100</f>
        <v>9</v>
      </c>
      <c r="I244" s="3">
        <f>$D244*TCA!I244/100</f>
        <v>0</v>
      </c>
      <c r="J244" s="3">
        <f>$D244*TCA!J244/100</f>
        <v>0</v>
      </c>
      <c r="K244" s="3">
        <f>$D244*TCA!K244/100</f>
        <v>0</v>
      </c>
      <c r="L244" s="3">
        <f>$D244*TCA!L244/100</f>
        <v>0</v>
      </c>
      <c r="M244" s="3">
        <f>$D244*TCA!M244/100</f>
        <v>0</v>
      </c>
      <c r="N244" s="3">
        <f>$D244*TCA!N244/100</f>
        <v>14</v>
      </c>
      <c r="O244" s="3">
        <f>$D244*TCA!O244/100</f>
        <v>0</v>
      </c>
      <c r="P244" s="3">
        <f t="shared" si="3"/>
        <v>0</v>
      </c>
      <c r="Q244" s="3">
        <f>$D244*TCA!P244/100</f>
        <v>1.3</v>
      </c>
      <c r="R244" s="3">
        <f>$D244*TCA!Q244/100</f>
        <v>189</v>
      </c>
      <c r="S244" s="3">
        <f>$D244*TCA!R244/100</f>
        <v>7</v>
      </c>
      <c r="T244" s="3">
        <f>$D244*TCA!S244/100</f>
        <v>0</v>
      </c>
      <c r="U244" s="3">
        <f>$D244*TCA!T244/100</f>
        <v>80</v>
      </c>
      <c r="V244" s="3">
        <f>$D244*TCA!U244/100</f>
        <v>240</v>
      </c>
      <c r="W244" s="3">
        <f>$D244*TCA!V244/100</f>
        <v>0</v>
      </c>
      <c r="X244" s="3">
        <f>$D244*TCA!W244/100</f>
        <v>0</v>
      </c>
    </row>
    <row r="245" spans="1:24" x14ac:dyDescent="0.25">
      <c r="A245" s="3" t="s">
        <v>2026</v>
      </c>
      <c r="B245" s="3" t="s">
        <v>483</v>
      </c>
      <c r="C245" s="3" t="s">
        <v>484</v>
      </c>
      <c r="D245" s="3">
        <v>100</v>
      </c>
      <c r="E245" s="3">
        <f>$D245*TCA!E245/100</f>
        <v>293.04000000000002</v>
      </c>
      <c r="F245" s="3">
        <f>$D245*TCA!F245/100</f>
        <v>3.33</v>
      </c>
      <c r="G245" s="3">
        <f>$D245*TCA!G245/100</f>
        <v>0</v>
      </c>
      <c r="H245" s="3">
        <f>$D245*TCA!H245/100</f>
        <v>69.930000000000007</v>
      </c>
      <c r="I245" s="3">
        <f>$D245*TCA!I245/100</f>
        <v>3.33</v>
      </c>
      <c r="J245" s="3">
        <f>$D245*TCA!J245/100</f>
        <v>0</v>
      </c>
      <c r="K245" s="3">
        <f>$D245*TCA!K245/100</f>
        <v>0</v>
      </c>
      <c r="L245" s="3">
        <f>$D245*TCA!L245/100</f>
        <v>0</v>
      </c>
      <c r="M245" s="3">
        <f>$D245*TCA!M245/100</f>
        <v>0</v>
      </c>
      <c r="N245" s="3">
        <f>$D245*TCA!N245/100</f>
        <v>0</v>
      </c>
      <c r="O245" s="3">
        <f>$D245*TCA!O245/100</f>
        <v>0</v>
      </c>
      <c r="P245" s="3">
        <f t="shared" si="3"/>
        <v>0</v>
      </c>
      <c r="Q245" s="3">
        <f>$D245*TCA!P245/100</f>
        <v>0</v>
      </c>
      <c r="R245" s="3">
        <f>$D245*TCA!Q245/100</f>
        <v>0</v>
      </c>
      <c r="S245" s="3">
        <f>$D245*TCA!R245/100</f>
        <v>16.649999999999999</v>
      </c>
      <c r="T245" s="3">
        <f>$D245*TCA!S245/100</f>
        <v>0</v>
      </c>
      <c r="U245" s="3">
        <f>$D245*TCA!T245/100</f>
        <v>0</v>
      </c>
      <c r="V245" s="3">
        <f>$D245*TCA!U245/100</f>
        <v>0</v>
      </c>
      <c r="W245" s="3">
        <f>$D245*TCA!V245/100</f>
        <v>0</v>
      </c>
      <c r="X245" s="3">
        <f>$D245*TCA!W245/100</f>
        <v>0</v>
      </c>
    </row>
    <row r="246" spans="1:24" x14ac:dyDescent="0.25">
      <c r="A246" s="3" t="s">
        <v>2026</v>
      </c>
      <c r="B246" s="3" t="s">
        <v>485</v>
      </c>
      <c r="C246" s="3" t="s">
        <v>486</v>
      </c>
      <c r="D246" s="3">
        <v>100</v>
      </c>
      <c r="E246" s="3">
        <f>$D246*TCA!E246/100</f>
        <v>65.400000000000006</v>
      </c>
      <c r="F246" s="3">
        <f>$D246*TCA!F246/100</f>
        <v>0.5</v>
      </c>
      <c r="G246" s="3">
        <f>$D246*TCA!G246/100</f>
        <v>0.2</v>
      </c>
      <c r="H246" s="3">
        <f>$D246*TCA!H246/100</f>
        <v>15.4</v>
      </c>
      <c r="I246" s="3">
        <f>$D246*TCA!I246/100</f>
        <v>1.8</v>
      </c>
      <c r="J246" s="3">
        <f>$D246*TCA!J246/100</f>
        <v>7.0000000000000007E-2</v>
      </c>
      <c r="K246" s="3">
        <f>$D246*TCA!K246/100</f>
        <v>0.1</v>
      </c>
      <c r="L246" s="3">
        <f>$D246*TCA!L246/100</f>
        <v>0.05</v>
      </c>
      <c r="M246" s="3">
        <f>$D246*TCA!M246/100</f>
        <v>0</v>
      </c>
      <c r="N246" s="3">
        <f>$D246*TCA!N246/100</f>
        <v>12</v>
      </c>
      <c r="O246" s="3">
        <f>$D246*TCA!O246/100</f>
        <v>12</v>
      </c>
      <c r="P246" s="3">
        <f t="shared" si="3"/>
        <v>24</v>
      </c>
      <c r="Q246" s="3">
        <f>$D246*TCA!P246/100</f>
        <v>0.8</v>
      </c>
      <c r="R246" s="3">
        <f>$D246*TCA!Q246/100</f>
        <v>156</v>
      </c>
      <c r="S246" s="3">
        <f>$D246*TCA!R246/100</f>
        <v>2</v>
      </c>
      <c r="T246" s="3">
        <f>$D246*TCA!S246/100</f>
        <v>0.04</v>
      </c>
      <c r="U246" s="3">
        <f>$D246*TCA!T246/100</f>
        <v>53</v>
      </c>
      <c r="V246" s="3">
        <f>$D246*TCA!U246/100</f>
        <v>38</v>
      </c>
      <c r="W246" s="3">
        <f>$D246*TCA!V246/100</f>
        <v>14</v>
      </c>
      <c r="X246" s="3">
        <f>$D246*TCA!W246/100</f>
        <v>0</v>
      </c>
    </row>
    <row r="247" spans="1:24" x14ac:dyDescent="0.25">
      <c r="A247" s="3" t="s">
        <v>2026</v>
      </c>
      <c r="B247" s="3" t="s">
        <v>487</v>
      </c>
      <c r="C247" s="3" t="s">
        <v>488</v>
      </c>
      <c r="D247" s="3">
        <v>100</v>
      </c>
      <c r="E247" s="3">
        <f>$D247*TCA!E247/100</f>
        <v>49.4</v>
      </c>
      <c r="F247" s="3">
        <f>$D247*TCA!F247/100</f>
        <v>0.4</v>
      </c>
      <c r="G247" s="3">
        <f>$D247*TCA!G247/100</f>
        <v>0.2</v>
      </c>
      <c r="H247" s="3">
        <f>$D247*TCA!H247/100</f>
        <v>11.5</v>
      </c>
      <c r="I247" s="3">
        <f>$D247*TCA!I247/100</f>
        <v>0</v>
      </c>
      <c r="J247" s="3">
        <f>$D247*TCA!J247/100</f>
        <v>0</v>
      </c>
      <c r="K247" s="3">
        <f>$D247*TCA!K247/100</f>
        <v>0</v>
      </c>
      <c r="L247" s="3">
        <f>$D247*TCA!L247/100</f>
        <v>0</v>
      </c>
      <c r="M247" s="3">
        <f>$D247*TCA!M247/100</f>
        <v>0</v>
      </c>
      <c r="N247" s="3">
        <f>$D247*TCA!N247/100</f>
        <v>14</v>
      </c>
      <c r="O247" s="3">
        <f>$D247*TCA!O247/100</f>
        <v>10</v>
      </c>
      <c r="P247" s="3">
        <f t="shared" si="3"/>
        <v>25</v>
      </c>
      <c r="Q247" s="3">
        <f>$D247*TCA!P247/100</f>
        <v>0.4</v>
      </c>
      <c r="R247" s="3">
        <f>$D247*TCA!Q247/100</f>
        <v>0</v>
      </c>
      <c r="S247" s="3">
        <f>$D247*TCA!R247/100</f>
        <v>0</v>
      </c>
      <c r="T247" s="3">
        <f>$D247*TCA!S247/100</f>
        <v>0</v>
      </c>
      <c r="U247" s="3">
        <f>$D247*TCA!T247/100</f>
        <v>128</v>
      </c>
      <c r="V247" s="3">
        <f>$D247*TCA!U247/100</f>
        <v>0</v>
      </c>
      <c r="W247" s="3">
        <f>$D247*TCA!V247/100</f>
        <v>0</v>
      </c>
      <c r="X247" s="3">
        <f>$D247*TCA!W247/100</f>
        <v>0</v>
      </c>
    </row>
    <row r="248" spans="1:24" x14ac:dyDescent="0.25">
      <c r="A248" s="3" t="s">
        <v>2026</v>
      </c>
      <c r="B248" s="3" t="s">
        <v>489</v>
      </c>
      <c r="C248" s="3" t="s">
        <v>490</v>
      </c>
      <c r="D248" s="3">
        <v>100</v>
      </c>
      <c r="E248" s="3">
        <f>$D248*TCA!E248/100</f>
        <v>57.81</v>
      </c>
      <c r="F248" s="3">
        <f>$D248*TCA!F248/100</f>
        <v>0.26</v>
      </c>
      <c r="G248" s="3">
        <f>$D248*TCA!G248/100</f>
        <v>0.17</v>
      </c>
      <c r="H248" s="3">
        <f>$D248*TCA!H248/100</f>
        <v>13.81</v>
      </c>
      <c r="I248" s="3">
        <f>$D248*TCA!I248/100</f>
        <v>2.4</v>
      </c>
      <c r="J248" s="3">
        <f>$D248*TCA!J248/100</f>
        <v>0.03</v>
      </c>
      <c r="K248" s="3">
        <f>$D248*TCA!K248/100</f>
        <v>0.01</v>
      </c>
      <c r="L248" s="3">
        <f>$D248*TCA!L248/100</f>
        <v>0.05</v>
      </c>
      <c r="M248" s="3">
        <f>$D248*TCA!M248/100</f>
        <v>0</v>
      </c>
      <c r="N248" s="3">
        <f>$D248*TCA!N248/100</f>
        <v>6</v>
      </c>
      <c r="O248" s="3">
        <f>$D248*TCA!O248/100</f>
        <v>11</v>
      </c>
      <c r="P248" s="3">
        <f t="shared" si="3"/>
        <v>42.307692307692307</v>
      </c>
      <c r="Q248" s="3">
        <f>$D248*TCA!P248/100</f>
        <v>0.12</v>
      </c>
      <c r="R248" s="3">
        <f>$D248*TCA!Q248/100</f>
        <v>107</v>
      </c>
      <c r="S248" s="3">
        <f>$D248*TCA!R248/100</f>
        <v>1</v>
      </c>
      <c r="T248" s="3">
        <f>$D248*TCA!S248/100</f>
        <v>0.04</v>
      </c>
      <c r="U248" s="3">
        <f>$D248*TCA!T248/100</f>
        <v>5</v>
      </c>
      <c r="V248" s="3">
        <f>$D248*TCA!U248/100</f>
        <v>3</v>
      </c>
      <c r="W248" s="3">
        <f>$D248*TCA!V248/100</f>
        <v>3</v>
      </c>
      <c r="X248" s="3">
        <f>$D248*TCA!W248/100</f>
        <v>0</v>
      </c>
    </row>
    <row r="249" spans="1:24" x14ac:dyDescent="0.25">
      <c r="A249" s="3" t="s">
        <v>2026</v>
      </c>
      <c r="B249" s="3" t="s">
        <v>491</v>
      </c>
      <c r="C249" s="3" t="s">
        <v>492</v>
      </c>
      <c r="D249" s="3">
        <v>100</v>
      </c>
      <c r="E249" s="3">
        <f>$D249*TCA!E249/100</f>
        <v>27.9</v>
      </c>
      <c r="F249" s="3">
        <f>$D249*TCA!F249/100</f>
        <v>0.6</v>
      </c>
      <c r="G249" s="3">
        <f>$D249*TCA!G249/100</f>
        <v>0.3</v>
      </c>
      <c r="H249" s="3">
        <f>$D249*TCA!H249/100</f>
        <v>5.7</v>
      </c>
      <c r="I249" s="3">
        <f>$D249*TCA!I249/100</f>
        <v>0</v>
      </c>
      <c r="J249" s="3">
        <f>$D249*TCA!J249/100</f>
        <v>0</v>
      </c>
      <c r="K249" s="3">
        <f>$D249*TCA!K249/100</f>
        <v>0</v>
      </c>
      <c r="L249" s="3">
        <f>$D249*TCA!L249/100</f>
        <v>0</v>
      </c>
      <c r="M249" s="3">
        <f>$D249*TCA!M249/100</f>
        <v>0</v>
      </c>
      <c r="N249" s="3">
        <f>$D249*TCA!N249/100</f>
        <v>29</v>
      </c>
      <c r="O249" s="3">
        <f>$D249*TCA!O249/100</f>
        <v>8</v>
      </c>
      <c r="P249" s="3">
        <f t="shared" si="3"/>
        <v>13.333333333333334</v>
      </c>
      <c r="Q249" s="3">
        <f>$D249*TCA!P249/100</f>
        <v>7.0000000000000007E-2</v>
      </c>
      <c r="R249" s="3">
        <f>$D249*TCA!Q249/100</f>
        <v>123</v>
      </c>
      <c r="S249" s="3">
        <f>$D249*TCA!R249/100</f>
        <v>0</v>
      </c>
      <c r="T249" s="3">
        <f>$D249*TCA!S249/100</f>
        <v>0.06</v>
      </c>
      <c r="U249" s="3">
        <f>$D249*TCA!T249/100</f>
        <v>22</v>
      </c>
      <c r="V249" s="3">
        <f>$D249*TCA!U249/100</f>
        <v>17</v>
      </c>
      <c r="W249" s="3">
        <f>$D249*TCA!V249/100</f>
        <v>0</v>
      </c>
      <c r="X249" s="3">
        <f>$D249*TCA!W249/100</f>
        <v>0</v>
      </c>
    </row>
    <row r="250" spans="1:24" x14ac:dyDescent="0.25">
      <c r="A250" s="3" t="s">
        <v>2026</v>
      </c>
      <c r="B250" s="3" t="s">
        <v>493</v>
      </c>
      <c r="C250" s="3" t="s">
        <v>494</v>
      </c>
      <c r="D250" s="3">
        <v>100</v>
      </c>
      <c r="E250" s="3">
        <f>$D250*TCA!E250/100</f>
        <v>384.62</v>
      </c>
      <c r="F250" s="3">
        <f>$D250*TCA!F250/100</f>
        <v>1.32</v>
      </c>
      <c r="G250" s="3">
        <f>$D250*TCA!G250/100</f>
        <v>0.57999999999999996</v>
      </c>
      <c r="H250" s="3">
        <f>$D250*TCA!H250/100</f>
        <v>93.53</v>
      </c>
      <c r="I250" s="3">
        <f>$D250*TCA!I250/100</f>
        <v>12.4</v>
      </c>
      <c r="J250" s="3">
        <f>$D250*TCA!J250/100</f>
        <v>0.09</v>
      </c>
      <c r="K250" s="3">
        <f>$D250*TCA!K250/100</f>
        <v>0.02</v>
      </c>
      <c r="L250" s="3">
        <f>$D250*TCA!L250/100</f>
        <v>0.17</v>
      </c>
      <c r="M250" s="3">
        <f>$D250*TCA!M250/100</f>
        <v>0</v>
      </c>
      <c r="N250" s="3">
        <f>$D250*TCA!N250/100</f>
        <v>19</v>
      </c>
      <c r="O250" s="3">
        <f>$D250*TCA!O250/100</f>
        <v>55</v>
      </c>
      <c r="P250" s="3">
        <f t="shared" si="3"/>
        <v>41.666666666666664</v>
      </c>
      <c r="Q250" s="3">
        <f>$D250*TCA!P250/100</f>
        <v>2</v>
      </c>
      <c r="R250" s="3">
        <f>$D250*TCA!Q250/100</f>
        <v>640</v>
      </c>
      <c r="S250" s="3">
        <f>$D250*TCA!R250/100</f>
        <v>124</v>
      </c>
      <c r="T250" s="3">
        <f>$D250*TCA!S250/100</f>
        <v>0.28999999999999998</v>
      </c>
      <c r="U250" s="3">
        <f>$D250*TCA!T250/100</f>
        <v>2</v>
      </c>
      <c r="V250" s="3">
        <f>$D250*TCA!U250/100</f>
        <v>4</v>
      </c>
      <c r="W250" s="3">
        <f>$D250*TCA!V250/100</f>
        <v>1</v>
      </c>
      <c r="X250" s="3">
        <f>$D250*TCA!W250/100</f>
        <v>0</v>
      </c>
    </row>
    <row r="251" spans="1:24" x14ac:dyDescent="0.25">
      <c r="A251" s="3" t="s">
        <v>2026</v>
      </c>
      <c r="B251" s="3" t="s">
        <v>495</v>
      </c>
      <c r="C251" s="3" t="s">
        <v>496</v>
      </c>
      <c r="D251" s="3">
        <v>100</v>
      </c>
      <c r="E251" s="3">
        <f>$D251*TCA!E251/100</f>
        <v>60.5</v>
      </c>
      <c r="F251" s="3">
        <f>$D251*TCA!F251/100</f>
        <v>0.3</v>
      </c>
      <c r="G251" s="3">
        <f>$D251*TCA!G251/100</f>
        <v>0.1</v>
      </c>
      <c r="H251" s="3">
        <f>$D251*TCA!H251/100</f>
        <v>14.6</v>
      </c>
      <c r="I251" s="3">
        <f>$D251*TCA!I251/100</f>
        <v>1.3</v>
      </c>
      <c r="J251" s="3">
        <f>$D251*TCA!J251/100</f>
        <v>0.02</v>
      </c>
      <c r="K251" s="3">
        <f>$D251*TCA!K251/100</f>
        <v>0</v>
      </c>
      <c r="L251" s="3">
        <f>$D251*TCA!L251/100</f>
        <v>0.04</v>
      </c>
      <c r="M251" s="3">
        <f>$D251*TCA!M251/100</f>
        <v>0</v>
      </c>
      <c r="N251" s="3">
        <f>$D251*TCA!N251/100</f>
        <v>4</v>
      </c>
      <c r="O251" s="3">
        <f>$D251*TCA!O251/100</f>
        <v>8</v>
      </c>
      <c r="P251" s="3">
        <f t="shared" si="3"/>
        <v>26.666666666666668</v>
      </c>
      <c r="Q251" s="3">
        <f>$D251*TCA!P251/100</f>
        <v>0.7</v>
      </c>
      <c r="R251" s="3">
        <f>$D251*TCA!Q251/100</f>
        <v>90</v>
      </c>
      <c r="S251" s="3">
        <f>$D251*TCA!R251/100</f>
        <v>0</v>
      </c>
      <c r="T251" s="3">
        <f>$D251*TCA!S251/100</f>
        <v>0.05</v>
      </c>
      <c r="U251" s="3">
        <f>$D251*TCA!T251/100</f>
        <v>8</v>
      </c>
      <c r="V251" s="3">
        <f>$D251*TCA!U251/100</f>
        <v>2</v>
      </c>
      <c r="W251" s="3">
        <f>$D251*TCA!V251/100</f>
        <v>0</v>
      </c>
      <c r="X251" s="3">
        <f>$D251*TCA!W251/100</f>
        <v>0</v>
      </c>
    </row>
    <row r="252" spans="1:24" x14ac:dyDescent="0.25">
      <c r="A252" s="3" t="s">
        <v>2026</v>
      </c>
      <c r="B252" s="3" t="s">
        <v>497</v>
      </c>
      <c r="C252" s="3" t="s">
        <v>498</v>
      </c>
      <c r="D252" s="3">
        <v>100</v>
      </c>
      <c r="E252" s="3">
        <f>$D252*TCA!E252/100</f>
        <v>108.62</v>
      </c>
      <c r="F252" s="3">
        <f>$D252*TCA!F252/100</f>
        <v>2.2000000000000002</v>
      </c>
      <c r="G252" s="3">
        <f>$D252*TCA!G252/100</f>
        <v>0.7</v>
      </c>
      <c r="H252" s="3">
        <f>$D252*TCA!H252/100</f>
        <v>23.38</v>
      </c>
      <c r="I252" s="3">
        <f>$D252*TCA!I252/100</f>
        <v>10.4</v>
      </c>
      <c r="J252" s="3">
        <f>$D252*TCA!J252/100</f>
        <v>0.06</v>
      </c>
      <c r="K252" s="3">
        <f>$D252*TCA!K252/100</f>
        <v>0.09</v>
      </c>
      <c r="L252" s="3">
        <f>$D252*TCA!L252/100</f>
        <v>0.41</v>
      </c>
      <c r="M252" s="3">
        <f>$D252*TCA!M252/100</f>
        <v>0</v>
      </c>
      <c r="N252" s="3">
        <f>$D252*TCA!N252/100</f>
        <v>12</v>
      </c>
      <c r="O252" s="3">
        <f>$D252*TCA!O252/100</f>
        <v>68</v>
      </c>
      <c r="P252" s="3">
        <f t="shared" si="3"/>
        <v>30.909090909090907</v>
      </c>
      <c r="Q252" s="3">
        <f>$D252*TCA!P252/100</f>
        <v>1.6</v>
      </c>
      <c r="R252" s="3">
        <f>$D252*TCA!Q252/100</f>
        <v>348</v>
      </c>
      <c r="S252" s="3">
        <f>$D252*TCA!R252/100</f>
        <v>28</v>
      </c>
      <c r="T252" s="3">
        <f>$D252*TCA!S252/100</f>
        <v>0.1</v>
      </c>
      <c r="U252" s="3">
        <f>$D252*TCA!T252/100</f>
        <v>30</v>
      </c>
      <c r="V252" s="3">
        <f>$D252*TCA!U252/100</f>
        <v>64</v>
      </c>
      <c r="W252" s="3">
        <f>$D252*TCA!V252/100</f>
        <v>14</v>
      </c>
      <c r="X252" s="3">
        <f>$D252*TCA!W252/100</f>
        <v>0</v>
      </c>
    </row>
    <row r="253" spans="1:24" x14ac:dyDescent="0.25">
      <c r="A253" s="3" t="s">
        <v>2026</v>
      </c>
      <c r="B253" s="3" t="s">
        <v>499</v>
      </c>
      <c r="C253" s="3" t="s">
        <v>500</v>
      </c>
      <c r="D253" s="3">
        <v>100</v>
      </c>
      <c r="E253" s="3">
        <f>$D253*TCA!E253/100</f>
        <v>39.78</v>
      </c>
      <c r="F253" s="3">
        <f>$D253*TCA!F253/100</f>
        <v>0.54</v>
      </c>
      <c r="G253" s="3">
        <f>$D253*TCA!G253/100</f>
        <v>0.14000000000000001</v>
      </c>
      <c r="H253" s="3">
        <f>$D253*TCA!H253/100</f>
        <v>9.09</v>
      </c>
      <c r="I253" s="3">
        <f>$D253*TCA!I253/100</f>
        <v>0.8</v>
      </c>
      <c r="J253" s="3">
        <f>$D253*TCA!J253/100</f>
        <v>0.04</v>
      </c>
      <c r="K253" s="3">
        <f>$D253*TCA!K253/100</f>
        <v>0</v>
      </c>
      <c r="L253" s="3">
        <f>$D253*TCA!L253/100</f>
        <v>0.06</v>
      </c>
      <c r="M253" s="3">
        <f>$D253*TCA!M253/100</f>
        <v>0</v>
      </c>
      <c r="N253" s="3">
        <f>$D253*TCA!N253/100</f>
        <v>6</v>
      </c>
      <c r="O253" s="3">
        <f>$D253*TCA!O253/100</f>
        <v>11</v>
      </c>
      <c r="P253" s="3">
        <f t="shared" si="3"/>
        <v>20.37037037037037</v>
      </c>
      <c r="Q253" s="3">
        <f>$D253*TCA!P253/100</f>
        <v>0.17</v>
      </c>
      <c r="R253" s="3">
        <f>$D253*TCA!Q253/100</f>
        <v>228</v>
      </c>
      <c r="S253" s="3">
        <f>$D253*TCA!R253/100</f>
        <v>18</v>
      </c>
      <c r="T253" s="3">
        <f>$D253*TCA!S253/100</f>
        <v>0.09</v>
      </c>
      <c r="U253" s="3">
        <f>$D253*TCA!T253/100</f>
        <v>18</v>
      </c>
      <c r="V253" s="3">
        <f>$D253*TCA!U253/100</f>
        <v>3</v>
      </c>
      <c r="W253" s="3">
        <f>$D253*TCA!V253/100</f>
        <v>19</v>
      </c>
      <c r="X253" s="3">
        <f>$D253*TCA!W253/100</f>
        <v>0</v>
      </c>
    </row>
    <row r="254" spans="1:24" x14ac:dyDescent="0.25">
      <c r="A254" s="3" t="s">
        <v>2026</v>
      </c>
      <c r="B254" s="3" t="s">
        <v>501</v>
      </c>
      <c r="C254" s="3" t="s">
        <v>502</v>
      </c>
      <c r="D254" s="3">
        <v>100</v>
      </c>
      <c r="E254" s="3">
        <f>$D254*TCA!E254/100</f>
        <v>37.71</v>
      </c>
      <c r="F254" s="3">
        <f>$D254*TCA!F254/100</f>
        <v>0.84</v>
      </c>
      <c r="G254" s="3">
        <f>$D254*TCA!G254/100</f>
        <v>0.19</v>
      </c>
      <c r="H254" s="3">
        <f>$D254*TCA!H254/100</f>
        <v>8.16</v>
      </c>
      <c r="I254" s="3">
        <f>$D254*TCA!I254/100</f>
        <v>0.9</v>
      </c>
      <c r="J254" s="3">
        <f>$D254*TCA!J254/100</f>
        <v>0.05</v>
      </c>
      <c r="K254" s="3">
        <f>$D254*TCA!K254/100</f>
        <v>0</v>
      </c>
      <c r="L254" s="3">
        <f>$D254*TCA!L254/100</f>
        <v>0.08</v>
      </c>
      <c r="M254" s="3">
        <f>$D254*TCA!M254/100</f>
        <v>0</v>
      </c>
      <c r="N254" s="3">
        <f>$D254*TCA!N254/100</f>
        <v>9</v>
      </c>
      <c r="O254" s="3">
        <f>$D254*TCA!O254/100</f>
        <v>15</v>
      </c>
      <c r="P254" s="3">
        <f t="shared" si="3"/>
        <v>17.857142857142858</v>
      </c>
      <c r="Q254" s="3">
        <f>$D254*TCA!P254/100</f>
        <v>0.21</v>
      </c>
      <c r="R254" s="3">
        <f>$D254*TCA!Q254/100</f>
        <v>267</v>
      </c>
      <c r="S254" s="3">
        <f>$D254*TCA!R254/100</f>
        <v>16</v>
      </c>
      <c r="T254" s="3">
        <f>$D254*TCA!S254/100</f>
        <v>0.18</v>
      </c>
      <c r="U254" s="3">
        <f>$D254*TCA!T254/100</f>
        <v>37</v>
      </c>
      <c r="V254" s="3">
        <f>$D254*TCA!U254/100</f>
        <v>169</v>
      </c>
      <c r="W254" s="3">
        <f>$D254*TCA!V254/100</f>
        <v>21</v>
      </c>
      <c r="X254" s="3">
        <f>$D254*TCA!W254/100</f>
        <v>0</v>
      </c>
    </row>
    <row r="255" spans="1:24" x14ac:dyDescent="0.25">
      <c r="A255" s="3" t="s">
        <v>2026</v>
      </c>
      <c r="B255" s="3" t="s">
        <v>503</v>
      </c>
      <c r="C255" s="3" t="s">
        <v>504</v>
      </c>
      <c r="D255" s="3">
        <v>100</v>
      </c>
      <c r="E255" s="3">
        <f>$D255*TCA!E255/100</f>
        <v>63.7</v>
      </c>
      <c r="F255" s="3">
        <f>$D255*TCA!F255/100</f>
        <v>0.4</v>
      </c>
      <c r="G255" s="3">
        <f>$D255*TCA!G255/100</f>
        <v>0.1</v>
      </c>
      <c r="H255" s="3">
        <f>$D255*TCA!H255/100</f>
        <v>15.3</v>
      </c>
      <c r="I255" s="3">
        <f>$D255*TCA!I255/100</f>
        <v>1.9</v>
      </c>
      <c r="J255" s="3">
        <f>$D255*TCA!J255/100</f>
        <v>0.01</v>
      </c>
      <c r="K255" s="3">
        <f>$D255*TCA!K255/100</f>
        <v>0.04</v>
      </c>
      <c r="L255" s="3">
        <f>$D255*TCA!L255/100</f>
        <v>0.05</v>
      </c>
      <c r="M255" s="3">
        <f>$D255*TCA!M255/100</f>
        <v>0</v>
      </c>
      <c r="N255" s="3">
        <f>$D255*TCA!N255/100</f>
        <v>11</v>
      </c>
      <c r="O255" s="3">
        <f>$D255*TCA!O255/100</f>
        <v>17</v>
      </c>
      <c r="P255" s="3">
        <f t="shared" si="3"/>
        <v>42.5</v>
      </c>
      <c r="Q255" s="3">
        <f>$D255*TCA!P255/100</f>
        <v>0.7</v>
      </c>
      <c r="R255" s="3">
        <f>$D255*TCA!Q255/100</f>
        <v>197</v>
      </c>
      <c r="S255" s="3">
        <f>$D255*TCA!R255/100</f>
        <v>4</v>
      </c>
      <c r="T255" s="3">
        <f>$D255*TCA!S255/100</f>
        <v>0.04</v>
      </c>
      <c r="U255" s="3">
        <f>$D255*TCA!T255/100</f>
        <v>15</v>
      </c>
      <c r="V255" s="3">
        <f>$D255*TCA!U255/100</f>
        <v>2</v>
      </c>
      <c r="W255" s="3">
        <f>$D255*TCA!V255/100</f>
        <v>3</v>
      </c>
      <c r="X255" s="3">
        <f>$D255*TCA!W255/100</f>
        <v>0</v>
      </c>
    </row>
    <row r="256" spans="1:24" x14ac:dyDescent="0.25">
      <c r="A256" s="3" t="s">
        <v>2026</v>
      </c>
      <c r="B256" s="3" t="s">
        <v>505</v>
      </c>
      <c r="C256" s="3" t="s">
        <v>506</v>
      </c>
      <c r="D256" s="3">
        <v>100</v>
      </c>
      <c r="E256" s="3">
        <f>$D256*TCA!E256/100</f>
        <v>477</v>
      </c>
      <c r="F256" s="3">
        <f>$D256*TCA!F256/100</f>
        <v>2</v>
      </c>
      <c r="G256" s="3">
        <f>$D256*TCA!G256/100</f>
        <v>21</v>
      </c>
      <c r="H256" s="3">
        <f>$D256*TCA!H256/100</f>
        <v>70</v>
      </c>
      <c r="I256" s="3">
        <f>$D256*TCA!I256/100</f>
        <v>0</v>
      </c>
      <c r="J256" s="3">
        <f>$D256*TCA!J256/100</f>
        <v>9</v>
      </c>
      <c r="K256" s="3">
        <f>$D256*TCA!K256/100</f>
        <v>9</v>
      </c>
      <c r="L256" s="3">
        <f>$D256*TCA!L256/100</f>
        <v>2.5</v>
      </c>
      <c r="M256" s="3">
        <f>$D256*TCA!M256/100</f>
        <v>0</v>
      </c>
      <c r="N256" s="3">
        <f>$D256*TCA!N256/100</f>
        <v>0</v>
      </c>
      <c r="O256" s="3">
        <f>$D256*TCA!O256/100</f>
        <v>0</v>
      </c>
      <c r="P256" s="3">
        <f t="shared" si="3"/>
        <v>0</v>
      </c>
      <c r="Q256" s="3">
        <f>$D256*TCA!P256/100</f>
        <v>0</v>
      </c>
      <c r="R256" s="3">
        <f>$D256*TCA!Q256/100</f>
        <v>0</v>
      </c>
      <c r="S256" s="3">
        <f>$D256*TCA!R256/100</f>
        <v>5</v>
      </c>
      <c r="T256" s="3">
        <f>$D256*TCA!S256/100</f>
        <v>0</v>
      </c>
      <c r="U256" s="3">
        <f>$D256*TCA!T256/100</f>
        <v>0</v>
      </c>
      <c r="V256" s="3">
        <f>$D256*TCA!U256/100</f>
        <v>0</v>
      </c>
      <c r="W256" s="3">
        <f>$D256*TCA!V256/100</f>
        <v>0</v>
      </c>
      <c r="X256" s="3">
        <f>$D256*TCA!W256/100</f>
        <v>0</v>
      </c>
    </row>
    <row r="257" spans="1:24" x14ac:dyDescent="0.25">
      <c r="A257" s="3" t="s">
        <v>2026</v>
      </c>
      <c r="B257" s="3" t="s">
        <v>507</v>
      </c>
      <c r="C257" s="3" t="s">
        <v>508</v>
      </c>
      <c r="D257" s="3">
        <v>100</v>
      </c>
      <c r="E257" s="3">
        <f>$D257*TCA!E257/100</f>
        <v>477</v>
      </c>
      <c r="F257" s="3">
        <f>$D257*TCA!F257/100</f>
        <v>2</v>
      </c>
      <c r="G257" s="3">
        <f>$D257*TCA!G257/100</f>
        <v>21</v>
      </c>
      <c r="H257" s="3">
        <f>$D257*TCA!H257/100</f>
        <v>70</v>
      </c>
      <c r="I257" s="3">
        <f>$D257*TCA!I257/100</f>
        <v>0</v>
      </c>
      <c r="J257" s="3">
        <f>$D257*TCA!J257/100</f>
        <v>9</v>
      </c>
      <c r="K257" s="3">
        <f>$D257*TCA!K257/100</f>
        <v>9</v>
      </c>
      <c r="L257" s="3">
        <f>$D257*TCA!L257/100</f>
        <v>2.5</v>
      </c>
      <c r="M257" s="3">
        <f>$D257*TCA!M257/100</f>
        <v>0</v>
      </c>
      <c r="N257" s="3">
        <f>$D257*TCA!N257/100</f>
        <v>0</v>
      </c>
      <c r="O257" s="3">
        <f>$D257*TCA!O257/100</f>
        <v>0</v>
      </c>
      <c r="P257" s="3">
        <f t="shared" si="3"/>
        <v>0</v>
      </c>
      <c r="Q257" s="3">
        <f>$D257*TCA!P257/100</f>
        <v>0</v>
      </c>
      <c r="R257" s="3">
        <f>$D257*TCA!Q257/100</f>
        <v>0</v>
      </c>
      <c r="S257" s="3">
        <f>$D257*TCA!R257/100</f>
        <v>5</v>
      </c>
      <c r="T257" s="3">
        <f>$D257*TCA!S257/100</f>
        <v>0</v>
      </c>
      <c r="U257" s="3">
        <f>$D257*TCA!T257/100</f>
        <v>0</v>
      </c>
      <c r="V257" s="3">
        <f>$D257*TCA!U257/100</f>
        <v>0</v>
      </c>
      <c r="W257" s="3">
        <f>$D257*TCA!V257/100</f>
        <v>0</v>
      </c>
      <c r="X257" s="3">
        <f>$D257*TCA!W257/100</f>
        <v>0</v>
      </c>
    </row>
    <row r="258" spans="1:24" x14ac:dyDescent="0.25">
      <c r="A258" s="3" t="s">
        <v>2026</v>
      </c>
      <c r="B258" s="3" t="s">
        <v>509</v>
      </c>
      <c r="C258" s="3" t="s">
        <v>510</v>
      </c>
      <c r="D258" s="3">
        <v>100</v>
      </c>
      <c r="E258" s="3">
        <f>$D258*TCA!E258/100</f>
        <v>430</v>
      </c>
      <c r="F258" s="3">
        <f>$D258*TCA!F258/100</f>
        <v>10</v>
      </c>
      <c r="G258" s="3">
        <f>$D258*TCA!G258/100</f>
        <v>16.670000000000002</v>
      </c>
      <c r="H258" s="3">
        <f>$D258*TCA!H258/100</f>
        <v>60</v>
      </c>
      <c r="I258" s="3">
        <f>$D258*TCA!I258/100</f>
        <v>3.33</v>
      </c>
      <c r="J258" s="3">
        <f>$D258*TCA!J258/100</f>
        <v>3.33</v>
      </c>
      <c r="K258" s="3">
        <f>$D258*TCA!K258/100</f>
        <v>10</v>
      </c>
      <c r="L258" s="3">
        <f>$D258*TCA!L258/100</f>
        <v>0</v>
      </c>
      <c r="M258" s="3">
        <f>$D258*TCA!M258/100</f>
        <v>0</v>
      </c>
      <c r="N258" s="3">
        <f>$D258*TCA!N258/100</f>
        <v>0</v>
      </c>
      <c r="O258" s="3">
        <f>$D258*TCA!O258/100</f>
        <v>0</v>
      </c>
      <c r="P258" s="3">
        <f t="shared" si="3"/>
        <v>0</v>
      </c>
      <c r="Q258" s="3">
        <f>$D258*TCA!P258/100</f>
        <v>0</v>
      </c>
      <c r="R258" s="3">
        <f>$D258*TCA!Q258/100</f>
        <v>0</v>
      </c>
      <c r="S258" s="3">
        <f>$D258*TCA!R258/100</f>
        <v>50</v>
      </c>
      <c r="T258" s="3">
        <f>$D258*TCA!S258/100</f>
        <v>0</v>
      </c>
      <c r="U258" s="3">
        <f>$D258*TCA!T258/100</f>
        <v>0</v>
      </c>
      <c r="V258" s="3">
        <f>$D258*TCA!U258/100</f>
        <v>0</v>
      </c>
      <c r="W258" s="3">
        <f>$D258*TCA!V258/100</f>
        <v>0</v>
      </c>
      <c r="X258" s="3">
        <f>$D258*TCA!W258/100</f>
        <v>0</v>
      </c>
    </row>
    <row r="259" spans="1:24" x14ac:dyDescent="0.25">
      <c r="A259" s="3" t="s">
        <v>2026</v>
      </c>
      <c r="B259" s="3" t="s">
        <v>511</v>
      </c>
      <c r="C259" s="3" t="s">
        <v>512</v>
      </c>
      <c r="D259" s="3">
        <v>100</v>
      </c>
      <c r="E259" s="3">
        <f>$D259*TCA!E259/100</f>
        <v>48.41</v>
      </c>
      <c r="F259" s="3">
        <f>$D259*TCA!F259/100</f>
        <v>1.39</v>
      </c>
      <c r="G259" s="3">
        <f>$D259*TCA!G259/100</f>
        <v>0.49</v>
      </c>
      <c r="H259" s="3">
        <f>$D259*TCA!H259/100</f>
        <v>9.61</v>
      </c>
      <c r="I259" s="3">
        <f>$D259*TCA!I259/100</f>
        <v>5.3</v>
      </c>
      <c r="J259" s="3">
        <f>$D259*TCA!J259/100</f>
        <v>0.01</v>
      </c>
      <c r="K259" s="3">
        <f>$D259*TCA!K259/100</f>
        <v>0.05</v>
      </c>
      <c r="L259" s="3">
        <f>$D259*TCA!L259/100</f>
        <v>0.28000000000000003</v>
      </c>
      <c r="M259" s="3">
        <f>$D259*TCA!M259/100</f>
        <v>0</v>
      </c>
      <c r="N259" s="3">
        <f>$D259*TCA!N259/100</f>
        <v>29</v>
      </c>
      <c r="O259" s="3">
        <f>$D259*TCA!O259/100</f>
        <v>22</v>
      </c>
      <c r="P259" s="3">
        <f t="shared" si="3"/>
        <v>15.827338129496404</v>
      </c>
      <c r="Q259" s="3">
        <f>$D259*TCA!P259/100</f>
        <v>0.62</v>
      </c>
      <c r="R259" s="3">
        <f>$D259*TCA!Q259/100</f>
        <v>162</v>
      </c>
      <c r="S259" s="3">
        <f>$D259*TCA!R259/100</f>
        <v>1</v>
      </c>
      <c r="T259" s="3">
        <f>$D259*TCA!S259/100</f>
        <v>0.53</v>
      </c>
      <c r="U259" s="3">
        <f>$D259*TCA!T259/100</f>
        <v>21</v>
      </c>
      <c r="V259" s="3">
        <f>$D259*TCA!U259/100</f>
        <v>11</v>
      </c>
      <c r="W259" s="3">
        <f>$D259*TCA!V259/100</f>
        <v>25</v>
      </c>
      <c r="X259" s="3">
        <f>$D259*TCA!W259/100</f>
        <v>0</v>
      </c>
    </row>
    <row r="260" spans="1:24" x14ac:dyDescent="0.25">
      <c r="A260" s="3" t="s">
        <v>2026</v>
      </c>
      <c r="B260" s="3" t="s">
        <v>513</v>
      </c>
      <c r="C260" s="3" t="s">
        <v>514</v>
      </c>
      <c r="D260" s="3">
        <v>100</v>
      </c>
      <c r="E260" s="3">
        <f>$D260*TCA!E260/100</f>
        <v>63.49</v>
      </c>
      <c r="F260" s="3">
        <f>$D260*TCA!F260/100</f>
        <v>0.64</v>
      </c>
      <c r="G260" s="3">
        <f>$D260*TCA!G260/100</f>
        <v>0.33</v>
      </c>
      <c r="H260" s="3">
        <f>$D260*TCA!H260/100</f>
        <v>14.49</v>
      </c>
      <c r="I260" s="3">
        <f>$D260*TCA!I260/100</f>
        <v>2.4</v>
      </c>
      <c r="J260" s="3">
        <f>$D260*TCA!J260/100</f>
        <v>0.03</v>
      </c>
      <c r="K260" s="3">
        <f>$D260*TCA!K260/100</f>
        <v>0.05</v>
      </c>
      <c r="L260" s="3">
        <f>$D260*TCA!L260/100</f>
        <v>0.15</v>
      </c>
      <c r="M260" s="3">
        <f>$D260*TCA!M260/100</f>
        <v>0</v>
      </c>
      <c r="N260" s="3">
        <f>$D260*TCA!N260/100</f>
        <v>6</v>
      </c>
      <c r="O260" s="3">
        <f>$D260*TCA!O260/100</f>
        <v>12</v>
      </c>
      <c r="P260" s="3">
        <f t="shared" ref="P260:P323" si="4">O260/F260</f>
        <v>18.75</v>
      </c>
      <c r="Q260" s="3">
        <f>$D260*TCA!P260/100</f>
        <v>0.28000000000000003</v>
      </c>
      <c r="R260" s="3">
        <f>$D260*TCA!Q260/100</f>
        <v>77</v>
      </c>
      <c r="S260" s="3">
        <f>$D260*TCA!R260/100</f>
        <v>1</v>
      </c>
      <c r="T260" s="3">
        <f>$D260*TCA!S260/100</f>
        <v>0.16</v>
      </c>
      <c r="U260" s="3">
        <f>$D260*TCA!T260/100</f>
        <v>9.6999999999999993</v>
      </c>
      <c r="V260" s="3">
        <f>$D260*TCA!U260/100</f>
        <v>3</v>
      </c>
      <c r="W260" s="3">
        <f>$D260*TCA!V260/100</f>
        <v>6</v>
      </c>
      <c r="X260" s="3">
        <f>$D260*TCA!W260/100</f>
        <v>0</v>
      </c>
    </row>
    <row r="261" spans="1:24" x14ac:dyDescent="0.25">
      <c r="A261" s="3" t="s">
        <v>2026</v>
      </c>
      <c r="B261" s="3" t="s">
        <v>515</v>
      </c>
      <c r="C261" s="3" t="s">
        <v>516</v>
      </c>
      <c r="D261" s="3">
        <v>100</v>
      </c>
      <c r="E261" s="3">
        <f>$D261*TCA!E261/100</f>
        <v>55.7</v>
      </c>
      <c r="F261" s="3">
        <f>$D261*TCA!F261/100</f>
        <v>0.7</v>
      </c>
      <c r="G261" s="3">
        <f>$D261*TCA!G261/100</f>
        <v>0.1</v>
      </c>
      <c r="H261" s="3">
        <f>$D261*TCA!H261/100</f>
        <v>13</v>
      </c>
      <c r="I261" s="3">
        <f>$D261*TCA!I261/100</f>
        <v>0</v>
      </c>
      <c r="J261" s="3">
        <f>$D261*TCA!J261/100</f>
        <v>0</v>
      </c>
      <c r="K261" s="3">
        <f>$D261*TCA!K261/100</f>
        <v>0</v>
      </c>
      <c r="L261" s="3">
        <f>$D261*TCA!L261/100</f>
        <v>0</v>
      </c>
      <c r="M261" s="3">
        <f>$D261*TCA!M261/100</f>
        <v>0</v>
      </c>
      <c r="N261" s="3">
        <f>$D261*TCA!N261/100</f>
        <v>43</v>
      </c>
      <c r="O261" s="3">
        <f>$D261*TCA!O261/100</f>
        <v>17</v>
      </c>
      <c r="P261" s="3">
        <f t="shared" si="4"/>
        <v>24.285714285714288</v>
      </c>
      <c r="Q261" s="3">
        <f>$D261*TCA!P261/100</f>
        <v>0.6</v>
      </c>
      <c r="R261" s="3">
        <f>$D261*TCA!Q261/100</f>
        <v>200</v>
      </c>
      <c r="S261" s="3">
        <f>$D261*TCA!R261/100</f>
        <v>1</v>
      </c>
      <c r="T261" s="3">
        <f>$D261*TCA!S261/100</f>
        <v>0.05</v>
      </c>
      <c r="U261" s="3">
        <f>$D261*TCA!T261/100</f>
        <v>42</v>
      </c>
      <c r="V261" s="3">
        <f>$D261*TCA!U261/100</f>
        <v>10</v>
      </c>
      <c r="W261" s="3">
        <f>$D261*TCA!V261/100</f>
        <v>0</v>
      </c>
      <c r="X261" s="3">
        <f>$D261*TCA!W261/100</f>
        <v>0</v>
      </c>
    </row>
    <row r="262" spans="1:24" x14ac:dyDescent="0.25">
      <c r="A262" s="3" t="s">
        <v>2026</v>
      </c>
      <c r="B262" s="3" t="s">
        <v>517</v>
      </c>
      <c r="C262" s="3" t="s">
        <v>518</v>
      </c>
      <c r="D262" s="3">
        <v>100</v>
      </c>
      <c r="E262" s="3">
        <f>$D262*TCA!E262/100</f>
        <v>44.6</v>
      </c>
      <c r="F262" s="3">
        <f>$D262*TCA!F262/100</f>
        <v>0.7</v>
      </c>
      <c r="G262" s="3">
        <f>$D262*TCA!G262/100</f>
        <v>0.2</v>
      </c>
      <c r="H262" s="3">
        <f>$D262*TCA!H262/100</f>
        <v>10</v>
      </c>
      <c r="I262" s="3">
        <f>$D262*TCA!I262/100</f>
        <v>0</v>
      </c>
      <c r="J262" s="3">
        <f>$D262*TCA!J262/100</f>
        <v>0</v>
      </c>
      <c r="K262" s="3">
        <f>$D262*TCA!K262/100</f>
        <v>0</v>
      </c>
      <c r="L262" s="3">
        <f>$D262*TCA!L262/100</f>
        <v>0</v>
      </c>
      <c r="M262" s="3">
        <f>$D262*TCA!M262/100</f>
        <v>0</v>
      </c>
      <c r="N262" s="3">
        <f>$D262*TCA!N262/100</f>
        <v>44</v>
      </c>
      <c r="O262" s="3">
        <f>$D262*TCA!O262/100</f>
        <v>15</v>
      </c>
      <c r="P262" s="3">
        <f t="shared" si="4"/>
        <v>21.428571428571431</v>
      </c>
      <c r="Q262" s="3">
        <f>$D262*TCA!P262/100</f>
        <v>0.3</v>
      </c>
      <c r="R262" s="3">
        <f>$D262*TCA!Q262/100</f>
        <v>0</v>
      </c>
      <c r="S262" s="3">
        <f>$D262*TCA!R262/100</f>
        <v>0</v>
      </c>
      <c r="T262" s="3">
        <f>$D262*TCA!S262/100</f>
        <v>0</v>
      </c>
      <c r="U262" s="3">
        <f>$D262*TCA!T262/100</f>
        <v>42</v>
      </c>
      <c r="V262" s="3">
        <f>$D262*TCA!U262/100</f>
        <v>0</v>
      </c>
      <c r="W262" s="3">
        <f>$D262*TCA!V262/100</f>
        <v>0</v>
      </c>
      <c r="X262" s="3">
        <f>$D262*TCA!W262/100</f>
        <v>0</v>
      </c>
    </row>
    <row r="263" spans="1:24" x14ac:dyDescent="0.25">
      <c r="A263" s="3" t="s">
        <v>2026</v>
      </c>
      <c r="B263" s="3" t="s">
        <v>519</v>
      </c>
      <c r="C263" s="3" t="s">
        <v>520</v>
      </c>
      <c r="D263" s="3">
        <v>100</v>
      </c>
      <c r="E263" s="3">
        <f>$D263*TCA!E263/100</f>
        <v>51.84</v>
      </c>
      <c r="F263" s="3">
        <f>$D263*TCA!F263/100</f>
        <v>0.94</v>
      </c>
      <c r="G263" s="3">
        <f>$D263*TCA!G263/100</f>
        <v>0.12</v>
      </c>
      <c r="H263" s="3">
        <f>$D263*TCA!H263/100</f>
        <v>11.75</v>
      </c>
      <c r="I263" s="3">
        <f>$D263*TCA!I263/100</f>
        <v>2.4</v>
      </c>
      <c r="J263" s="3">
        <f>$D263*TCA!J263/100</f>
        <v>0.01</v>
      </c>
      <c r="K263" s="3">
        <f>$D263*TCA!K263/100</f>
        <v>0.02</v>
      </c>
      <c r="L263" s="3">
        <f>$D263*TCA!L263/100</f>
        <v>0.03</v>
      </c>
      <c r="M263" s="3">
        <f>$D263*TCA!M263/100</f>
        <v>0</v>
      </c>
      <c r="N263" s="3">
        <f>$D263*TCA!N263/100</f>
        <v>40</v>
      </c>
      <c r="O263" s="3">
        <f>$D263*TCA!O263/100</f>
        <v>14</v>
      </c>
      <c r="P263" s="3">
        <f t="shared" si="4"/>
        <v>14.893617021276597</v>
      </c>
      <c r="Q263" s="3">
        <f>$D263*TCA!P263/100</f>
        <v>0.1</v>
      </c>
      <c r="R263" s="3">
        <f>$D263*TCA!Q263/100</f>
        <v>181</v>
      </c>
      <c r="S263" s="3">
        <f>$D263*TCA!R263/100</f>
        <v>0</v>
      </c>
      <c r="T263" s="3">
        <f>$D263*TCA!S263/100</f>
        <v>7.0000000000000007E-2</v>
      </c>
      <c r="U263" s="3">
        <f>$D263*TCA!T263/100</f>
        <v>53</v>
      </c>
      <c r="V263" s="3">
        <f>$D263*TCA!U263/100</f>
        <v>11</v>
      </c>
      <c r="W263" s="3">
        <f>$D263*TCA!V263/100</f>
        <v>30</v>
      </c>
      <c r="X263" s="3">
        <f>$D263*TCA!W263/100</f>
        <v>0</v>
      </c>
    </row>
    <row r="264" spans="1:24" x14ac:dyDescent="0.25">
      <c r="A264" s="3" t="s">
        <v>2026</v>
      </c>
      <c r="B264" s="3" t="s">
        <v>521</v>
      </c>
      <c r="C264" s="3" t="s">
        <v>522</v>
      </c>
      <c r="D264" s="3">
        <v>100</v>
      </c>
      <c r="E264" s="3">
        <f>$D264*TCA!E264/100</f>
        <v>35.479999999999997</v>
      </c>
      <c r="F264" s="3">
        <f>$D264*TCA!F264/100</f>
        <v>0</v>
      </c>
      <c r="G264" s="3">
        <f>$D264*TCA!G264/100</f>
        <v>0</v>
      </c>
      <c r="H264" s="3">
        <f>$D264*TCA!H264/100</f>
        <v>8.8699999999999992</v>
      </c>
      <c r="I264" s="3">
        <f>$D264*TCA!I264/100</f>
        <v>0</v>
      </c>
      <c r="J264" s="3">
        <f>$D264*TCA!J264/100</f>
        <v>0</v>
      </c>
      <c r="K264" s="3">
        <f>$D264*TCA!K264/100</f>
        <v>0</v>
      </c>
      <c r="L264" s="3">
        <f>$D264*TCA!L264/100</f>
        <v>0</v>
      </c>
      <c r="M264" s="3">
        <f>$D264*TCA!M264/100</f>
        <v>0</v>
      </c>
      <c r="N264" s="3">
        <f>$D264*TCA!N264/100</f>
        <v>2</v>
      </c>
      <c r="O264" s="3">
        <f>$D264*TCA!O264/100</f>
        <v>23</v>
      </c>
      <c r="P264" s="3" t="e">
        <f t="shared" si="4"/>
        <v>#DIV/0!</v>
      </c>
      <c r="Q264" s="3">
        <f>$D264*TCA!P264/100</f>
        <v>0.24</v>
      </c>
      <c r="R264" s="3">
        <f>$D264*TCA!Q264/100</f>
        <v>448</v>
      </c>
      <c r="S264" s="3">
        <f>$D264*TCA!R264/100</f>
        <v>14</v>
      </c>
      <c r="T264" s="3">
        <f>$D264*TCA!S264/100</f>
        <v>0.22</v>
      </c>
      <c r="U264" s="3">
        <f>$D264*TCA!T264/100</f>
        <v>0</v>
      </c>
      <c r="V264" s="3">
        <f>$D264*TCA!U264/100</f>
        <v>0</v>
      </c>
      <c r="W264" s="3">
        <f>$D264*TCA!V264/100</f>
        <v>0</v>
      </c>
      <c r="X264" s="3">
        <f>$D264*TCA!W264/100</f>
        <v>0</v>
      </c>
    </row>
    <row r="265" spans="1:24" x14ac:dyDescent="0.25">
      <c r="A265" s="3" t="s">
        <v>2026</v>
      </c>
      <c r="B265" s="3" t="s">
        <v>523</v>
      </c>
      <c r="C265" s="3" t="s">
        <v>524</v>
      </c>
      <c r="D265" s="3">
        <v>100</v>
      </c>
      <c r="E265" s="3">
        <f>$D265*TCA!E265/100</f>
        <v>30.9</v>
      </c>
      <c r="F265" s="3">
        <f>$D265*TCA!F265/100</f>
        <v>0.7</v>
      </c>
      <c r="G265" s="3">
        <f>$D265*TCA!G265/100</f>
        <v>0.1</v>
      </c>
      <c r="H265" s="3">
        <f>$D265*TCA!H265/100</f>
        <v>6.8</v>
      </c>
      <c r="I265" s="3">
        <f>$D265*TCA!I265/100</f>
        <v>0</v>
      </c>
      <c r="J265" s="3">
        <f>$D265*TCA!J265/100</f>
        <v>0</v>
      </c>
      <c r="K265" s="3">
        <f>$D265*TCA!K265/100</f>
        <v>0</v>
      </c>
      <c r="L265" s="3">
        <f>$D265*TCA!L265/100</f>
        <v>0</v>
      </c>
      <c r="M265" s="3">
        <f>$D265*TCA!M265/100</f>
        <v>0</v>
      </c>
      <c r="N265" s="3">
        <f>$D265*TCA!N265/100</f>
        <v>8</v>
      </c>
      <c r="O265" s="3">
        <f>$D265*TCA!O265/100</f>
        <v>14</v>
      </c>
      <c r="P265" s="3">
        <f t="shared" si="4"/>
        <v>20</v>
      </c>
      <c r="Q265" s="3">
        <f>$D265*TCA!P265/100</f>
        <v>0.4</v>
      </c>
      <c r="R265" s="3">
        <f>$D265*TCA!Q265/100</f>
        <v>294</v>
      </c>
      <c r="S265" s="3">
        <f>$D265*TCA!R265/100</f>
        <v>4</v>
      </c>
      <c r="T265" s="3">
        <f>$D265*TCA!S265/100</f>
        <v>0</v>
      </c>
      <c r="U265" s="3">
        <f>$D265*TCA!T265/100</f>
        <v>65</v>
      </c>
      <c r="V265" s="3">
        <f>$D265*TCA!U265/100</f>
        <v>0</v>
      </c>
      <c r="W265" s="3">
        <f>$D265*TCA!V265/100</f>
        <v>0</v>
      </c>
      <c r="X265" s="3">
        <f>$D265*TCA!W265/100</f>
        <v>0</v>
      </c>
    </row>
    <row r="266" spans="1:24" x14ac:dyDescent="0.25">
      <c r="A266" s="3" t="s">
        <v>2026</v>
      </c>
      <c r="B266" s="3" t="s">
        <v>525</v>
      </c>
      <c r="C266" s="3" t="s">
        <v>526</v>
      </c>
      <c r="D266" s="3">
        <v>100</v>
      </c>
      <c r="E266" s="3">
        <f>$D266*TCA!E266/100</f>
        <v>52.08</v>
      </c>
      <c r="F266" s="3">
        <f>$D266*TCA!F266/100</f>
        <v>0.43</v>
      </c>
      <c r="G266" s="3">
        <f>$D266*TCA!G266/100</f>
        <v>0.2</v>
      </c>
      <c r="H266" s="3">
        <f>$D266*TCA!H266/100</f>
        <v>12.14</v>
      </c>
      <c r="I266" s="3">
        <f>$D266*TCA!I266/100</f>
        <v>1.7</v>
      </c>
      <c r="J266" s="3">
        <f>$D266*TCA!J266/100</f>
        <v>0.04</v>
      </c>
      <c r="K266" s="3">
        <f>$D266*TCA!K266/100</f>
        <v>0.01</v>
      </c>
      <c r="L266" s="3">
        <f>$D266*TCA!L266/100</f>
        <v>0.09</v>
      </c>
      <c r="M266" s="3">
        <f>$D266*TCA!M266/100</f>
        <v>0</v>
      </c>
      <c r="N266" s="3">
        <f>$D266*TCA!N266/100</f>
        <v>16</v>
      </c>
      <c r="O266" s="3">
        <f>$D266*TCA!O266/100</f>
        <v>27</v>
      </c>
      <c r="P266" s="3">
        <f t="shared" si="4"/>
        <v>62.790697674418603</v>
      </c>
      <c r="Q266" s="3">
        <f>$D266*TCA!P266/100</f>
        <v>0.28000000000000003</v>
      </c>
      <c r="R266" s="3">
        <f>$D266*TCA!Q266/100</f>
        <v>266</v>
      </c>
      <c r="S266" s="3">
        <f>$D266*TCA!R266/100</f>
        <v>1</v>
      </c>
      <c r="T266" s="3">
        <f>$D266*TCA!S266/100</f>
        <v>0.05</v>
      </c>
      <c r="U266" s="3">
        <f>$D266*TCA!T266/100</f>
        <v>1</v>
      </c>
      <c r="V266" s="3">
        <f>$D266*TCA!U266/100</f>
        <v>76</v>
      </c>
      <c r="W266" s="3">
        <f>$D266*TCA!V266/100</f>
        <v>14</v>
      </c>
      <c r="X266" s="3">
        <f>$D266*TCA!W266/100</f>
        <v>0</v>
      </c>
    </row>
    <row r="267" spans="1:24" x14ac:dyDescent="0.25">
      <c r="A267" s="3" t="s">
        <v>2026</v>
      </c>
      <c r="B267" s="3" t="s">
        <v>527</v>
      </c>
      <c r="C267" s="3" t="s">
        <v>528</v>
      </c>
      <c r="D267" s="3">
        <v>100</v>
      </c>
      <c r="E267" s="3">
        <f>$D267*TCA!E267/100</f>
        <v>42.94</v>
      </c>
      <c r="F267" s="3">
        <f>$D267*TCA!F267/100</f>
        <v>0.61</v>
      </c>
      <c r="G267" s="3">
        <f>$D267*TCA!G267/100</f>
        <v>0.14000000000000001</v>
      </c>
      <c r="H267" s="3">
        <f>$D267*TCA!H267/100</f>
        <v>9.81</v>
      </c>
      <c r="I267" s="3">
        <f>$D267*TCA!I267/100</f>
        <v>1.8</v>
      </c>
      <c r="J267" s="3">
        <f>$D267*TCA!J267/100</f>
        <v>0.04</v>
      </c>
      <c r="K267" s="3">
        <f>$D267*TCA!K267/100</f>
        <v>0.04</v>
      </c>
      <c r="L267" s="3">
        <f>$D267*TCA!L267/100</f>
        <v>0.03</v>
      </c>
      <c r="M267" s="3">
        <f>$D267*TCA!M267/100</f>
        <v>0</v>
      </c>
      <c r="N267" s="3">
        <f>$D267*TCA!N267/100</f>
        <v>24</v>
      </c>
      <c r="O267" s="3">
        <f>$D267*TCA!O267/100</f>
        <v>5</v>
      </c>
      <c r="P267" s="3">
        <f t="shared" si="4"/>
        <v>8.1967213114754092</v>
      </c>
      <c r="Q267" s="3">
        <f>$D267*TCA!P267/100</f>
        <v>0.1</v>
      </c>
      <c r="R267" s="3">
        <f>$D267*TCA!Q267/100</f>
        <v>257</v>
      </c>
      <c r="S267" s="3">
        <f>$D267*TCA!R267/100</f>
        <v>3</v>
      </c>
      <c r="T267" s="3">
        <f>$D267*TCA!S267/100</f>
        <v>7.0000000000000007E-2</v>
      </c>
      <c r="U267" s="3">
        <f>$D267*TCA!T267/100</f>
        <v>62</v>
      </c>
      <c r="V267" s="3">
        <f>$D267*TCA!U267/100</f>
        <v>55</v>
      </c>
      <c r="W267" s="3">
        <f>$D267*TCA!V267/100</f>
        <v>38</v>
      </c>
      <c r="X267" s="3">
        <f>$D267*TCA!W267/100</f>
        <v>0</v>
      </c>
    </row>
    <row r="268" spans="1:24" x14ac:dyDescent="0.25">
      <c r="A268" s="3" t="s">
        <v>2026</v>
      </c>
      <c r="B268" s="3" t="s">
        <v>529</v>
      </c>
      <c r="C268" s="3" t="s">
        <v>530</v>
      </c>
      <c r="D268" s="3">
        <v>100</v>
      </c>
      <c r="E268" s="3">
        <f>$D268*TCA!E268/100</f>
        <v>335</v>
      </c>
      <c r="F268" s="3">
        <f>$D268*TCA!F268/100</f>
        <v>3.28</v>
      </c>
      <c r="G268" s="3">
        <f>$D268*TCA!G268/100</f>
        <v>0.2</v>
      </c>
      <c r="H268" s="3">
        <f>$D268*TCA!H268/100</f>
        <v>80.02</v>
      </c>
      <c r="I268" s="3">
        <f>$D268*TCA!I268/100</f>
        <v>3.3</v>
      </c>
      <c r="J268" s="3">
        <f>$D268*TCA!J268/100</f>
        <v>7.0000000000000007E-2</v>
      </c>
      <c r="K268" s="3">
        <f>$D268*TCA!K268/100</f>
        <v>0.01</v>
      </c>
      <c r="L268" s="3">
        <f>$D268*TCA!L268/100</f>
        <v>0.06</v>
      </c>
      <c r="M268" s="3">
        <f>$D268*TCA!M268/100</f>
        <v>0</v>
      </c>
      <c r="N268" s="3">
        <f>$D268*TCA!N268/100</f>
        <v>64</v>
      </c>
      <c r="O268" s="3">
        <f>$D268*TCA!O268/100</f>
        <v>101</v>
      </c>
      <c r="P268" s="3">
        <f t="shared" si="4"/>
        <v>30.792682926829269</v>
      </c>
      <c r="Q268" s="3">
        <f>$D268*TCA!P268/100</f>
        <v>0.98</v>
      </c>
      <c r="R268" s="3">
        <f>$D268*TCA!Q268/100</f>
        <v>746</v>
      </c>
      <c r="S268" s="3">
        <f>$D268*TCA!R268/100</f>
        <v>24</v>
      </c>
      <c r="T268" s="3">
        <f>$D268*TCA!S268/100</f>
        <v>0.37</v>
      </c>
      <c r="U268" s="3">
        <f>$D268*TCA!T268/100</f>
        <v>3.2</v>
      </c>
      <c r="V268" s="3">
        <f>$D268*TCA!U268/100</f>
        <v>0</v>
      </c>
      <c r="W268" s="3">
        <f>$D268*TCA!V268/100</f>
        <v>3</v>
      </c>
      <c r="X268" s="3">
        <f>$D268*TCA!W268/100</f>
        <v>0</v>
      </c>
    </row>
    <row r="269" spans="1:24" x14ac:dyDescent="0.25">
      <c r="A269" s="3" t="s">
        <v>2026</v>
      </c>
      <c r="B269" s="3" t="s">
        <v>531</v>
      </c>
      <c r="C269" s="3" t="s">
        <v>532</v>
      </c>
      <c r="D269" s="3">
        <v>100</v>
      </c>
      <c r="E269" s="3">
        <f>$D269*TCA!E269/100</f>
        <v>260</v>
      </c>
      <c r="F269" s="3">
        <f>$D269*TCA!F269/100</f>
        <v>2.5</v>
      </c>
      <c r="G269" s="3">
        <f>$D269*TCA!G269/100</f>
        <v>0</v>
      </c>
      <c r="H269" s="3">
        <f>$D269*TCA!H269/100</f>
        <v>62.5</v>
      </c>
      <c r="I269" s="3">
        <f>$D269*TCA!I269/100</f>
        <v>0</v>
      </c>
      <c r="J269" s="3">
        <f>$D269*TCA!J269/100</f>
        <v>0</v>
      </c>
      <c r="K269" s="3">
        <f>$D269*TCA!K269/100</f>
        <v>0</v>
      </c>
      <c r="L269" s="3">
        <f>$D269*TCA!L269/100</f>
        <v>0</v>
      </c>
      <c r="M269" s="3">
        <f>$D269*TCA!M269/100</f>
        <v>0</v>
      </c>
      <c r="N269" s="3">
        <f>$D269*TCA!N269/100</f>
        <v>0</v>
      </c>
      <c r="O269" s="3">
        <f>$D269*TCA!O269/100</f>
        <v>0</v>
      </c>
      <c r="P269" s="3">
        <f t="shared" si="4"/>
        <v>0</v>
      </c>
      <c r="Q269" s="3">
        <f>$D269*TCA!P269/100</f>
        <v>0</v>
      </c>
      <c r="R269" s="3">
        <f>$D269*TCA!Q269/100</f>
        <v>0</v>
      </c>
      <c r="S269" s="3">
        <f>$D269*TCA!R269/100</f>
        <v>0</v>
      </c>
      <c r="T269" s="3">
        <f>$D269*TCA!S269/100</f>
        <v>0</v>
      </c>
      <c r="U269" s="3">
        <f>$D269*TCA!T269/100</f>
        <v>0</v>
      </c>
      <c r="V269" s="3">
        <f>$D269*TCA!U269/100</f>
        <v>0</v>
      </c>
      <c r="W269" s="3">
        <f>$D269*TCA!V269/100</f>
        <v>0</v>
      </c>
      <c r="X269" s="3">
        <f>$D269*TCA!W269/100</f>
        <v>0</v>
      </c>
    </row>
    <row r="270" spans="1:24" x14ac:dyDescent="0.25">
      <c r="A270" s="3" t="s">
        <v>2026</v>
      </c>
      <c r="B270" s="3" t="s">
        <v>533</v>
      </c>
      <c r="C270" s="3" t="s">
        <v>534</v>
      </c>
      <c r="D270" s="3">
        <v>100</v>
      </c>
      <c r="E270" s="3">
        <f>$D270*TCA!E270/100</f>
        <v>320</v>
      </c>
      <c r="F270" s="3">
        <f>$D270*TCA!F270/100</f>
        <v>2.5</v>
      </c>
      <c r="G270" s="3">
        <f>$D270*TCA!G270/100</f>
        <v>0</v>
      </c>
      <c r="H270" s="3">
        <f>$D270*TCA!H270/100</f>
        <v>77.5</v>
      </c>
      <c r="I270" s="3">
        <f>$D270*TCA!I270/100</f>
        <v>5</v>
      </c>
      <c r="J270" s="3">
        <f>$D270*TCA!J270/100</f>
        <v>0</v>
      </c>
      <c r="K270" s="3">
        <f>$D270*TCA!K270/100</f>
        <v>0</v>
      </c>
      <c r="L270" s="3">
        <f>$D270*TCA!L270/100</f>
        <v>0</v>
      </c>
      <c r="M270" s="3">
        <f>$D270*TCA!M270/100</f>
        <v>0</v>
      </c>
      <c r="N270" s="3">
        <f>$D270*TCA!N270/100</f>
        <v>50</v>
      </c>
      <c r="O270" s="3">
        <f>$D270*TCA!O270/100</f>
        <v>0</v>
      </c>
      <c r="P270" s="3">
        <f t="shared" si="4"/>
        <v>0</v>
      </c>
      <c r="Q270" s="3">
        <f>$D270*TCA!P270/100</f>
        <v>2.7</v>
      </c>
      <c r="R270" s="3">
        <f>$D270*TCA!Q270/100</f>
        <v>775</v>
      </c>
      <c r="S270" s="3">
        <f>$D270*TCA!R270/100</f>
        <v>25</v>
      </c>
      <c r="T270" s="3">
        <f>$D270*TCA!S270/100</f>
        <v>0</v>
      </c>
      <c r="U270" s="3">
        <f>$D270*TCA!T270/100</f>
        <v>0</v>
      </c>
      <c r="V270" s="3">
        <f>$D270*TCA!U270/100</f>
        <v>0</v>
      </c>
      <c r="W270" s="3">
        <f>$D270*TCA!V270/100</f>
        <v>0</v>
      </c>
      <c r="X270" s="3">
        <f>$D270*TCA!W270/100</f>
        <v>0</v>
      </c>
    </row>
    <row r="271" spans="1:24" x14ac:dyDescent="0.25">
      <c r="A271" s="3" t="s">
        <v>2026</v>
      </c>
      <c r="B271" s="3" t="s">
        <v>535</v>
      </c>
      <c r="C271" s="3" t="s">
        <v>536</v>
      </c>
      <c r="D271" s="3">
        <v>100</v>
      </c>
      <c r="E271" s="3">
        <f>$D271*TCA!E271/100</f>
        <v>35.799999999999997</v>
      </c>
      <c r="F271" s="3">
        <f>$D271*TCA!F271/100</f>
        <v>0.4</v>
      </c>
      <c r="G271" s="3">
        <f>$D271*TCA!G271/100</f>
        <v>1</v>
      </c>
      <c r="H271" s="3">
        <f>$D271*TCA!H271/100</f>
        <v>6.3</v>
      </c>
      <c r="I271" s="3">
        <f>$D271*TCA!I271/100</f>
        <v>0</v>
      </c>
      <c r="J271" s="3">
        <f>$D271*TCA!J271/100</f>
        <v>0</v>
      </c>
      <c r="K271" s="3">
        <f>$D271*TCA!K271/100</f>
        <v>0</v>
      </c>
      <c r="L271" s="3">
        <f>$D271*TCA!L271/100</f>
        <v>0</v>
      </c>
      <c r="M271" s="3">
        <f>$D271*TCA!M271/100</f>
        <v>0</v>
      </c>
      <c r="N271" s="3">
        <f>$D271*TCA!N271/100</f>
        <v>18</v>
      </c>
      <c r="O271" s="3">
        <f>$D271*TCA!O271/100</f>
        <v>14</v>
      </c>
      <c r="P271" s="3">
        <f t="shared" si="4"/>
        <v>35</v>
      </c>
      <c r="Q271" s="3">
        <f>$D271*TCA!P271/100</f>
        <v>0.8</v>
      </c>
      <c r="R271" s="3">
        <f>$D271*TCA!Q271/100</f>
        <v>0</v>
      </c>
      <c r="S271" s="3">
        <f>$D271*TCA!R271/100</f>
        <v>0</v>
      </c>
      <c r="T271" s="3">
        <f>$D271*TCA!S271/100</f>
        <v>0</v>
      </c>
      <c r="U271" s="3">
        <f>$D271*TCA!T271/100</f>
        <v>32</v>
      </c>
      <c r="V271" s="3">
        <f>$D271*TCA!U271/100</f>
        <v>28</v>
      </c>
      <c r="W271" s="3">
        <f>$D271*TCA!V271/100</f>
        <v>0</v>
      </c>
      <c r="X271" s="3">
        <f>$D271*TCA!W271/100</f>
        <v>0</v>
      </c>
    </row>
    <row r="272" spans="1:24" x14ac:dyDescent="0.25">
      <c r="A272" s="3" t="s">
        <v>2026</v>
      </c>
      <c r="B272" s="3" t="s">
        <v>537</v>
      </c>
      <c r="C272" s="3" t="s">
        <v>538</v>
      </c>
      <c r="D272" s="3">
        <v>100</v>
      </c>
      <c r="E272" s="3">
        <f>$D272*TCA!E272/100</f>
        <v>64.44</v>
      </c>
      <c r="F272" s="3">
        <f>$D272*TCA!F272/100</f>
        <v>0.38</v>
      </c>
      <c r="G272" s="3">
        <f>$D272*TCA!G272/100</f>
        <v>0.12</v>
      </c>
      <c r="H272" s="3">
        <f>$D272*TCA!H272/100</f>
        <v>15.46</v>
      </c>
      <c r="I272" s="3">
        <f>$D272*TCA!I272/100</f>
        <v>3.1</v>
      </c>
      <c r="J272" s="3">
        <f>$D272*TCA!J272/100</f>
        <v>0.01</v>
      </c>
      <c r="K272" s="3">
        <f>$D272*TCA!K272/100</f>
        <v>0.03</v>
      </c>
      <c r="L272" s="3">
        <f>$D272*TCA!L272/100</f>
        <v>0.03</v>
      </c>
      <c r="M272" s="3">
        <f>$D272*TCA!M272/100</f>
        <v>0</v>
      </c>
      <c r="N272" s="3">
        <f>$D272*TCA!N272/100</f>
        <v>9</v>
      </c>
      <c r="O272" s="3">
        <f>$D272*TCA!O272/100</f>
        <v>11</v>
      </c>
      <c r="P272" s="3">
        <f t="shared" si="4"/>
        <v>28.94736842105263</v>
      </c>
      <c r="Q272" s="3">
        <f>$D272*TCA!P272/100</f>
        <v>0.17</v>
      </c>
      <c r="R272" s="3">
        <f>$D272*TCA!Q272/100</f>
        <v>119</v>
      </c>
      <c r="S272" s="3">
        <f>$D272*TCA!R272/100</f>
        <v>1</v>
      </c>
      <c r="T272" s="3">
        <f>$D272*TCA!S272/100</f>
        <v>0.1</v>
      </c>
      <c r="U272" s="3">
        <f>$D272*TCA!T272/100</f>
        <v>4</v>
      </c>
      <c r="V272" s="3">
        <f>$D272*TCA!U272/100</f>
        <v>1</v>
      </c>
      <c r="W272" s="3">
        <f>$D272*TCA!V272/100</f>
        <v>7</v>
      </c>
      <c r="X272" s="3">
        <f>$D272*TCA!W272/100</f>
        <v>0</v>
      </c>
    </row>
    <row r="273" spans="1:24" x14ac:dyDescent="0.25">
      <c r="A273" s="3" t="s">
        <v>2026</v>
      </c>
      <c r="B273" s="3" t="s">
        <v>539</v>
      </c>
      <c r="C273" s="3" t="s">
        <v>540</v>
      </c>
      <c r="D273" s="3">
        <v>100</v>
      </c>
      <c r="E273" s="3">
        <f>$D273*TCA!E273/100</f>
        <v>370</v>
      </c>
      <c r="F273" s="3">
        <f>$D273*TCA!F273/100</f>
        <v>0</v>
      </c>
      <c r="G273" s="3">
        <f>$D273*TCA!G273/100</f>
        <v>0</v>
      </c>
      <c r="H273" s="3">
        <f>$D273*TCA!H273/100</f>
        <v>92.5</v>
      </c>
      <c r="I273" s="3">
        <f>$D273*TCA!I273/100</f>
        <v>2.5</v>
      </c>
      <c r="J273" s="3">
        <f>$D273*TCA!J273/100</f>
        <v>0.09</v>
      </c>
      <c r="K273" s="3">
        <f>$D273*TCA!K273/100</f>
        <v>0.02</v>
      </c>
      <c r="L273" s="3">
        <f>$D273*TCA!L273/100</f>
        <v>0.17</v>
      </c>
      <c r="M273" s="3">
        <f>$D273*TCA!M273/100</f>
        <v>0</v>
      </c>
      <c r="N273" s="3">
        <f>$D273*TCA!N273/100</f>
        <v>50</v>
      </c>
      <c r="O273" s="3">
        <f>$D273*TCA!O273/100</f>
        <v>55</v>
      </c>
      <c r="P273" s="3" t="e">
        <f t="shared" si="4"/>
        <v>#DIV/0!</v>
      </c>
      <c r="Q273" s="3">
        <f>$D273*TCA!P273/100</f>
        <v>2</v>
      </c>
      <c r="R273" s="3">
        <f>$D273*TCA!Q273/100</f>
        <v>640</v>
      </c>
      <c r="S273" s="3">
        <f>$D273*TCA!R273/100</f>
        <v>124</v>
      </c>
      <c r="T273" s="3">
        <f>$D273*TCA!S273/100</f>
        <v>0.28999999999999998</v>
      </c>
      <c r="U273" s="3">
        <f>$D273*TCA!T273/100</f>
        <v>2</v>
      </c>
      <c r="V273" s="3">
        <f>$D273*TCA!U273/100</f>
        <v>4</v>
      </c>
      <c r="W273" s="3">
        <f>$D273*TCA!V273/100</f>
        <v>1</v>
      </c>
      <c r="X273" s="3">
        <f>$D273*TCA!W273/100</f>
        <v>0</v>
      </c>
    </row>
    <row r="274" spans="1:24" x14ac:dyDescent="0.25">
      <c r="A274" s="3" t="s">
        <v>2026</v>
      </c>
      <c r="B274" s="3" t="s">
        <v>541</v>
      </c>
      <c r="C274" s="3" t="s">
        <v>542</v>
      </c>
      <c r="D274" s="3">
        <v>100</v>
      </c>
      <c r="E274" s="3">
        <f>$D274*TCA!E274/100</f>
        <v>57.11</v>
      </c>
      <c r="F274" s="3">
        <f>$D274*TCA!F274/100</f>
        <v>0.53</v>
      </c>
      <c r="G274" s="3">
        <f>$D274*TCA!G274/100</f>
        <v>0.11</v>
      </c>
      <c r="H274" s="3">
        <f>$D274*TCA!H274/100</f>
        <v>13.5</v>
      </c>
      <c r="I274" s="3">
        <f>$D274*TCA!I274/100</f>
        <v>1.4</v>
      </c>
      <c r="J274" s="3">
        <f>$D274*TCA!J274/100</f>
        <v>0</v>
      </c>
      <c r="K274" s="3">
        <f>$D274*TCA!K274/100</f>
        <v>0</v>
      </c>
      <c r="L274" s="3">
        <f>$D274*TCA!L274/100</f>
        <v>0</v>
      </c>
      <c r="M274" s="3">
        <f>$D274*TCA!M274/100</f>
        <v>0</v>
      </c>
      <c r="N274" s="3">
        <f>$D274*TCA!N274/100</f>
        <v>13</v>
      </c>
      <c r="O274" s="3">
        <f>$D274*TCA!O274/100</f>
        <v>8</v>
      </c>
      <c r="P274" s="3">
        <f t="shared" si="4"/>
        <v>15.094339622641508</v>
      </c>
      <c r="Q274" s="3">
        <f>$D274*TCA!P274/100</f>
        <v>0.28000000000000003</v>
      </c>
      <c r="R274" s="3">
        <f>$D274*TCA!Q274/100</f>
        <v>108</v>
      </c>
      <c r="S274" s="3">
        <f>$D274*TCA!R274/100</f>
        <v>1</v>
      </c>
      <c r="T274" s="3">
        <f>$D274*TCA!S274/100</f>
        <v>0.12</v>
      </c>
      <c r="U274" s="3">
        <f>$D274*TCA!T274/100</f>
        <v>56</v>
      </c>
      <c r="V274" s="3">
        <f>$D274*TCA!U274/100</f>
        <v>3</v>
      </c>
      <c r="W274" s="3">
        <f>$D274*TCA!V274/100</f>
        <v>19</v>
      </c>
      <c r="X274" s="3">
        <f>$D274*TCA!W274/100</f>
        <v>0</v>
      </c>
    </row>
    <row r="275" spans="1:24" x14ac:dyDescent="0.25">
      <c r="A275" s="3" t="s">
        <v>2026</v>
      </c>
      <c r="B275" s="3" t="s">
        <v>543</v>
      </c>
      <c r="C275" s="3" t="s">
        <v>544</v>
      </c>
      <c r="D275" s="3">
        <v>100</v>
      </c>
      <c r="E275" s="3">
        <f>$D275*TCA!E275/100</f>
        <v>66.680000000000007</v>
      </c>
      <c r="F275" s="3">
        <f>$D275*TCA!F275/100</f>
        <v>0</v>
      </c>
      <c r="G275" s="3">
        <f>$D275*TCA!G275/100</f>
        <v>0</v>
      </c>
      <c r="H275" s="3">
        <f>$D275*TCA!H275/100</f>
        <v>16.670000000000002</v>
      </c>
      <c r="I275" s="3">
        <f>$D275*TCA!I275/100</f>
        <v>1.67</v>
      </c>
      <c r="J275" s="3">
        <f>$D275*TCA!J275/100</f>
        <v>0</v>
      </c>
      <c r="K275" s="3">
        <f>$D275*TCA!K275/100</f>
        <v>0</v>
      </c>
      <c r="L275" s="3">
        <f>$D275*TCA!L275/100</f>
        <v>0</v>
      </c>
      <c r="M275" s="3">
        <f>$D275*TCA!M275/100</f>
        <v>0</v>
      </c>
      <c r="N275" s="3">
        <f>$D275*TCA!N275/100</f>
        <v>0</v>
      </c>
      <c r="O275" s="3">
        <f>$D275*TCA!O275/100</f>
        <v>0</v>
      </c>
      <c r="P275" s="3" t="e">
        <f t="shared" si="4"/>
        <v>#DIV/0!</v>
      </c>
      <c r="Q275" s="3">
        <f>$D275*TCA!P275/100</f>
        <v>0</v>
      </c>
      <c r="R275" s="3">
        <f>$D275*TCA!Q275/100</f>
        <v>0</v>
      </c>
      <c r="S275" s="3">
        <f>$D275*TCA!R275/100</f>
        <v>0</v>
      </c>
      <c r="T275" s="3">
        <f>$D275*TCA!S275/100</f>
        <v>0</v>
      </c>
      <c r="U275" s="3">
        <f>$D275*TCA!T275/100</f>
        <v>0</v>
      </c>
      <c r="V275" s="3">
        <f>$D275*TCA!U275/100</f>
        <v>0</v>
      </c>
      <c r="W275" s="3">
        <f>$D275*TCA!V275/100</f>
        <v>0</v>
      </c>
      <c r="X275" s="3">
        <f>$D275*TCA!W275/100</f>
        <v>0</v>
      </c>
    </row>
    <row r="276" spans="1:24" x14ac:dyDescent="0.25">
      <c r="A276" s="3" t="s">
        <v>2026</v>
      </c>
      <c r="B276" s="3" t="s">
        <v>545</v>
      </c>
      <c r="C276" s="3" t="s">
        <v>546</v>
      </c>
      <c r="D276" s="3">
        <v>100</v>
      </c>
      <c r="E276" s="3">
        <f>$D276*TCA!E276/100</f>
        <v>83.19</v>
      </c>
      <c r="F276" s="3">
        <f>$D276*TCA!F276/100</f>
        <v>0.35</v>
      </c>
      <c r="G276" s="3">
        <f>$D276*TCA!G276/100</f>
        <v>0.11</v>
      </c>
      <c r="H276" s="3">
        <f>$D276*TCA!H276/100</f>
        <v>20.2</v>
      </c>
      <c r="I276" s="3">
        <f>$D276*TCA!I276/100</f>
        <v>0.8</v>
      </c>
      <c r="J276" s="3">
        <f>$D276*TCA!J276/100</f>
        <v>0.01</v>
      </c>
      <c r="K276" s="3">
        <f>$D276*TCA!K276/100</f>
        <v>0.01</v>
      </c>
      <c r="L276" s="3">
        <f>$D276*TCA!L276/100</f>
        <v>0.04</v>
      </c>
      <c r="M276" s="3">
        <f>$D276*TCA!M276/100</f>
        <v>0</v>
      </c>
      <c r="N276" s="3">
        <f>$D276*TCA!N276/100</f>
        <v>14</v>
      </c>
      <c r="O276" s="3">
        <f>$D276*TCA!O276/100</f>
        <v>7</v>
      </c>
      <c r="P276" s="3">
        <f t="shared" si="4"/>
        <v>20</v>
      </c>
      <c r="Q276" s="3">
        <f>$D276*TCA!P276/100</f>
        <v>0.38</v>
      </c>
      <c r="R276" s="3">
        <f>$D276*TCA!Q276/100</f>
        <v>104</v>
      </c>
      <c r="S276" s="3">
        <f>$D276*TCA!R276/100</f>
        <v>1</v>
      </c>
      <c r="T276" s="3">
        <f>$D276*TCA!S276/100</f>
        <v>0.12</v>
      </c>
      <c r="U276" s="3">
        <f>$D276*TCA!T276/100</f>
        <v>7</v>
      </c>
      <c r="V276" s="3">
        <f>$D276*TCA!U276/100</f>
        <v>1</v>
      </c>
      <c r="W276" s="3">
        <f>$D276*TCA!V276/100</f>
        <v>5</v>
      </c>
      <c r="X276" s="3">
        <f>$D276*TCA!W276/100</f>
        <v>0</v>
      </c>
    </row>
    <row r="277" spans="1:24" x14ac:dyDescent="0.25">
      <c r="A277" s="3" t="s">
        <v>2026</v>
      </c>
      <c r="B277" s="3" t="s">
        <v>547</v>
      </c>
      <c r="C277" s="3" t="s">
        <v>548</v>
      </c>
      <c r="D277" s="3">
        <v>100</v>
      </c>
      <c r="E277" s="3">
        <f>$D277*TCA!E277/100</f>
        <v>56.9</v>
      </c>
      <c r="F277" s="3">
        <f>$D277*TCA!F277/100</f>
        <v>0.4</v>
      </c>
      <c r="G277" s="3">
        <f>$D277*TCA!G277/100</f>
        <v>0.1</v>
      </c>
      <c r="H277" s="3">
        <f>$D277*TCA!H277/100</f>
        <v>13.6</v>
      </c>
      <c r="I277" s="3">
        <f>$D277*TCA!I277/100</f>
        <v>3.3</v>
      </c>
      <c r="J277" s="3">
        <f>$D277*TCA!J277/100</f>
        <v>0</v>
      </c>
      <c r="K277" s="3">
        <f>$D277*TCA!K277/100</f>
        <v>0</v>
      </c>
      <c r="L277" s="3">
        <f>$D277*TCA!L277/100</f>
        <v>0</v>
      </c>
      <c r="M277" s="3">
        <f>$D277*TCA!M277/100</f>
        <v>0</v>
      </c>
      <c r="N277" s="3">
        <f>$D277*TCA!N277/100</f>
        <v>26</v>
      </c>
      <c r="O277" s="3">
        <f>$D277*TCA!O277/100</f>
        <v>26</v>
      </c>
      <c r="P277" s="3">
        <f t="shared" si="4"/>
        <v>65</v>
      </c>
      <c r="Q277" s="3">
        <f>$D277*TCA!P277/100</f>
        <v>0.3</v>
      </c>
      <c r="R277" s="3">
        <f>$D277*TCA!Q277/100</f>
        <v>155</v>
      </c>
      <c r="S277" s="3">
        <f>$D277*TCA!R277/100</f>
        <v>4</v>
      </c>
      <c r="T277" s="3">
        <f>$D277*TCA!S277/100</f>
        <v>0.1</v>
      </c>
      <c r="U277" s="3">
        <f>$D277*TCA!T277/100</f>
        <v>20</v>
      </c>
      <c r="V277" s="3">
        <f>$D277*TCA!U277/100</f>
        <v>2</v>
      </c>
      <c r="W277" s="3">
        <f>$D277*TCA!V277/100</f>
        <v>20</v>
      </c>
      <c r="X277" s="3">
        <f>$D277*TCA!W277/100</f>
        <v>0</v>
      </c>
    </row>
    <row r="278" spans="1:24" x14ac:dyDescent="0.25">
      <c r="A278" s="3" t="s">
        <v>2026</v>
      </c>
      <c r="B278" s="3" t="s">
        <v>549</v>
      </c>
      <c r="C278" s="3" t="s">
        <v>550</v>
      </c>
      <c r="D278" s="3">
        <v>100</v>
      </c>
      <c r="E278" s="3">
        <f>$D278*TCA!E278/100</f>
        <v>62</v>
      </c>
      <c r="F278" s="3">
        <f>$D278*TCA!F278/100</f>
        <v>1.4</v>
      </c>
      <c r="G278" s="3">
        <f>$D278*TCA!G278/100</f>
        <v>0.4</v>
      </c>
      <c r="H278" s="3">
        <f>$D278*TCA!H278/100</f>
        <v>13.2</v>
      </c>
      <c r="I278" s="3">
        <f>$D278*TCA!I278/100</f>
        <v>0</v>
      </c>
      <c r="J278" s="3">
        <f>$D278*TCA!J278/100</f>
        <v>0</v>
      </c>
      <c r="K278" s="3">
        <f>$D278*TCA!K278/100</f>
        <v>0</v>
      </c>
      <c r="L278" s="3">
        <f>$D278*TCA!L278/100</f>
        <v>0</v>
      </c>
      <c r="M278" s="3">
        <f>$D278*TCA!M278/100</f>
        <v>0</v>
      </c>
      <c r="N278" s="3">
        <f>$D278*TCA!N278/100</f>
        <v>10</v>
      </c>
      <c r="O278" s="3">
        <f>$D278*TCA!O278/100</f>
        <v>26</v>
      </c>
      <c r="P278" s="3">
        <f t="shared" si="4"/>
        <v>18.571428571428573</v>
      </c>
      <c r="Q278" s="3">
        <f>$D278*TCA!P278/100</f>
        <v>1.3</v>
      </c>
      <c r="R278" s="3">
        <f>$D278*TCA!Q278/100</f>
        <v>0</v>
      </c>
      <c r="S278" s="3">
        <f>$D278*TCA!R278/100</f>
        <v>0</v>
      </c>
      <c r="T278" s="3">
        <f>$D278*TCA!S278/100</f>
        <v>0</v>
      </c>
      <c r="U278" s="3">
        <f>$D278*TCA!T278/100</f>
        <v>8</v>
      </c>
      <c r="V278" s="3">
        <f>$D278*TCA!U278/100</f>
        <v>0</v>
      </c>
      <c r="W278" s="3">
        <f>$D278*TCA!V278/100</f>
        <v>0</v>
      </c>
      <c r="X278" s="3">
        <f>$D278*TCA!W278/100</f>
        <v>0</v>
      </c>
    </row>
    <row r="279" spans="1:24" x14ac:dyDescent="0.25">
      <c r="A279" s="3" t="s">
        <v>2026</v>
      </c>
      <c r="B279" s="3" t="s">
        <v>551</v>
      </c>
      <c r="C279" s="3" t="s">
        <v>552</v>
      </c>
      <c r="D279" s="3">
        <v>100</v>
      </c>
      <c r="E279" s="3">
        <f>$D279*TCA!E279/100</f>
        <v>118.2</v>
      </c>
      <c r="F279" s="3">
        <f>$D279*TCA!F279/100</f>
        <v>1.4</v>
      </c>
      <c r="G279" s="3">
        <f>$D279*TCA!G279/100</f>
        <v>0.2</v>
      </c>
      <c r="H279" s="3">
        <f>$D279*TCA!H279/100</f>
        <v>27.7</v>
      </c>
      <c r="I279" s="3">
        <f>$D279*TCA!I279/100</f>
        <v>0</v>
      </c>
      <c r="J279" s="3">
        <f>$D279*TCA!J279/100</f>
        <v>0</v>
      </c>
      <c r="K279" s="3">
        <f>$D279*TCA!K279/100</f>
        <v>0</v>
      </c>
      <c r="L279" s="3">
        <f>$D279*TCA!L279/100</f>
        <v>0</v>
      </c>
      <c r="M279" s="3">
        <f>$D279*TCA!M279/100</f>
        <v>0</v>
      </c>
      <c r="N279" s="3">
        <f>$D279*TCA!N279/100</f>
        <v>12</v>
      </c>
      <c r="O279" s="3">
        <f>$D279*TCA!O279/100</f>
        <v>20</v>
      </c>
      <c r="P279" s="3">
        <f t="shared" si="4"/>
        <v>14.285714285714286</v>
      </c>
      <c r="Q279" s="3">
        <f>$D279*TCA!P279/100</f>
        <v>0.5</v>
      </c>
      <c r="R279" s="3">
        <f>$D279*TCA!Q279/100</f>
        <v>370</v>
      </c>
      <c r="S279" s="3">
        <f>$D279*TCA!R279/100</f>
        <v>1</v>
      </c>
      <c r="T279" s="3">
        <f>$D279*TCA!S279/100</f>
        <v>0.16</v>
      </c>
      <c r="U279" s="3">
        <f>$D279*TCA!T279/100</f>
        <v>10</v>
      </c>
      <c r="V279" s="3">
        <f>$D279*TCA!U279/100</f>
        <v>42</v>
      </c>
      <c r="W279" s="3">
        <f>$D279*TCA!V279/100</f>
        <v>0</v>
      </c>
      <c r="X279" s="3">
        <f>$D279*TCA!W279/100</f>
        <v>0</v>
      </c>
    </row>
    <row r="280" spans="1:24" x14ac:dyDescent="0.25">
      <c r="A280" s="3" t="s">
        <v>2026</v>
      </c>
      <c r="B280" s="3" t="s">
        <v>553</v>
      </c>
      <c r="C280" s="3" t="s">
        <v>554</v>
      </c>
      <c r="D280" s="3">
        <v>100</v>
      </c>
      <c r="E280" s="3">
        <f>$D280*TCA!E280/100</f>
        <v>33.99</v>
      </c>
      <c r="F280" s="3">
        <f>$D280*TCA!F280/100</f>
        <v>0.61</v>
      </c>
      <c r="G280" s="3">
        <f>$D280*TCA!G280/100</f>
        <v>0.15</v>
      </c>
      <c r="H280" s="3">
        <f>$D280*TCA!H280/100</f>
        <v>7.55</v>
      </c>
      <c r="I280" s="3">
        <f>$D280*TCA!I280/100</f>
        <v>0.4</v>
      </c>
      <c r="J280" s="3">
        <f>$D280*TCA!J280/100</f>
        <v>0.02</v>
      </c>
      <c r="K280" s="3">
        <f>$D280*TCA!K280/100</f>
        <v>0.04</v>
      </c>
      <c r="L280" s="3">
        <f>$D280*TCA!L280/100</f>
        <v>0.05</v>
      </c>
      <c r="M280" s="3">
        <f>$D280*TCA!M280/100</f>
        <v>0</v>
      </c>
      <c r="N280" s="3">
        <f>$D280*TCA!N280/100</f>
        <v>7</v>
      </c>
      <c r="O280" s="3">
        <f>$D280*TCA!O280/100</f>
        <v>11</v>
      </c>
      <c r="P280" s="3">
        <f t="shared" si="4"/>
        <v>18.032786885245901</v>
      </c>
      <c r="Q280" s="3">
        <f>$D280*TCA!P280/100</f>
        <v>0.24</v>
      </c>
      <c r="R280" s="3">
        <f>$D280*TCA!Q280/100</f>
        <v>112</v>
      </c>
      <c r="S280" s="3">
        <f>$D280*TCA!R280/100</f>
        <v>1</v>
      </c>
      <c r="T280" s="3">
        <f>$D280*TCA!S280/100</f>
        <v>0.1</v>
      </c>
      <c r="U280" s="3">
        <f>$D280*TCA!T280/100</f>
        <v>8</v>
      </c>
      <c r="V280" s="3">
        <f>$D280*TCA!U280/100</f>
        <v>28</v>
      </c>
      <c r="W280" s="3">
        <f>$D280*TCA!V280/100</f>
        <v>3</v>
      </c>
      <c r="X280" s="3">
        <f>$D280*TCA!W280/100</f>
        <v>0</v>
      </c>
    </row>
    <row r="281" spans="1:24" x14ac:dyDescent="0.25">
      <c r="A281" s="3" t="s">
        <v>2026</v>
      </c>
      <c r="B281" s="3" t="s">
        <v>555</v>
      </c>
      <c r="C281" s="3" t="s">
        <v>556</v>
      </c>
      <c r="D281" s="3">
        <v>100</v>
      </c>
      <c r="E281" s="3">
        <f>$D281*TCA!E281/100</f>
        <v>106.67</v>
      </c>
      <c r="F281" s="3">
        <f>$D281*TCA!F281/100</f>
        <v>0</v>
      </c>
      <c r="G281" s="3">
        <f>$D281*TCA!G281/100</f>
        <v>0</v>
      </c>
      <c r="H281" s="3">
        <f>$D281*TCA!H281/100</f>
        <v>26.67</v>
      </c>
      <c r="I281" s="3">
        <f>$D281*TCA!I281/100</f>
        <v>0</v>
      </c>
      <c r="J281" s="3">
        <f>$D281*TCA!J281/100</f>
        <v>0</v>
      </c>
      <c r="K281" s="3">
        <f>$D281*TCA!K281/100</f>
        <v>0</v>
      </c>
      <c r="L281" s="3">
        <f>$D281*TCA!L281/100</f>
        <v>0</v>
      </c>
      <c r="M281" s="3">
        <f>$D281*TCA!M281/100</f>
        <v>0</v>
      </c>
      <c r="N281" s="3">
        <f>$D281*TCA!N281/100</f>
        <v>0</v>
      </c>
      <c r="O281" s="3">
        <f>$D281*TCA!O281/100</f>
        <v>0</v>
      </c>
      <c r="P281" s="3" t="e">
        <f t="shared" si="4"/>
        <v>#DIV/0!</v>
      </c>
      <c r="Q281" s="3">
        <f>$D281*TCA!P281/100</f>
        <v>0</v>
      </c>
      <c r="R281" s="3">
        <f>$D281*TCA!Q281/100</f>
        <v>0</v>
      </c>
      <c r="S281" s="3">
        <f>$D281*TCA!R281/100</f>
        <v>0</v>
      </c>
      <c r="T281" s="3">
        <f>$D281*TCA!S281/100</f>
        <v>0</v>
      </c>
      <c r="U281" s="3">
        <f>$D281*TCA!T281/100</f>
        <v>0</v>
      </c>
      <c r="V281" s="3">
        <f>$D281*TCA!U281/100</f>
        <v>0</v>
      </c>
      <c r="W281" s="3">
        <f>$D281*TCA!V281/100</f>
        <v>0</v>
      </c>
      <c r="X281" s="3">
        <f>$D281*TCA!W281/100</f>
        <v>0</v>
      </c>
    </row>
    <row r="282" spans="1:24" x14ac:dyDescent="0.25">
      <c r="A282" s="3" t="s">
        <v>2026</v>
      </c>
      <c r="B282" s="3" t="s">
        <v>557</v>
      </c>
      <c r="C282" s="3" t="s">
        <v>558</v>
      </c>
      <c r="D282" s="3">
        <v>100</v>
      </c>
      <c r="E282" s="3">
        <f>$D282*TCA!E282/100</f>
        <v>266.60000000000002</v>
      </c>
      <c r="F282" s="3">
        <f>$D282*TCA!F282/100</f>
        <v>2.8</v>
      </c>
      <c r="G282" s="3">
        <f>$D282*TCA!G282/100</f>
        <v>0.6</v>
      </c>
      <c r="H282" s="3">
        <f>$D282*TCA!H282/100</f>
        <v>62.5</v>
      </c>
      <c r="I282" s="3">
        <f>$D282*TCA!I282/100</f>
        <v>5.0999999999999996</v>
      </c>
      <c r="J282" s="3">
        <f>$D282*TCA!J282/100</f>
        <v>0.27</v>
      </c>
      <c r="K282" s="3">
        <f>$D282*TCA!K282/100</f>
        <v>0.18</v>
      </c>
      <c r="L282" s="3">
        <f>$D282*TCA!L282/100</f>
        <v>0.06</v>
      </c>
      <c r="M282" s="3">
        <f>$D282*TCA!M282/100</f>
        <v>0</v>
      </c>
      <c r="N282" s="3">
        <f>$D282*TCA!N282/100</f>
        <v>74</v>
      </c>
      <c r="O282" s="3">
        <f>$D282*TCA!O282/100</f>
        <v>113</v>
      </c>
      <c r="P282" s="3">
        <f t="shared" si="4"/>
        <v>40.357142857142861</v>
      </c>
      <c r="Q282" s="3">
        <f>$D282*TCA!P282/100</f>
        <v>2.8</v>
      </c>
      <c r="R282" s="3">
        <f>$D282*TCA!Q282/100</f>
        <v>628</v>
      </c>
      <c r="S282" s="3">
        <f>$D282*TCA!R282/100</f>
        <v>28</v>
      </c>
      <c r="T282" s="3">
        <f>$D282*TCA!S282/100</f>
        <v>0.1</v>
      </c>
      <c r="U282" s="3">
        <f>$D282*TCA!T282/100</f>
        <v>3.5</v>
      </c>
      <c r="V282" s="3">
        <f>$D282*TCA!U282/100</f>
        <v>2</v>
      </c>
      <c r="W282" s="3">
        <f>$D282*TCA!V282/100</f>
        <v>14</v>
      </c>
      <c r="X282" s="3">
        <f>$D282*TCA!W282/100</f>
        <v>0</v>
      </c>
    </row>
    <row r="283" spans="1:24" x14ac:dyDescent="0.25">
      <c r="A283" s="3" t="s">
        <v>2026</v>
      </c>
      <c r="B283" s="3" t="s">
        <v>559</v>
      </c>
      <c r="C283" s="3" t="s">
        <v>560</v>
      </c>
      <c r="D283" s="3">
        <v>100</v>
      </c>
      <c r="E283" s="3">
        <f>$D283*TCA!E283/100</f>
        <v>24.72</v>
      </c>
      <c r="F283" s="3">
        <f>$D283*TCA!F283/100</f>
        <v>3.09</v>
      </c>
      <c r="G283" s="3">
        <f>$D283*TCA!G283/100</f>
        <v>0</v>
      </c>
      <c r="H283" s="3">
        <f>$D283*TCA!H283/100</f>
        <v>3.09</v>
      </c>
      <c r="I283" s="3">
        <f>$D283*TCA!I283/100</f>
        <v>0</v>
      </c>
      <c r="J283" s="3">
        <f>$D283*TCA!J283/100</f>
        <v>0</v>
      </c>
      <c r="K283" s="3">
        <f>$D283*TCA!K283/100</f>
        <v>0</v>
      </c>
      <c r="L283" s="3">
        <f>$D283*TCA!L283/100</f>
        <v>0</v>
      </c>
      <c r="M283" s="3">
        <f>$D283*TCA!M283/100</f>
        <v>0</v>
      </c>
      <c r="N283" s="3">
        <f>$D283*TCA!N283/100</f>
        <v>381</v>
      </c>
      <c r="O283" s="3">
        <f>$D283*TCA!O283/100</f>
        <v>0</v>
      </c>
      <c r="P283" s="3">
        <f t="shared" si="4"/>
        <v>0</v>
      </c>
      <c r="Q283" s="3">
        <f>$D283*TCA!P283/100</f>
        <v>0.56000000000000005</v>
      </c>
      <c r="R283" s="3">
        <f>$D283*TCA!Q283/100</f>
        <v>0</v>
      </c>
      <c r="S283" s="3">
        <f>$D283*TCA!R283/100</f>
        <v>1</v>
      </c>
      <c r="T283" s="3">
        <f>$D283*TCA!S283/100</f>
        <v>0</v>
      </c>
      <c r="U283" s="3">
        <f>$D283*TCA!T283/100</f>
        <v>39.6</v>
      </c>
      <c r="V283" s="3">
        <f>$D283*TCA!U283/100</f>
        <v>417.6</v>
      </c>
      <c r="W283" s="3">
        <f>$D283*TCA!V283/100</f>
        <v>0</v>
      </c>
      <c r="X283" s="3">
        <f>$D283*TCA!W283/100</f>
        <v>0</v>
      </c>
    </row>
    <row r="284" spans="1:24" x14ac:dyDescent="0.25">
      <c r="A284" s="3" t="s">
        <v>2026</v>
      </c>
      <c r="B284" s="3" t="s">
        <v>561</v>
      </c>
      <c r="C284" s="3" t="s">
        <v>562</v>
      </c>
      <c r="D284" s="3">
        <v>100</v>
      </c>
      <c r="E284" s="3">
        <f>$D284*TCA!E284/100</f>
        <v>58.1</v>
      </c>
      <c r="F284" s="3">
        <f>$D284*TCA!F284/100</f>
        <v>2.2000000000000002</v>
      </c>
      <c r="G284" s="3">
        <f>$D284*TCA!G284/100</f>
        <v>0.9</v>
      </c>
      <c r="H284" s="3">
        <f>$D284*TCA!H284/100</f>
        <v>10.3</v>
      </c>
      <c r="I284" s="3">
        <f>$D284*TCA!I284/100</f>
        <v>0</v>
      </c>
      <c r="J284" s="3">
        <f>$D284*TCA!J284/100</f>
        <v>0</v>
      </c>
      <c r="K284" s="3">
        <f>$D284*TCA!K284/100</f>
        <v>0</v>
      </c>
      <c r="L284" s="3">
        <f>$D284*TCA!L284/100</f>
        <v>0</v>
      </c>
      <c r="M284" s="3">
        <f>$D284*TCA!M284/100</f>
        <v>0</v>
      </c>
      <c r="N284" s="3">
        <f>$D284*TCA!N284/100</f>
        <v>9</v>
      </c>
      <c r="O284" s="3">
        <f>$D284*TCA!O284/100</f>
        <v>48</v>
      </c>
      <c r="P284" s="3">
        <f t="shared" si="4"/>
        <v>21.818181818181817</v>
      </c>
      <c r="Q284" s="3">
        <f>$D284*TCA!P284/100</f>
        <v>0.8</v>
      </c>
      <c r="R284" s="3">
        <f>$D284*TCA!Q284/100</f>
        <v>0</v>
      </c>
      <c r="S284" s="3">
        <f>$D284*TCA!R284/100</f>
        <v>0</v>
      </c>
      <c r="T284" s="3">
        <f>$D284*TCA!S284/100</f>
        <v>0</v>
      </c>
      <c r="U284" s="3">
        <f>$D284*TCA!T284/100</f>
        <v>29</v>
      </c>
      <c r="V284" s="3">
        <f>$D284*TCA!U284/100</f>
        <v>300</v>
      </c>
      <c r="W284" s="3">
        <f>$D284*TCA!V284/100</f>
        <v>0</v>
      </c>
      <c r="X284" s="3">
        <f>$D284*TCA!W284/100</f>
        <v>0</v>
      </c>
    </row>
    <row r="285" spans="1:24" x14ac:dyDescent="0.25">
      <c r="A285" s="3" t="s">
        <v>2026</v>
      </c>
      <c r="B285" s="3" t="s">
        <v>563</v>
      </c>
      <c r="C285" s="3" t="s">
        <v>564</v>
      </c>
      <c r="D285" s="3">
        <v>100</v>
      </c>
      <c r="E285" s="3">
        <f>$D285*TCA!E285/100</f>
        <v>33.33</v>
      </c>
      <c r="F285" s="3">
        <f>$D285*TCA!F285/100</f>
        <v>1.67</v>
      </c>
      <c r="G285" s="3">
        <f>$D285*TCA!G285/100</f>
        <v>0</v>
      </c>
      <c r="H285" s="3">
        <f>$D285*TCA!H285/100</f>
        <v>6.67</v>
      </c>
      <c r="I285" s="3">
        <f>$D285*TCA!I285/100</f>
        <v>0</v>
      </c>
      <c r="J285" s="3">
        <f>$D285*TCA!J285/100</f>
        <v>0</v>
      </c>
      <c r="K285" s="3">
        <f>$D285*TCA!K285/100</f>
        <v>0</v>
      </c>
      <c r="L285" s="3">
        <f>$D285*TCA!L285/100</f>
        <v>0</v>
      </c>
      <c r="M285" s="3">
        <f>$D285*TCA!M285/100</f>
        <v>0</v>
      </c>
      <c r="N285" s="3">
        <f>$D285*TCA!N285/100</f>
        <v>0</v>
      </c>
      <c r="O285" s="3">
        <f>$D285*TCA!O285/100</f>
        <v>0</v>
      </c>
      <c r="P285" s="3">
        <f t="shared" si="4"/>
        <v>0</v>
      </c>
      <c r="Q285" s="3">
        <f>$D285*TCA!P285/100</f>
        <v>0</v>
      </c>
      <c r="R285" s="3">
        <f>$D285*TCA!Q285/100</f>
        <v>0</v>
      </c>
      <c r="S285" s="3">
        <f>$D285*TCA!R285/100</f>
        <v>58.33</v>
      </c>
      <c r="T285" s="3">
        <f>$D285*TCA!S285/100</f>
        <v>0</v>
      </c>
      <c r="U285" s="3">
        <f>$D285*TCA!T285/100</f>
        <v>0</v>
      </c>
      <c r="V285" s="3">
        <f>$D285*TCA!U285/100</f>
        <v>0</v>
      </c>
      <c r="W285" s="3">
        <f>$D285*TCA!V285/100</f>
        <v>0</v>
      </c>
      <c r="X285" s="3">
        <f>$D285*TCA!W285/100</f>
        <v>0</v>
      </c>
    </row>
    <row r="286" spans="1:24" x14ac:dyDescent="0.25">
      <c r="A286" s="3" t="s">
        <v>2026</v>
      </c>
      <c r="B286" s="3" t="s">
        <v>565</v>
      </c>
      <c r="C286" s="3" t="s">
        <v>566</v>
      </c>
      <c r="D286" s="3">
        <v>100</v>
      </c>
      <c r="E286" s="3">
        <f>$D286*TCA!E286/100</f>
        <v>46.98</v>
      </c>
      <c r="F286" s="3">
        <f>$D286*TCA!F286/100</f>
        <v>0.77</v>
      </c>
      <c r="G286" s="3">
        <f>$D286*TCA!G286/100</f>
        <v>0.14000000000000001</v>
      </c>
      <c r="H286" s="3">
        <f>$D286*TCA!H286/100</f>
        <v>10.66</v>
      </c>
      <c r="I286" s="3">
        <f>$D286*TCA!I286/100</f>
        <v>1.6</v>
      </c>
      <c r="J286" s="3">
        <f>$D286*TCA!J286/100</f>
        <v>0.02</v>
      </c>
      <c r="K286" s="3">
        <f>$D286*TCA!K286/100</f>
        <v>0.02</v>
      </c>
      <c r="L286" s="3">
        <f>$D286*TCA!L286/100</f>
        <v>0.04</v>
      </c>
      <c r="M286" s="3">
        <f>$D286*TCA!M286/100</f>
        <v>0</v>
      </c>
      <c r="N286" s="3">
        <f>$D286*TCA!N286/100</f>
        <v>22</v>
      </c>
      <c r="O286" s="3">
        <f>$D286*TCA!O286/100</f>
        <v>18</v>
      </c>
      <c r="P286" s="3">
        <f t="shared" si="4"/>
        <v>23.376623376623375</v>
      </c>
      <c r="Q286" s="3">
        <f>$D286*TCA!P286/100</f>
        <v>0.08</v>
      </c>
      <c r="R286" s="3">
        <f>$D286*TCA!Q286/100</f>
        <v>135</v>
      </c>
      <c r="S286" s="3">
        <f>$D286*TCA!R286/100</f>
        <v>0</v>
      </c>
      <c r="T286" s="3">
        <f>$D286*TCA!S286/100</f>
        <v>7.0000000000000007E-2</v>
      </c>
      <c r="U286" s="3">
        <f>$D286*TCA!T286/100</f>
        <v>31</v>
      </c>
      <c r="V286" s="3">
        <f>$D286*TCA!U286/100</f>
        <v>58</v>
      </c>
      <c r="W286" s="3">
        <f>$D286*TCA!V286/100</f>
        <v>13</v>
      </c>
      <c r="X286" s="3">
        <f>$D286*TCA!W286/100</f>
        <v>0</v>
      </c>
    </row>
    <row r="287" spans="1:24" x14ac:dyDescent="0.25">
      <c r="A287" s="3" t="s">
        <v>2026</v>
      </c>
      <c r="B287" s="3" t="s">
        <v>567</v>
      </c>
      <c r="C287" s="3" t="s">
        <v>568</v>
      </c>
      <c r="D287" s="3">
        <v>100</v>
      </c>
      <c r="E287" s="3">
        <f>$D287*TCA!E287/100</f>
        <v>74.400000000000006</v>
      </c>
      <c r="F287" s="3">
        <f>$D287*TCA!F287/100</f>
        <v>1.1000000000000001</v>
      </c>
      <c r="G287" s="3">
        <f>$D287*TCA!G287/100</f>
        <v>0.4</v>
      </c>
      <c r="H287" s="3">
        <f>$D287*TCA!H287/100</f>
        <v>16.600000000000001</v>
      </c>
      <c r="I287" s="3">
        <f>$D287*TCA!I287/100</f>
        <v>3.6</v>
      </c>
      <c r="J287" s="3">
        <f>$D287*TCA!J287/100</f>
        <v>7.0000000000000007E-2</v>
      </c>
      <c r="K287" s="3">
        <f>$D287*TCA!K287/100</f>
        <v>0.08</v>
      </c>
      <c r="L287" s="3">
        <f>$D287*TCA!L287/100</f>
        <v>0.21</v>
      </c>
      <c r="M287" s="3">
        <f>$D287*TCA!M287/100</f>
        <v>0</v>
      </c>
      <c r="N287" s="3">
        <f>$D287*TCA!N287/100</f>
        <v>57</v>
      </c>
      <c r="O287" s="3">
        <f>$D287*TCA!O287/100</f>
        <v>32</v>
      </c>
      <c r="P287" s="3">
        <f t="shared" si="4"/>
        <v>29.09090909090909</v>
      </c>
      <c r="Q287" s="3">
        <f>$D287*TCA!P287/100</f>
        <v>1.2</v>
      </c>
      <c r="R287" s="3">
        <f>$D287*TCA!Q287/100</f>
        <v>220</v>
      </c>
      <c r="S287" s="3">
        <f>$D287*TCA!R287/100</f>
        <v>5</v>
      </c>
      <c r="T287" s="3">
        <f>$D287*TCA!S287/100</f>
        <v>0.12</v>
      </c>
      <c r="U287" s="3">
        <f>$D287*TCA!T287/100</f>
        <v>18</v>
      </c>
      <c r="V287" s="3">
        <f>$D287*TCA!U287/100</f>
        <v>2</v>
      </c>
      <c r="W287" s="3">
        <f>$D287*TCA!V287/100</f>
        <v>6</v>
      </c>
      <c r="X287" s="3">
        <f>$D287*TCA!W287/100</f>
        <v>0</v>
      </c>
    </row>
    <row r="288" spans="1:24" x14ac:dyDescent="0.25">
      <c r="A288" s="3" t="s">
        <v>2026</v>
      </c>
      <c r="B288" s="3" t="s">
        <v>569</v>
      </c>
      <c r="C288" s="3" t="s">
        <v>570</v>
      </c>
      <c r="D288" s="3">
        <v>100</v>
      </c>
      <c r="E288" s="3">
        <f>$D288*TCA!E288/100</f>
        <v>74.27</v>
      </c>
      <c r="F288" s="3">
        <f>$D288*TCA!F288/100</f>
        <v>0.63</v>
      </c>
      <c r="G288" s="3">
        <f>$D288*TCA!G288/100</f>
        <v>0.35</v>
      </c>
      <c r="H288" s="3">
        <f>$D288*TCA!H288/100</f>
        <v>17.149999999999999</v>
      </c>
      <c r="I288" s="3">
        <f>$D288*TCA!I288/100</f>
        <v>0.9</v>
      </c>
      <c r="J288" s="3">
        <f>$D288*TCA!J288/100</f>
        <v>0.11</v>
      </c>
      <c r="K288" s="3">
        <f>$D288*TCA!K288/100</f>
        <v>5.01</v>
      </c>
      <c r="L288" s="3">
        <f>$D288*TCA!L288/100</f>
        <v>0.1</v>
      </c>
      <c r="M288" s="3">
        <f>$D288*TCA!M288/100</f>
        <v>0</v>
      </c>
      <c r="N288" s="3">
        <f>$D288*TCA!N288/100</f>
        <v>14</v>
      </c>
      <c r="O288" s="3">
        <f>$D288*TCA!O288/100</f>
        <v>10</v>
      </c>
      <c r="P288" s="3">
        <f t="shared" si="4"/>
        <v>15.873015873015873</v>
      </c>
      <c r="Q288" s="3">
        <f>$D288*TCA!P288/100</f>
        <v>0.28999999999999998</v>
      </c>
      <c r="R288" s="3">
        <f>$D288*TCA!Q288/100</f>
        <v>191</v>
      </c>
      <c r="S288" s="3">
        <f>$D288*TCA!R288/100</f>
        <v>2</v>
      </c>
      <c r="T288" s="3">
        <f>$D288*TCA!S288/100</f>
        <v>0.04</v>
      </c>
      <c r="U288" s="3">
        <f>$D288*TCA!T288/100</f>
        <v>4</v>
      </c>
      <c r="V288" s="3">
        <f>$D288*TCA!U288/100</f>
        <v>5</v>
      </c>
      <c r="W288" s="3">
        <f>$D288*TCA!V288/100</f>
        <v>4</v>
      </c>
      <c r="X288" s="3">
        <f>$D288*TCA!W288/100</f>
        <v>0</v>
      </c>
    </row>
    <row r="289" spans="1:24" x14ac:dyDescent="0.25">
      <c r="A289" s="3" t="s">
        <v>2026</v>
      </c>
      <c r="B289" s="3" t="s">
        <v>571</v>
      </c>
      <c r="C289" s="3" t="s">
        <v>572</v>
      </c>
      <c r="D289" s="3">
        <v>100</v>
      </c>
      <c r="E289" s="3">
        <f>$D289*TCA!E289/100</f>
        <v>73.3</v>
      </c>
      <c r="F289" s="3">
        <f>$D289*TCA!F289/100</f>
        <v>0.4</v>
      </c>
      <c r="G289" s="3">
        <f>$D289*TCA!G289/100</f>
        <v>0.1</v>
      </c>
      <c r="H289" s="3">
        <f>$D289*TCA!H289/100</f>
        <v>17.7</v>
      </c>
      <c r="I289" s="3">
        <f>$D289*TCA!I289/100</f>
        <v>0.9</v>
      </c>
      <c r="J289" s="3">
        <f>$D289*TCA!J289/100</f>
        <v>0</v>
      </c>
      <c r="K289" s="3">
        <f>$D289*TCA!K289/100</f>
        <v>0</v>
      </c>
      <c r="L289" s="3">
        <f>$D289*TCA!L289/100</f>
        <v>0</v>
      </c>
      <c r="M289" s="3">
        <f>$D289*TCA!M289/100</f>
        <v>0</v>
      </c>
      <c r="N289" s="3">
        <f>$D289*TCA!N289/100</f>
        <v>19</v>
      </c>
      <c r="O289" s="3">
        <f>$D289*TCA!O289/100</f>
        <v>28</v>
      </c>
      <c r="P289" s="3">
        <f t="shared" si="4"/>
        <v>70</v>
      </c>
      <c r="Q289" s="3">
        <f>$D289*TCA!P289/100</f>
        <v>0.5</v>
      </c>
      <c r="R289" s="3">
        <f>$D289*TCA!Q289/100</f>
        <v>0</v>
      </c>
      <c r="S289" s="3">
        <f>$D289*TCA!R289/100</f>
        <v>0</v>
      </c>
      <c r="T289" s="3">
        <f>$D289*TCA!S289/100</f>
        <v>7.0000000000000007E-2</v>
      </c>
      <c r="U289" s="3">
        <f>$D289*TCA!T289/100</f>
        <v>2.8</v>
      </c>
      <c r="V289" s="3">
        <f>$D289*TCA!U289/100</f>
        <v>3</v>
      </c>
      <c r="W289" s="3">
        <f>$D289*TCA!V289/100</f>
        <v>0</v>
      </c>
      <c r="X289" s="3">
        <f>$D289*TCA!W289/100</f>
        <v>0</v>
      </c>
    </row>
    <row r="290" spans="1:24" x14ac:dyDescent="0.25">
      <c r="A290" s="3" t="s">
        <v>2026</v>
      </c>
      <c r="B290" s="3" t="s">
        <v>573</v>
      </c>
      <c r="C290" s="3" t="s">
        <v>574</v>
      </c>
      <c r="D290" s="3">
        <v>100</v>
      </c>
      <c r="E290" s="3">
        <f>$D290*TCA!E290/100</f>
        <v>331.43</v>
      </c>
      <c r="F290" s="3">
        <f>$D290*TCA!F290/100</f>
        <v>2.86</v>
      </c>
      <c r="G290" s="3">
        <f>$D290*TCA!G290/100</f>
        <v>0</v>
      </c>
      <c r="H290" s="3">
        <f>$D290*TCA!H290/100</f>
        <v>80</v>
      </c>
      <c r="I290" s="3">
        <f>$D290*TCA!I290/100</f>
        <v>8.57</v>
      </c>
      <c r="J290" s="3">
        <f>$D290*TCA!J290/100</f>
        <v>0</v>
      </c>
      <c r="K290" s="3">
        <f>$D290*TCA!K290/100</f>
        <v>0</v>
      </c>
      <c r="L290" s="3">
        <f>$D290*TCA!L290/100</f>
        <v>0</v>
      </c>
      <c r="M290" s="3">
        <f>$D290*TCA!M290/100</f>
        <v>0</v>
      </c>
      <c r="N290" s="3">
        <f>$D290*TCA!N290/100</f>
        <v>0</v>
      </c>
      <c r="O290" s="3">
        <f>$D290*TCA!O290/100</f>
        <v>0</v>
      </c>
      <c r="P290" s="3">
        <f t="shared" si="4"/>
        <v>0</v>
      </c>
      <c r="Q290" s="3">
        <f>$D290*TCA!P290/100</f>
        <v>0</v>
      </c>
      <c r="R290" s="3">
        <f>$D290*TCA!Q290/100</f>
        <v>0</v>
      </c>
      <c r="S290" s="3">
        <f>$D290*TCA!R290/100</f>
        <v>0</v>
      </c>
      <c r="T290" s="3">
        <f>$D290*TCA!S290/100</f>
        <v>0</v>
      </c>
      <c r="U290" s="3">
        <f>$D290*TCA!T290/100</f>
        <v>0</v>
      </c>
      <c r="V290" s="3">
        <f>$D290*TCA!U290/100</f>
        <v>0</v>
      </c>
      <c r="W290" s="3">
        <f>$D290*TCA!V290/100</f>
        <v>0</v>
      </c>
      <c r="X290" s="3">
        <f>$D290*TCA!W290/100</f>
        <v>0</v>
      </c>
    </row>
    <row r="291" spans="1:24" x14ac:dyDescent="0.25">
      <c r="A291" s="3" t="s">
        <v>2026</v>
      </c>
      <c r="B291" s="3" t="s">
        <v>575</v>
      </c>
      <c r="C291" s="3" t="s">
        <v>576</v>
      </c>
      <c r="D291" s="3">
        <v>100</v>
      </c>
      <c r="E291" s="3">
        <f>$D291*TCA!E291/100</f>
        <v>271.43</v>
      </c>
      <c r="F291" s="3">
        <f>$D291*TCA!F291/100</f>
        <v>7.14</v>
      </c>
      <c r="G291" s="3">
        <f>$D291*TCA!G291/100</f>
        <v>0</v>
      </c>
      <c r="H291" s="3">
        <f>$D291*TCA!H291/100</f>
        <v>60.71</v>
      </c>
      <c r="I291" s="3">
        <f>$D291*TCA!I291/100</f>
        <v>21.43</v>
      </c>
      <c r="J291" s="3">
        <f>$D291*TCA!J291/100</f>
        <v>0</v>
      </c>
      <c r="K291" s="3">
        <f>$D291*TCA!K291/100</f>
        <v>0</v>
      </c>
      <c r="L291" s="3">
        <f>$D291*TCA!L291/100</f>
        <v>0</v>
      </c>
      <c r="M291" s="3">
        <f>$D291*TCA!M291/100</f>
        <v>0</v>
      </c>
      <c r="N291" s="3">
        <f>$D291*TCA!N291/100</f>
        <v>0</v>
      </c>
      <c r="O291" s="3">
        <f>$D291*TCA!O291/100</f>
        <v>0</v>
      </c>
      <c r="P291" s="3">
        <f t="shared" si="4"/>
        <v>0</v>
      </c>
      <c r="Q291" s="3">
        <f>$D291*TCA!P291/100</f>
        <v>0</v>
      </c>
      <c r="R291" s="3">
        <f>$D291*TCA!Q291/100</f>
        <v>1778.57</v>
      </c>
      <c r="S291" s="3">
        <f>$D291*TCA!R291/100</f>
        <v>0</v>
      </c>
      <c r="T291" s="3">
        <f>$D291*TCA!S291/100</f>
        <v>0</v>
      </c>
      <c r="U291" s="3">
        <f>$D291*TCA!T291/100</f>
        <v>0</v>
      </c>
      <c r="V291" s="3">
        <f>$D291*TCA!U291/100</f>
        <v>0</v>
      </c>
      <c r="W291" s="3">
        <f>$D291*TCA!V291/100</f>
        <v>0</v>
      </c>
      <c r="X291" s="3">
        <f>$D291*TCA!W291/100</f>
        <v>0</v>
      </c>
    </row>
    <row r="292" spans="1:24" x14ac:dyDescent="0.25">
      <c r="A292" s="3" t="s">
        <v>2026</v>
      </c>
      <c r="B292" s="3" t="s">
        <v>577</v>
      </c>
      <c r="C292" s="3" t="s">
        <v>578</v>
      </c>
      <c r="D292" s="3">
        <v>100</v>
      </c>
      <c r="E292" s="3">
        <f>$D292*TCA!E292/100</f>
        <v>271.39999999999998</v>
      </c>
      <c r="F292" s="3">
        <f>$D292*TCA!F292/100</f>
        <v>7.14</v>
      </c>
      <c r="G292" s="3">
        <f>$D292*TCA!G292/100</f>
        <v>0</v>
      </c>
      <c r="H292" s="3">
        <f>$D292*TCA!H292/100</f>
        <v>60.71</v>
      </c>
      <c r="I292" s="3">
        <f>$D292*TCA!I292/100</f>
        <v>21.43</v>
      </c>
      <c r="J292" s="3">
        <f>$D292*TCA!J292/100</f>
        <v>0</v>
      </c>
      <c r="K292" s="3">
        <f>$D292*TCA!K292/100</f>
        <v>0</v>
      </c>
      <c r="L292" s="3">
        <f>$D292*TCA!L292/100</f>
        <v>0</v>
      </c>
      <c r="M292" s="3">
        <f>$D292*TCA!M292/100</f>
        <v>0</v>
      </c>
      <c r="N292" s="3">
        <f>$D292*TCA!N292/100</f>
        <v>0</v>
      </c>
      <c r="O292" s="3">
        <f>$D292*TCA!O292/100</f>
        <v>0</v>
      </c>
      <c r="P292" s="3">
        <f t="shared" si="4"/>
        <v>0</v>
      </c>
      <c r="Q292" s="3">
        <f>$D292*TCA!P292/100</f>
        <v>0</v>
      </c>
      <c r="R292" s="3">
        <f>$D292*TCA!Q292/100</f>
        <v>1778.57</v>
      </c>
      <c r="S292" s="3">
        <f>$D292*TCA!R292/100</f>
        <v>0</v>
      </c>
      <c r="T292" s="3">
        <f>$D292*TCA!S292/100</f>
        <v>0</v>
      </c>
      <c r="U292" s="3">
        <f>$D292*TCA!T292/100</f>
        <v>0</v>
      </c>
      <c r="V292" s="3">
        <f>$D292*TCA!U292/100</f>
        <v>0</v>
      </c>
      <c r="W292" s="3">
        <f>$D292*TCA!V292/100</f>
        <v>0</v>
      </c>
      <c r="X292" s="3">
        <f>$D292*TCA!W292/100</f>
        <v>0</v>
      </c>
    </row>
    <row r="293" spans="1:24" x14ac:dyDescent="0.25">
      <c r="A293" s="3" t="s">
        <v>2026</v>
      </c>
      <c r="B293" s="3" t="s">
        <v>579</v>
      </c>
      <c r="C293" s="3" t="s">
        <v>580</v>
      </c>
      <c r="D293" s="3">
        <v>100</v>
      </c>
      <c r="E293" s="3">
        <f>$D293*TCA!E293/100</f>
        <v>308.39</v>
      </c>
      <c r="F293" s="3">
        <f>$D293*TCA!F293/100</f>
        <v>6.67</v>
      </c>
      <c r="G293" s="3">
        <f>$D293*TCA!G293/100</f>
        <v>1.67</v>
      </c>
      <c r="H293" s="3">
        <f>$D293*TCA!H293/100</f>
        <v>66.67</v>
      </c>
      <c r="I293" s="3">
        <f>$D293*TCA!I293/100</f>
        <v>16.7</v>
      </c>
      <c r="J293" s="3">
        <f>$D293*TCA!J293/100</f>
        <v>0</v>
      </c>
      <c r="K293" s="3">
        <f>$D293*TCA!K293/100</f>
        <v>0</v>
      </c>
      <c r="L293" s="3">
        <f>$D293*TCA!L293/100</f>
        <v>0</v>
      </c>
      <c r="M293" s="3">
        <f>$D293*TCA!M293/100</f>
        <v>0</v>
      </c>
      <c r="N293" s="3">
        <f>$D293*TCA!N293/100</f>
        <v>30</v>
      </c>
      <c r="O293" s="3">
        <f>$D293*TCA!O293/100</f>
        <v>0</v>
      </c>
      <c r="P293" s="3">
        <f t="shared" si="4"/>
        <v>0</v>
      </c>
      <c r="Q293" s="3">
        <f>$D293*TCA!P293/100</f>
        <v>3.33</v>
      </c>
      <c r="R293" s="3">
        <f>$D293*TCA!Q293/100</f>
        <v>1830</v>
      </c>
      <c r="S293" s="3">
        <f>$D293*TCA!R293/100</f>
        <v>0</v>
      </c>
      <c r="T293" s="3">
        <f>$D293*TCA!S293/100</f>
        <v>0</v>
      </c>
      <c r="U293" s="3">
        <f>$D293*TCA!T293/100</f>
        <v>0</v>
      </c>
      <c r="V293" s="3">
        <f>$D293*TCA!U293/100</f>
        <v>0</v>
      </c>
      <c r="W293" s="3">
        <f>$D293*TCA!V293/100</f>
        <v>0</v>
      </c>
      <c r="X293" s="3">
        <f>$D293*TCA!W293/100</f>
        <v>0</v>
      </c>
    </row>
    <row r="294" spans="1:24" x14ac:dyDescent="0.25">
      <c r="A294" s="3" t="s">
        <v>2026</v>
      </c>
      <c r="B294" s="3" t="s">
        <v>581</v>
      </c>
      <c r="C294" s="3" t="s">
        <v>582</v>
      </c>
      <c r="D294" s="3">
        <v>100</v>
      </c>
      <c r="E294" s="3">
        <f>$D294*TCA!E294/100</f>
        <v>138.34</v>
      </c>
      <c r="F294" s="3">
        <f>$D294*TCA!F294/100</f>
        <v>1.45</v>
      </c>
      <c r="G294" s="3">
        <f>$D294*TCA!G294/100</f>
        <v>0.46</v>
      </c>
      <c r="H294" s="3">
        <f>$D294*TCA!H294/100</f>
        <v>32.1</v>
      </c>
      <c r="I294" s="3">
        <f>$D294*TCA!I294/100</f>
        <v>5.4</v>
      </c>
      <c r="J294" s="3">
        <f>$D294*TCA!J294/100</f>
        <v>0.17</v>
      </c>
      <c r="K294" s="3">
        <f>$D294*TCA!K294/100</f>
        <v>0.1</v>
      </c>
      <c r="L294" s="3">
        <f>$D294*TCA!L294/100</f>
        <v>0.1</v>
      </c>
      <c r="M294" s="3">
        <f>$D294*TCA!M294/100</f>
        <v>0</v>
      </c>
      <c r="N294" s="3">
        <f>$D294*TCA!N294/100</f>
        <v>18</v>
      </c>
      <c r="O294" s="3">
        <f>$D294*TCA!O294/100</f>
        <v>26</v>
      </c>
      <c r="P294" s="3">
        <f t="shared" si="4"/>
        <v>17.931034482758623</v>
      </c>
      <c r="Q294" s="3">
        <f>$D294*TCA!P294/100</f>
        <v>0.78</v>
      </c>
      <c r="R294" s="3">
        <f>$D294*TCA!Q294/100</f>
        <v>454</v>
      </c>
      <c r="S294" s="3">
        <f>$D294*TCA!R294/100</f>
        <v>7</v>
      </c>
      <c r="T294" s="3">
        <f>$D294*TCA!S294/100</f>
        <v>0.19</v>
      </c>
      <c r="U294" s="3">
        <f>$D294*TCA!T294/100</f>
        <v>23</v>
      </c>
      <c r="V294" s="3">
        <f>$D294*TCA!U294/100</f>
        <v>7</v>
      </c>
      <c r="W294" s="3">
        <f>$D294*TCA!V294/100</f>
        <v>7</v>
      </c>
      <c r="X294" s="3">
        <f>$D294*TCA!W294/100</f>
        <v>0</v>
      </c>
    </row>
    <row r="295" spans="1:24" x14ac:dyDescent="0.25">
      <c r="A295" s="6"/>
      <c r="B295" s="6"/>
      <c r="C295" s="6"/>
      <c r="D295" s="3">
        <v>100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x14ac:dyDescent="0.25">
      <c r="A296" s="3" t="s">
        <v>2027</v>
      </c>
      <c r="B296" s="3" t="s">
        <v>583</v>
      </c>
      <c r="C296" s="3" t="s">
        <v>584</v>
      </c>
      <c r="D296" s="3">
        <v>100</v>
      </c>
      <c r="E296" s="3">
        <f>$D296*TCA!E296/100</f>
        <v>24.76</v>
      </c>
      <c r="F296" s="3">
        <f>$D296*TCA!F296/100</f>
        <v>1.88</v>
      </c>
      <c r="G296" s="3">
        <f>$D296*TCA!G296/100</f>
        <v>0.08</v>
      </c>
      <c r="H296" s="3">
        <f>$D296*TCA!H296/100</f>
        <v>4.13</v>
      </c>
      <c r="I296" s="3">
        <f>$D296*TCA!I296/100</f>
        <v>2.1</v>
      </c>
      <c r="J296" s="3">
        <f>$D296*TCA!J296/100</f>
        <v>0.01</v>
      </c>
      <c r="K296" s="3">
        <f>$D296*TCA!K296/100</f>
        <v>0.02</v>
      </c>
      <c r="L296" s="3">
        <f>$D296*TCA!L296/100</f>
        <v>0.03</v>
      </c>
      <c r="M296" s="3">
        <f>$D296*TCA!M296/100</f>
        <v>0</v>
      </c>
      <c r="N296" s="3">
        <f>$D296*TCA!N296/100</f>
        <v>58</v>
      </c>
      <c r="O296" s="3">
        <f>$D296*TCA!O296/100</f>
        <v>33</v>
      </c>
      <c r="P296" s="3">
        <f t="shared" si="4"/>
        <v>17.553191489361701</v>
      </c>
      <c r="Q296" s="3">
        <f>$D296*TCA!P296/100</f>
        <v>2.2599999999999998</v>
      </c>
      <c r="R296" s="3">
        <f>$D296*TCA!Q296/100</f>
        <v>549</v>
      </c>
      <c r="S296" s="3">
        <f>$D296*TCA!R296/100</f>
        <v>179</v>
      </c>
      <c r="T296" s="3">
        <f>$D296*TCA!S296/100</f>
        <v>0.33</v>
      </c>
      <c r="U296" s="3">
        <f>$D296*TCA!T296/100</f>
        <v>18</v>
      </c>
      <c r="V296" s="3">
        <f>$D296*TCA!U296/100</f>
        <v>306</v>
      </c>
      <c r="W296" s="3">
        <f>$D296*TCA!V296/100</f>
        <v>9</v>
      </c>
      <c r="X296" s="3">
        <f>$D296*TCA!W296/100</f>
        <v>0</v>
      </c>
    </row>
    <row r="297" spans="1:24" x14ac:dyDescent="0.25">
      <c r="A297" s="3" t="s">
        <v>2027</v>
      </c>
      <c r="B297" s="3" t="s">
        <v>585</v>
      </c>
      <c r="C297" s="3" t="s">
        <v>586</v>
      </c>
      <c r="D297" s="3">
        <v>100</v>
      </c>
      <c r="E297" s="3">
        <f>$D297*TCA!E297/100</f>
        <v>33.5</v>
      </c>
      <c r="F297" s="3">
        <f>$D297*TCA!F297/100</f>
        <v>2.9</v>
      </c>
      <c r="G297" s="3">
        <f>$D297*TCA!G297/100</f>
        <v>0.3</v>
      </c>
      <c r="H297" s="3">
        <f>$D297*TCA!H297/100</f>
        <v>4.8</v>
      </c>
      <c r="I297" s="3">
        <f>$D297*TCA!I297/100</f>
        <v>0</v>
      </c>
      <c r="J297" s="3">
        <f>$D297*TCA!J297/100</f>
        <v>0</v>
      </c>
      <c r="K297" s="3">
        <f>$D297*TCA!K297/100</f>
        <v>0</v>
      </c>
      <c r="L297" s="3">
        <f>$D297*TCA!L297/100</f>
        <v>0</v>
      </c>
      <c r="M297" s="3">
        <f>$D297*TCA!M297/100</f>
        <v>0</v>
      </c>
      <c r="N297" s="3">
        <f>$D297*TCA!N297/100</f>
        <v>62</v>
      </c>
      <c r="O297" s="3">
        <f>$D297*TCA!O297/100</f>
        <v>0</v>
      </c>
      <c r="P297" s="3">
        <f t="shared" si="4"/>
        <v>0</v>
      </c>
      <c r="Q297" s="3">
        <f>$D297*TCA!P297/100</f>
        <v>3.9</v>
      </c>
      <c r="R297" s="3">
        <f>$D297*TCA!Q297/100</f>
        <v>550</v>
      </c>
      <c r="S297" s="3">
        <f>$D297*TCA!R297/100</f>
        <v>147</v>
      </c>
      <c r="T297" s="3">
        <f>$D297*TCA!S297/100</f>
        <v>0.02</v>
      </c>
      <c r="U297" s="3">
        <f>$D297*TCA!T297/100</f>
        <v>6</v>
      </c>
      <c r="V297" s="3">
        <f>$D297*TCA!U297/100</f>
        <v>330</v>
      </c>
      <c r="W297" s="3">
        <f>$D297*TCA!V297/100</f>
        <v>0</v>
      </c>
      <c r="X297" s="3">
        <f>$D297*TCA!W297/100</f>
        <v>0</v>
      </c>
    </row>
    <row r="298" spans="1:24" x14ac:dyDescent="0.25">
      <c r="A298" s="3" t="s">
        <v>2027</v>
      </c>
      <c r="B298" s="3" t="s">
        <v>587</v>
      </c>
      <c r="C298" s="3" t="s">
        <v>588</v>
      </c>
      <c r="D298" s="3">
        <v>100</v>
      </c>
      <c r="E298" s="3">
        <f>$D298*TCA!E298/100</f>
        <v>22.26</v>
      </c>
      <c r="F298" s="3">
        <f>$D298*TCA!F298/100</f>
        <v>0.84</v>
      </c>
      <c r="G298" s="3">
        <f>$D298*TCA!G298/100</f>
        <v>0.18</v>
      </c>
      <c r="H298" s="3">
        <f>$D298*TCA!H298/100</f>
        <v>4.32</v>
      </c>
      <c r="I298" s="3">
        <f>$D298*TCA!I298/100</f>
        <v>2</v>
      </c>
      <c r="J298" s="3">
        <f>$D298*TCA!J298/100</f>
        <v>0.01</v>
      </c>
      <c r="K298" s="3">
        <f>$D298*TCA!K298/100</f>
        <v>0.03</v>
      </c>
      <c r="L298" s="3">
        <f>$D298*TCA!L298/100</f>
        <v>0.08</v>
      </c>
      <c r="M298" s="3">
        <f>$D298*TCA!M298/100</f>
        <v>0</v>
      </c>
      <c r="N298" s="3">
        <f>$D298*TCA!N298/100</f>
        <v>9</v>
      </c>
      <c r="O298" s="3">
        <f>$D298*TCA!O298/100</f>
        <v>36</v>
      </c>
      <c r="P298" s="3">
        <f t="shared" si="4"/>
        <v>42.857142857142861</v>
      </c>
      <c r="Q298" s="3">
        <f>$D298*TCA!P298/100</f>
        <v>38</v>
      </c>
      <c r="R298" s="3">
        <f>$D298*TCA!Q298/100</f>
        <v>319</v>
      </c>
      <c r="S298" s="3">
        <f>$D298*TCA!R298/100</f>
        <v>6</v>
      </c>
      <c r="T298" s="3">
        <f>$D298*TCA!S298/100</f>
        <v>0.77</v>
      </c>
      <c r="U298" s="3">
        <f>$D298*TCA!T298/100</f>
        <v>33</v>
      </c>
      <c r="V298" s="3">
        <f>$D298*TCA!U298/100</f>
        <v>6</v>
      </c>
      <c r="W298" s="3">
        <f>$D298*TCA!V298/100</f>
        <v>51</v>
      </c>
      <c r="X298" s="3">
        <f>$D298*TCA!W298/100</f>
        <v>0</v>
      </c>
    </row>
    <row r="299" spans="1:24" x14ac:dyDescent="0.25">
      <c r="A299" s="3" t="s">
        <v>2027</v>
      </c>
      <c r="B299" s="3" t="s">
        <v>589</v>
      </c>
      <c r="C299" s="3" t="s">
        <v>590</v>
      </c>
      <c r="D299" s="3">
        <v>100</v>
      </c>
      <c r="E299" s="3">
        <f>$D299*TCA!E299/100</f>
        <v>17.2</v>
      </c>
      <c r="F299" s="3">
        <f>$D299*TCA!F299/100</f>
        <v>0</v>
      </c>
      <c r="G299" s="3">
        <f>$D299*TCA!G299/100</f>
        <v>0</v>
      </c>
      <c r="H299" s="3">
        <f>$D299*TCA!H299/100</f>
        <v>4.3</v>
      </c>
      <c r="I299" s="3">
        <f>$D299*TCA!I299/100</f>
        <v>0</v>
      </c>
      <c r="J299" s="3">
        <f>$D299*TCA!J299/100</f>
        <v>0</v>
      </c>
      <c r="K299" s="3">
        <f>$D299*TCA!K299/100</f>
        <v>0</v>
      </c>
      <c r="L299" s="3">
        <f>$D299*TCA!L299/100</f>
        <v>0</v>
      </c>
      <c r="M299" s="3">
        <f>$D299*TCA!M299/100</f>
        <v>0</v>
      </c>
      <c r="N299" s="3">
        <f>$D299*TCA!N299/100</f>
        <v>17</v>
      </c>
      <c r="O299" s="3">
        <f>$D299*TCA!O299/100</f>
        <v>17</v>
      </c>
      <c r="P299" s="3" t="e">
        <f t="shared" si="4"/>
        <v>#DIV/0!</v>
      </c>
      <c r="Q299" s="3">
        <f>$D299*TCA!P299/100</f>
        <v>0.18</v>
      </c>
      <c r="R299" s="3">
        <f>$D299*TCA!Q299/100</f>
        <v>170</v>
      </c>
      <c r="S299" s="3">
        <f>$D299*TCA!R299/100</f>
        <v>3</v>
      </c>
      <c r="T299" s="3">
        <f>$D299*TCA!S299/100</f>
        <v>0.08</v>
      </c>
      <c r="U299" s="3">
        <f>$D299*TCA!T299/100</f>
        <v>0</v>
      </c>
      <c r="V299" s="3">
        <f>$D299*TCA!U299/100</f>
        <v>0</v>
      </c>
      <c r="W299" s="3">
        <f>$D299*TCA!V299/100</f>
        <v>0</v>
      </c>
      <c r="X299" s="3">
        <f>$D299*TCA!W299/100</f>
        <v>0</v>
      </c>
    </row>
    <row r="300" spans="1:24" x14ac:dyDescent="0.25">
      <c r="A300" s="3" t="s">
        <v>2027</v>
      </c>
      <c r="B300" s="3" t="s">
        <v>591</v>
      </c>
      <c r="C300" s="3" t="s">
        <v>592</v>
      </c>
      <c r="D300" s="3">
        <v>100</v>
      </c>
      <c r="E300" s="3">
        <f>$D300*TCA!E300/100</f>
        <v>45.1</v>
      </c>
      <c r="F300" s="3">
        <f>$D300*TCA!F300/100</f>
        <v>0.9</v>
      </c>
      <c r="G300" s="3">
        <f>$D300*TCA!G300/100</f>
        <v>0.7</v>
      </c>
      <c r="H300" s="3">
        <f>$D300*TCA!H300/100</f>
        <v>8.8000000000000007</v>
      </c>
      <c r="I300" s="3">
        <f>$D300*TCA!I300/100</f>
        <v>0</v>
      </c>
      <c r="J300" s="3">
        <f>$D300*TCA!J300/100</f>
        <v>0</v>
      </c>
      <c r="K300" s="3">
        <f>$D300*TCA!K300/100</f>
        <v>0</v>
      </c>
      <c r="L300" s="3">
        <f>$D300*TCA!L300/100</f>
        <v>0</v>
      </c>
      <c r="M300" s="3">
        <f>$D300*TCA!M300/100</f>
        <v>0</v>
      </c>
      <c r="N300" s="3">
        <f>$D300*TCA!N300/100</f>
        <v>31</v>
      </c>
      <c r="O300" s="3">
        <f>$D300*TCA!O300/100</f>
        <v>21</v>
      </c>
      <c r="P300" s="3">
        <f t="shared" si="4"/>
        <v>23.333333333333332</v>
      </c>
      <c r="Q300" s="3">
        <f>$D300*TCA!P300/100</f>
        <v>0.9</v>
      </c>
      <c r="R300" s="3">
        <f>$D300*TCA!Q300/100</f>
        <v>0</v>
      </c>
      <c r="S300" s="3">
        <f>$D300*TCA!R300/100</f>
        <v>0</v>
      </c>
      <c r="T300" s="3">
        <f>$D300*TCA!S300/100</f>
        <v>0</v>
      </c>
      <c r="U300" s="3">
        <f>$D300*TCA!T300/100</f>
        <v>60</v>
      </c>
      <c r="V300" s="3">
        <f>$D300*TCA!U300/100</f>
        <v>445</v>
      </c>
      <c r="W300" s="3">
        <f>$D300*TCA!V300/100</f>
        <v>0</v>
      </c>
      <c r="X300" s="3">
        <f>$D300*TCA!W300/100</f>
        <v>0</v>
      </c>
    </row>
    <row r="301" spans="1:24" x14ac:dyDescent="0.25">
      <c r="A301" s="3" t="s">
        <v>2027</v>
      </c>
      <c r="B301" s="3" t="s">
        <v>593</v>
      </c>
      <c r="C301" s="3" t="s">
        <v>594</v>
      </c>
      <c r="D301" s="3">
        <v>100</v>
      </c>
      <c r="E301" s="3">
        <f>$D301*TCA!E301/100</f>
        <v>46.68</v>
      </c>
      <c r="F301" s="3">
        <f>$D301*TCA!F301/100</f>
        <v>1.87</v>
      </c>
      <c r="G301" s="3">
        <f>$D301*TCA!G301/100</f>
        <v>0.44</v>
      </c>
      <c r="H301" s="3">
        <f>$D301*TCA!H301/100</f>
        <v>8.81</v>
      </c>
      <c r="I301" s="3">
        <f>$D301*TCA!I301/100</f>
        <v>1.5</v>
      </c>
      <c r="J301" s="3">
        <f>$D301*TCA!J301/100</f>
        <v>0.04</v>
      </c>
      <c r="K301" s="3">
        <f>$D301*TCA!K301/100</f>
        <v>0.02</v>
      </c>
      <c r="L301" s="3">
        <f>$D301*TCA!L301/100</f>
        <v>0.24</v>
      </c>
      <c r="M301" s="3">
        <f>$D301*TCA!M301/100</f>
        <v>0</v>
      </c>
      <c r="N301" s="3">
        <f>$D301*TCA!N301/100</f>
        <v>14</v>
      </c>
      <c r="O301" s="3">
        <f>$D301*TCA!O301/100</f>
        <v>43</v>
      </c>
      <c r="P301" s="3">
        <f t="shared" si="4"/>
        <v>22.99465240641711</v>
      </c>
      <c r="Q301" s="3">
        <f>$D301*TCA!P301/100</f>
        <v>1.03</v>
      </c>
      <c r="R301" s="3">
        <f>$D301*TCA!Q301/100</f>
        <v>322</v>
      </c>
      <c r="S301" s="3">
        <f>$D301*TCA!R301/100</f>
        <v>9</v>
      </c>
      <c r="T301" s="3">
        <f>$D301*TCA!S301/100</f>
        <v>0.26</v>
      </c>
      <c r="U301" s="3">
        <f>$D301*TCA!T301/100</f>
        <v>143.69999999999999</v>
      </c>
      <c r="V301" s="3">
        <f>$D301*TCA!U301/100</f>
        <v>48</v>
      </c>
      <c r="W301" s="3">
        <f>$D301*TCA!V301/100</f>
        <v>23</v>
      </c>
      <c r="X301" s="3">
        <f>$D301*TCA!W301/100</f>
        <v>0</v>
      </c>
    </row>
    <row r="302" spans="1:24" x14ac:dyDescent="0.25">
      <c r="A302" s="3" t="s">
        <v>2027</v>
      </c>
      <c r="B302" s="3" t="s">
        <v>595</v>
      </c>
      <c r="C302" s="3" t="s">
        <v>596</v>
      </c>
      <c r="D302" s="3">
        <v>100</v>
      </c>
      <c r="E302" s="3">
        <f>$D302*TCA!E302/100</f>
        <v>162.18</v>
      </c>
      <c r="F302" s="3">
        <f>$D302*TCA!F302/100</f>
        <v>6.36</v>
      </c>
      <c r="G302" s="3">
        <f>$D302*TCA!G302/100</f>
        <v>0.5</v>
      </c>
      <c r="H302" s="3">
        <f>$D302*TCA!H302/100</f>
        <v>33.06</v>
      </c>
      <c r="I302" s="3">
        <f>$D302*TCA!I302/100</f>
        <v>2.1</v>
      </c>
      <c r="J302" s="3">
        <f>$D302*TCA!J302/100</f>
        <v>0.09</v>
      </c>
      <c r="K302" s="3">
        <f>$D302*TCA!K302/100</f>
        <v>0.01</v>
      </c>
      <c r="L302" s="3">
        <f>$D302*TCA!L302/100</f>
        <v>0.25</v>
      </c>
      <c r="M302" s="3">
        <f>$D302*TCA!M302/100</f>
        <v>0</v>
      </c>
      <c r="N302" s="3">
        <f>$D302*TCA!N302/100</f>
        <v>181</v>
      </c>
      <c r="O302" s="3">
        <f>$D302*TCA!O302/100</f>
        <v>153</v>
      </c>
      <c r="P302" s="3">
        <f t="shared" si="4"/>
        <v>24.056603773584904</v>
      </c>
      <c r="Q302" s="3">
        <f>$D302*TCA!P302/100</f>
        <v>1.7</v>
      </c>
      <c r="R302" s="3">
        <f>$D302*TCA!Q302/100</f>
        <v>401</v>
      </c>
      <c r="S302" s="3">
        <f>$D302*TCA!R302/100</f>
        <v>17</v>
      </c>
      <c r="T302" s="3">
        <f>$D302*TCA!S302/100</f>
        <v>1.1599999999999999</v>
      </c>
      <c r="U302" s="3">
        <f>$D302*TCA!T302/100</f>
        <v>31.2</v>
      </c>
      <c r="V302" s="3">
        <f>$D302*TCA!U302/100</f>
        <v>0</v>
      </c>
      <c r="W302" s="3">
        <f>$D302*TCA!V302/100</f>
        <v>3</v>
      </c>
      <c r="X302" s="3">
        <f>$D302*TCA!W302/100</f>
        <v>0</v>
      </c>
    </row>
    <row r="303" spans="1:24" x14ac:dyDescent="0.25">
      <c r="A303" s="3" t="s">
        <v>2027</v>
      </c>
      <c r="B303" s="3" t="s">
        <v>597</v>
      </c>
      <c r="C303" s="3" t="s">
        <v>598</v>
      </c>
      <c r="D303" s="3">
        <v>100</v>
      </c>
      <c r="E303" s="3">
        <f>$D303*TCA!E303/100</f>
        <v>28.96</v>
      </c>
      <c r="F303" s="3">
        <f>$D303*TCA!F303/100</f>
        <v>3.15</v>
      </c>
      <c r="G303" s="3">
        <f>$D303*TCA!G303/100</f>
        <v>0.64</v>
      </c>
      <c r="H303" s="3">
        <f>$D303*TCA!H303/100</f>
        <v>2.65</v>
      </c>
      <c r="I303" s="3">
        <f>$D303*TCA!I303/100</f>
        <v>1.6</v>
      </c>
      <c r="J303" s="3">
        <f>$D303*TCA!J303/100</f>
        <v>0.04</v>
      </c>
      <c r="K303" s="3">
        <f>$D303*TCA!K303/100</f>
        <v>0.09</v>
      </c>
      <c r="L303" s="3">
        <f>$D303*TCA!L303/100</f>
        <v>0.39</v>
      </c>
      <c r="M303" s="3">
        <f>$D303*TCA!M303/100</f>
        <v>0</v>
      </c>
      <c r="N303" s="3">
        <f>$D303*TCA!N303/100</f>
        <v>177</v>
      </c>
      <c r="O303" s="3">
        <f>$D303*TCA!O303/100</f>
        <v>56</v>
      </c>
      <c r="P303" s="3">
        <f t="shared" si="4"/>
        <v>17.777777777777779</v>
      </c>
      <c r="Q303" s="3">
        <f>$D303*TCA!P303/100</f>
        <v>3.17</v>
      </c>
      <c r="R303" s="3">
        <f>$D303*TCA!Q303/100</f>
        <v>295</v>
      </c>
      <c r="S303" s="3">
        <f>$D303*TCA!R303/100</f>
        <v>4</v>
      </c>
      <c r="T303" s="3">
        <f>$D303*TCA!S303/100</f>
        <v>0.81</v>
      </c>
      <c r="U303" s="3">
        <f>$D303*TCA!T303/100</f>
        <v>18</v>
      </c>
      <c r="V303" s="3">
        <f>$D303*TCA!U303/100</f>
        <v>264</v>
      </c>
      <c r="W303" s="3">
        <f>$D303*TCA!V303/100</f>
        <v>68</v>
      </c>
      <c r="X303" s="3">
        <f>$D303*TCA!W303/100</f>
        <v>0</v>
      </c>
    </row>
    <row r="304" spans="1:24" x14ac:dyDescent="0.25">
      <c r="A304" s="3" t="s">
        <v>2027</v>
      </c>
      <c r="B304" s="3" t="s">
        <v>599</v>
      </c>
      <c r="C304" s="3" t="s">
        <v>600</v>
      </c>
      <c r="D304" s="3">
        <v>100</v>
      </c>
      <c r="E304" s="3">
        <f>$D304*TCA!E304/100</f>
        <v>62.42</v>
      </c>
      <c r="F304" s="3">
        <f>$D304*TCA!F304/100</f>
        <v>2.89</v>
      </c>
      <c r="G304" s="3">
        <f>$D304*TCA!G304/100</f>
        <v>0.34</v>
      </c>
      <c r="H304" s="3">
        <f>$D304*TCA!H304/100</f>
        <v>11.95</v>
      </c>
      <c r="I304" s="3">
        <f>$D304*TCA!I304/100</f>
        <v>5.7</v>
      </c>
      <c r="J304" s="3">
        <f>$D304*TCA!J304/100</f>
        <v>0.08</v>
      </c>
      <c r="K304" s="3">
        <f>$D304*TCA!K304/100</f>
        <v>0.01</v>
      </c>
      <c r="L304" s="3">
        <f>$D304*TCA!L304/100</f>
        <v>0.15</v>
      </c>
      <c r="M304" s="3">
        <f>$D304*TCA!M304/100</f>
        <v>0</v>
      </c>
      <c r="N304" s="3">
        <f>$D304*TCA!N304/100</f>
        <v>21</v>
      </c>
      <c r="O304" s="3">
        <f>$D304*TCA!O304/100</f>
        <v>73</v>
      </c>
      <c r="P304" s="3">
        <f t="shared" si="4"/>
        <v>25.259515570934255</v>
      </c>
      <c r="Q304" s="3">
        <f>$D304*TCA!P304/100</f>
        <v>0.61</v>
      </c>
      <c r="R304" s="3">
        <f>$D304*TCA!Q304/100</f>
        <v>286</v>
      </c>
      <c r="S304" s="3">
        <f>$D304*TCA!R304/100</f>
        <v>60</v>
      </c>
      <c r="T304" s="3">
        <f>$D304*TCA!S304/100</f>
        <v>0.4</v>
      </c>
      <c r="U304" s="3">
        <f>$D304*TCA!T304/100</f>
        <v>7.4</v>
      </c>
      <c r="V304" s="3">
        <f>$D304*TCA!U304/100</f>
        <v>1</v>
      </c>
      <c r="W304" s="3">
        <f>$D304*TCA!V304/100</f>
        <v>89</v>
      </c>
      <c r="X304" s="3">
        <f>$D304*TCA!W304/100</f>
        <v>0</v>
      </c>
    </row>
    <row r="305" spans="1:24" x14ac:dyDescent="0.25">
      <c r="A305" s="3" t="s">
        <v>2027</v>
      </c>
      <c r="B305" s="3" t="s">
        <v>601</v>
      </c>
      <c r="C305" s="3" t="s">
        <v>602</v>
      </c>
      <c r="D305" s="3">
        <v>100</v>
      </c>
      <c r="E305" s="3">
        <f>$D305*TCA!E305/100</f>
        <v>56.47</v>
      </c>
      <c r="F305" s="3">
        <f>$D305*TCA!F305/100</f>
        <v>3.27</v>
      </c>
      <c r="G305" s="3">
        <f>$D305*TCA!G305/100</f>
        <v>0.15</v>
      </c>
      <c r="H305" s="3">
        <f>$D305*TCA!H305/100</f>
        <v>10.51</v>
      </c>
      <c r="I305" s="3">
        <f>$D305*TCA!I305/100</f>
        <v>5.4</v>
      </c>
      <c r="J305" s="3">
        <f>$D305*TCA!J305/100</f>
        <v>0.04</v>
      </c>
      <c r="K305" s="3">
        <f>$D305*TCA!K305/100</f>
        <v>0</v>
      </c>
      <c r="L305" s="3">
        <f>$D305*TCA!L305/100</f>
        <v>0.06</v>
      </c>
      <c r="M305" s="3">
        <f>$D305*TCA!M305/100</f>
        <v>0</v>
      </c>
      <c r="N305" s="3">
        <f>$D305*TCA!N305/100</f>
        <v>44</v>
      </c>
      <c r="O305" s="3">
        <f>$D305*TCA!O305/100</f>
        <v>90</v>
      </c>
      <c r="P305" s="3">
        <f t="shared" si="4"/>
        <v>27.522935779816514</v>
      </c>
      <c r="Q305" s="3">
        <f>$D305*TCA!P305/100</f>
        <v>1.28</v>
      </c>
      <c r="R305" s="3">
        <f>$D305*TCA!Q305/100</f>
        <v>370</v>
      </c>
      <c r="S305" s="3">
        <f>$D305*TCA!R305/100</f>
        <v>94</v>
      </c>
      <c r="T305" s="3">
        <f>$D305*TCA!S305/100</f>
        <v>0.49</v>
      </c>
      <c r="U305" s="3">
        <f>$D305*TCA!T305/100</f>
        <v>12</v>
      </c>
      <c r="V305" s="3">
        <f>$D305*TCA!U305/100</f>
        <v>9</v>
      </c>
      <c r="W305" s="3">
        <f>$D305*TCA!V305/100</f>
        <v>68</v>
      </c>
      <c r="X305" s="3">
        <f>$D305*TCA!W305/100</f>
        <v>0</v>
      </c>
    </row>
    <row r="306" spans="1:24" x14ac:dyDescent="0.25">
      <c r="A306" s="3" t="s">
        <v>2027</v>
      </c>
      <c r="B306" s="3" t="s">
        <v>603</v>
      </c>
      <c r="C306" s="3" t="s">
        <v>604</v>
      </c>
      <c r="D306" s="3">
        <v>100</v>
      </c>
      <c r="E306" s="3">
        <f>$D306*TCA!E306/100</f>
        <v>37.29</v>
      </c>
      <c r="F306" s="3">
        <f>$D306*TCA!F306/100</f>
        <v>3.99</v>
      </c>
      <c r="G306" s="3">
        <f>$D306*TCA!G306/100</f>
        <v>0.69</v>
      </c>
      <c r="H306" s="3">
        <f>$D306*TCA!H306/100</f>
        <v>3.78</v>
      </c>
      <c r="I306" s="3">
        <f>$D306*TCA!I306/100</f>
        <v>2.5</v>
      </c>
      <c r="J306" s="3">
        <f>$D306*TCA!J306/100</f>
        <v>7.0000000000000007E-2</v>
      </c>
      <c r="K306" s="3">
        <f>$D306*TCA!K306/100</f>
        <v>0.06</v>
      </c>
      <c r="L306" s="3">
        <f>$D306*TCA!L306/100</f>
        <v>0.41</v>
      </c>
      <c r="M306" s="3">
        <f>$D306*TCA!M306/100</f>
        <v>0</v>
      </c>
      <c r="N306" s="3">
        <f>$D306*TCA!N306/100</f>
        <v>32</v>
      </c>
      <c r="O306" s="3">
        <f>$D306*TCA!O306/100</f>
        <v>70</v>
      </c>
      <c r="P306" s="3">
        <f t="shared" si="4"/>
        <v>17.543859649122805</v>
      </c>
      <c r="Q306" s="3">
        <f>$D306*TCA!P306/100</f>
        <v>0.96</v>
      </c>
      <c r="R306" s="3">
        <f>$D306*TCA!Q306/100</f>
        <v>79</v>
      </c>
      <c r="S306" s="3">
        <f>$D306*TCA!R306/100</f>
        <v>6</v>
      </c>
      <c r="T306" s="3">
        <f>$D306*TCA!S306/100</f>
        <v>0.92</v>
      </c>
      <c r="U306" s="3">
        <f>$D306*TCA!T306/100</f>
        <v>8</v>
      </c>
      <c r="V306" s="3">
        <f>$D306*TCA!U306/100</f>
        <v>8</v>
      </c>
      <c r="W306" s="3">
        <f>$D306*TCA!V306/100</f>
        <v>36</v>
      </c>
      <c r="X306" s="3">
        <f>$D306*TCA!W306/100</f>
        <v>0</v>
      </c>
    </row>
    <row r="307" spans="1:24" x14ac:dyDescent="0.25">
      <c r="A307" s="3" t="s">
        <v>2027</v>
      </c>
      <c r="B307" s="3" t="s">
        <v>605</v>
      </c>
      <c r="C307" s="3" t="s">
        <v>606</v>
      </c>
      <c r="D307" s="3">
        <v>100</v>
      </c>
      <c r="E307" s="3">
        <f>$D307*TCA!E307/100</f>
        <v>16.170000000000002</v>
      </c>
      <c r="F307" s="3">
        <f>$D307*TCA!F307/100</f>
        <v>0.69</v>
      </c>
      <c r="G307" s="3">
        <f>$D307*TCA!G307/100</f>
        <v>0.17</v>
      </c>
      <c r="H307" s="3">
        <f>$D307*TCA!H307/100</f>
        <v>2.97</v>
      </c>
      <c r="I307" s="3">
        <f>$D307*TCA!I307/100</f>
        <v>1.6</v>
      </c>
      <c r="J307" s="3">
        <f>$D307*TCA!J307/100</f>
        <v>0.04</v>
      </c>
      <c r="K307" s="3">
        <f>$D307*TCA!K307/100</f>
        <v>0.03</v>
      </c>
      <c r="L307" s="3">
        <f>$D307*TCA!L307/100</f>
        <v>0.08</v>
      </c>
      <c r="M307" s="3">
        <f>$D307*TCA!M307/100</f>
        <v>0</v>
      </c>
      <c r="N307" s="3">
        <f>$D307*TCA!N307/100</f>
        <v>40</v>
      </c>
      <c r="O307" s="3">
        <f>$D307*TCA!O307/100</f>
        <v>24</v>
      </c>
      <c r="P307" s="3">
        <f t="shared" si="4"/>
        <v>34.782608695652179</v>
      </c>
      <c r="Q307" s="3">
        <f>$D307*TCA!P307/100</f>
        <v>0.2</v>
      </c>
      <c r="R307" s="3">
        <f>$D307*TCA!Q307/100</f>
        <v>260</v>
      </c>
      <c r="S307" s="3">
        <f>$D307*TCA!R307/100</f>
        <v>80</v>
      </c>
      <c r="T307" s="3">
        <f>$D307*TCA!S307/100</f>
        <v>0.13</v>
      </c>
      <c r="U307" s="3">
        <f>$D307*TCA!T307/100</f>
        <v>3</v>
      </c>
      <c r="V307" s="3">
        <f>$D307*TCA!U307/100</f>
        <v>22</v>
      </c>
      <c r="W307" s="3">
        <f>$D307*TCA!V307/100</f>
        <v>36</v>
      </c>
      <c r="X307" s="3">
        <f>$D307*TCA!W307/100</f>
        <v>0</v>
      </c>
    </row>
    <row r="308" spans="1:24" x14ac:dyDescent="0.25">
      <c r="A308" s="3" t="s">
        <v>2027</v>
      </c>
      <c r="B308" s="3" t="s">
        <v>607</v>
      </c>
      <c r="C308" s="3" t="s">
        <v>608</v>
      </c>
      <c r="D308" s="3">
        <v>100</v>
      </c>
      <c r="E308" s="3">
        <f>$D308*TCA!E308/100</f>
        <v>80.069999999999993</v>
      </c>
      <c r="F308" s="3">
        <f>$D308*TCA!F308/100</f>
        <v>5.15</v>
      </c>
      <c r="G308" s="3">
        <f>$D308*TCA!G308/100</f>
        <v>0.27</v>
      </c>
      <c r="H308" s="3">
        <f>$D308*TCA!H308/100</f>
        <v>14.26</v>
      </c>
      <c r="I308" s="3">
        <f>$D308*TCA!I308/100</f>
        <v>4.5</v>
      </c>
      <c r="J308" s="3">
        <f>$D308*TCA!J308/100</f>
        <v>0.05</v>
      </c>
      <c r="K308" s="3">
        <f>$D308*TCA!K308/100</f>
        <v>0.02</v>
      </c>
      <c r="L308" s="3">
        <f>$D308*TCA!L308/100</f>
        <v>0.13</v>
      </c>
      <c r="M308" s="3">
        <f>$D308*TCA!M308/100</f>
        <v>0</v>
      </c>
      <c r="N308" s="3">
        <f>$D308*TCA!N308/100</f>
        <v>24</v>
      </c>
      <c r="O308" s="3">
        <f>$D308*TCA!O308/100</f>
        <v>77</v>
      </c>
      <c r="P308" s="3">
        <f t="shared" si="4"/>
        <v>14.95145631067961</v>
      </c>
      <c r="Q308" s="3">
        <f>$D308*TCA!P308/100</f>
        <v>1.52</v>
      </c>
      <c r="R308" s="3">
        <f>$D308*TCA!Q308/100</f>
        <v>110</v>
      </c>
      <c r="S308" s="3">
        <f>$D308*TCA!R308/100</f>
        <v>72</v>
      </c>
      <c r="T308" s="3">
        <f>$D308*TCA!S308/100</f>
        <v>0.67</v>
      </c>
      <c r="U308" s="3">
        <f>$D308*TCA!T308/100</f>
        <v>9.9</v>
      </c>
      <c r="V308" s="3">
        <f>$D308*TCA!U308/100</f>
        <v>105</v>
      </c>
      <c r="W308" s="3">
        <f>$D308*TCA!V308/100</f>
        <v>59</v>
      </c>
      <c r="X308" s="3">
        <f>$D308*TCA!W308/100</f>
        <v>0</v>
      </c>
    </row>
    <row r="309" spans="1:24" x14ac:dyDescent="0.25">
      <c r="A309" s="3" t="s">
        <v>2027</v>
      </c>
      <c r="B309" s="3" t="s">
        <v>609</v>
      </c>
      <c r="C309" s="3" t="s">
        <v>610</v>
      </c>
      <c r="D309" s="3">
        <v>100</v>
      </c>
      <c r="E309" s="3">
        <f>$D309*TCA!E309/100</f>
        <v>71.150000000000006</v>
      </c>
      <c r="F309" s="3">
        <f>$D309*TCA!F309/100</f>
        <v>4.42</v>
      </c>
      <c r="G309" s="3">
        <f>$D309*TCA!G309/100</f>
        <v>0.35</v>
      </c>
      <c r="H309" s="3">
        <f>$D309*TCA!H309/100</f>
        <v>12.58</v>
      </c>
      <c r="I309" s="3">
        <f>$D309*TCA!I309/100</f>
        <v>4.0999999999999996</v>
      </c>
      <c r="J309" s="3">
        <f>$D309*TCA!J309/100</f>
        <v>0.06</v>
      </c>
      <c r="K309" s="3">
        <f>$D309*TCA!K309/100</f>
        <v>0.03</v>
      </c>
      <c r="L309" s="3">
        <f>$D309*TCA!L309/100</f>
        <v>0.16</v>
      </c>
      <c r="M309" s="3">
        <f>$D309*TCA!M309/100</f>
        <v>0</v>
      </c>
      <c r="N309" s="3">
        <f>$D309*TCA!N309/100</f>
        <v>20</v>
      </c>
      <c r="O309" s="3">
        <f>$D309*TCA!O309/100</f>
        <v>67</v>
      </c>
      <c r="P309" s="3">
        <f t="shared" si="4"/>
        <v>15.158371040723981</v>
      </c>
      <c r="Q309" s="3">
        <f>$D309*TCA!P309/100</f>
        <v>0.95</v>
      </c>
      <c r="R309" s="3">
        <f>$D309*TCA!Q309/100</f>
        <v>173</v>
      </c>
      <c r="S309" s="3">
        <f>$D309*TCA!R309/100</f>
        <v>252</v>
      </c>
      <c r="T309" s="3">
        <f>$D309*TCA!S309/100</f>
        <v>0.71</v>
      </c>
      <c r="U309" s="3">
        <f>$D309*TCA!T309/100</f>
        <v>10</v>
      </c>
      <c r="V309" s="3">
        <f>$D309*TCA!U309/100</f>
        <v>27</v>
      </c>
      <c r="W309" s="3">
        <f>$D309*TCA!V309/100</f>
        <v>44</v>
      </c>
      <c r="X309" s="3">
        <f>$D309*TCA!W309/100</f>
        <v>0</v>
      </c>
    </row>
    <row r="310" spans="1:24" x14ac:dyDescent="0.25">
      <c r="A310" s="3" t="s">
        <v>2027</v>
      </c>
      <c r="B310" s="3" t="s">
        <v>611</v>
      </c>
      <c r="C310" s="3" t="s">
        <v>612</v>
      </c>
      <c r="D310" s="3">
        <v>100</v>
      </c>
      <c r="E310" s="3">
        <f>$D310*TCA!E310/100</f>
        <v>85.98</v>
      </c>
      <c r="F310" s="3">
        <f>$D310*TCA!F310/100</f>
        <v>5.36</v>
      </c>
      <c r="G310" s="3">
        <f>$D310*TCA!G310/100</f>
        <v>0.22</v>
      </c>
      <c r="H310" s="3">
        <f>$D310*TCA!H310/100</f>
        <v>15.64</v>
      </c>
      <c r="I310" s="3">
        <f>$D310*TCA!I310/100</f>
        <v>5.5</v>
      </c>
      <c r="J310" s="3">
        <f>$D310*TCA!J310/100</f>
        <v>0.04</v>
      </c>
      <c r="K310" s="3">
        <f>$D310*TCA!K310/100</f>
        <v>0.02</v>
      </c>
      <c r="L310" s="3">
        <f>$D310*TCA!L310/100</f>
        <v>0.1</v>
      </c>
      <c r="M310" s="3">
        <f>$D310*TCA!M310/100</f>
        <v>0</v>
      </c>
      <c r="N310" s="3">
        <f>$D310*TCA!N310/100</f>
        <v>27</v>
      </c>
      <c r="O310" s="3">
        <f>$D310*TCA!O310/100</f>
        <v>117</v>
      </c>
      <c r="P310" s="3">
        <f t="shared" si="4"/>
        <v>21.828358208955223</v>
      </c>
      <c r="Q310" s="3">
        <f>$D310*TCA!P310/100</f>
        <v>1.54</v>
      </c>
      <c r="R310" s="3">
        <f>$D310*TCA!Q310/100</f>
        <v>271</v>
      </c>
      <c r="S310" s="3">
        <f>$D310*TCA!R310/100</f>
        <v>3</v>
      </c>
      <c r="T310" s="3">
        <f>$D310*TCA!S310/100</f>
        <v>1.19</v>
      </c>
      <c r="U310" s="3">
        <f>$D310*TCA!T310/100</f>
        <v>14</v>
      </c>
      <c r="V310" s="3">
        <f>$D310*TCA!U310/100</f>
        <v>40</v>
      </c>
      <c r="W310" s="3">
        <f>$D310*TCA!V310/100</f>
        <v>63</v>
      </c>
      <c r="X310" s="3">
        <f>$D310*TCA!W310/100</f>
        <v>0</v>
      </c>
    </row>
    <row r="311" spans="1:24" x14ac:dyDescent="0.25">
      <c r="A311" s="3" t="s">
        <v>2027</v>
      </c>
      <c r="B311" s="3" t="s">
        <v>613</v>
      </c>
      <c r="C311" s="3" t="s">
        <v>614</v>
      </c>
      <c r="D311" s="3">
        <v>100</v>
      </c>
      <c r="E311" s="3">
        <f>$D311*TCA!E311/100</f>
        <v>83.12</v>
      </c>
      <c r="F311" s="3">
        <f>$D311*TCA!F311/100</f>
        <v>5.42</v>
      </c>
      <c r="G311" s="3">
        <f>$D311*TCA!G311/100</f>
        <v>0.4</v>
      </c>
      <c r="H311" s="3">
        <f>$D311*TCA!H311/100</f>
        <v>14.46</v>
      </c>
      <c r="I311" s="3">
        <f>$D311*TCA!I311/100</f>
        <v>5.0999999999999996</v>
      </c>
      <c r="J311" s="3">
        <f>$D311*TCA!J311/100</f>
        <v>7.0000000000000007E-2</v>
      </c>
      <c r="K311" s="3">
        <f>$D311*TCA!K311/100</f>
        <v>0.04</v>
      </c>
      <c r="L311" s="3">
        <f>$D311*TCA!L311/100</f>
        <v>0.19</v>
      </c>
      <c r="M311" s="3">
        <f>$D311*TCA!M311/100</f>
        <v>0</v>
      </c>
      <c r="N311" s="3">
        <f>$D311*TCA!N311/100</f>
        <v>25</v>
      </c>
      <c r="O311" s="3">
        <f>$D311*TCA!O311/100</f>
        <v>108</v>
      </c>
      <c r="P311" s="3">
        <f t="shared" si="4"/>
        <v>19.926199261992622</v>
      </c>
      <c r="Q311" s="3">
        <f>$D311*TCA!P311/100</f>
        <v>1.47</v>
      </c>
      <c r="R311" s="3">
        <f>$D311*TCA!Q311/100</f>
        <v>244</v>
      </c>
      <c r="S311" s="3">
        <f>$D311*TCA!R311/100</f>
        <v>5</v>
      </c>
      <c r="T311" s="3">
        <f>$D311*TCA!S311/100</f>
        <v>1.24</v>
      </c>
      <c r="U311" s="3">
        <f>$D311*TCA!T311/100</f>
        <v>40</v>
      </c>
      <c r="V311" s="3">
        <f>$D311*TCA!U311/100</f>
        <v>38</v>
      </c>
      <c r="W311" s="3">
        <f>$D311*TCA!V311/100</f>
        <v>65</v>
      </c>
      <c r="X311" s="3">
        <f>$D311*TCA!W311/100</f>
        <v>0</v>
      </c>
    </row>
    <row r="312" spans="1:24" x14ac:dyDescent="0.25">
      <c r="A312" s="3" t="s">
        <v>2027</v>
      </c>
      <c r="B312" s="3" t="s">
        <v>615</v>
      </c>
      <c r="C312" s="3" t="s">
        <v>616</v>
      </c>
      <c r="D312" s="3">
        <v>100</v>
      </c>
      <c r="E312" s="3">
        <f>$D312*TCA!E312/100</f>
        <v>40.31</v>
      </c>
      <c r="F312" s="3">
        <f>$D312*TCA!F312/100</f>
        <v>0.83</v>
      </c>
      <c r="G312" s="3">
        <f>$D312*TCA!G312/100</f>
        <v>0.23</v>
      </c>
      <c r="H312" s="3">
        <f>$D312*TCA!H312/100</f>
        <v>8.73</v>
      </c>
      <c r="I312" s="3">
        <f>$D312*TCA!I312/100</f>
        <v>2.5</v>
      </c>
      <c r="J312" s="3">
        <f>$D312*TCA!J312/100</f>
        <v>0.04</v>
      </c>
      <c r="K312" s="3">
        <f>$D312*TCA!K312/100</f>
        <v>0.02</v>
      </c>
      <c r="L312" s="3">
        <f>$D312*TCA!L312/100</f>
        <v>0.09</v>
      </c>
      <c r="M312" s="3">
        <f>$D312*TCA!M312/100</f>
        <v>0</v>
      </c>
      <c r="N312" s="3">
        <f>$D312*TCA!N312/100</f>
        <v>6</v>
      </c>
      <c r="O312" s="3">
        <f>$D312*TCA!O312/100</f>
        <v>15</v>
      </c>
      <c r="P312" s="3">
        <f t="shared" si="4"/>
        <v>18.072289156626507</v>
      </c>
      <c r="Q312" s="3">
        <f>$D312*TCA!P312/100</f>
        <v>0.25</v>
      </c>
      <c r="R312" s="3">
        <f>$D312*TCA!Q312/100</f>
        <v>123</v>
      </c>
      <c r="S312" s="3">
        <f>$D312*TCA!R312/100</f>
        <v>1</v>
      </c>
      <c r="T312" s="3">
        <f>$D312*TCA!S312/100</f>
        <v>0.12</v>
      </c>
      <c r="U312" s="3">
        <f>$D312*TCA!T312/100</f>
        <v>1</v>
      </c>
      <c r="V312" s="3">
        <f>$D312*TCA!U312/100</f>
        <v>2</v>
      </c>
      <c r="W312" s="3">
        <f>$D312*TCA!V312/100</f>
        <v>14</v>
      </c>
      <c r="X312" s="3">
        <f>$D312*TCA!W312/100</f>
        <v>0</v>
      </c>
    </row>
    <row r="313" spans="1:24" x14ac:dyDescent="0.25">
      <c r="A313" s="3" t="s">
        <v>2027</v>
      </c>
      <c r="B313" s="3" t="s">
        <v>617</v>
      </c>
      <c r="C313" s="3" t="s">
        <v>618</v>
      </c>
      <c r="D313" s="3">
        <v>100</v>
      </c>
      <c r="E313" s="3">
        <f>$D313*TCA!E313/100</f>
        <v>28.55</v>
      </c>
      <c r="F313" s="3">
        <f>$D313*TCA!F313/100</f>
        <v>1.01</v>
      </c>
      <c r="G313" s="3">
        <f>$D313*TCA!G313/100</f>
        <v>0.19</v>
      </c>
      <c r="H313" s="3">
        <f>$D313*TCA!H313/100</f>
        <v>5.7</v>
      </c>
      <c r="I313" s="3">
        <f>$D313*TCA!I313/100</f>
        <v>3.4</v>
      </c>
      <c r="J313" s="3">
        <f>$D313*TCA!J313/100</f>
        <v>0.03</v>
      </c>
      <c r="K313" s="3">
        <f>$D313*TCA!K313/100</f>
        <v>0.02</v>
      </c>
      <c r="L313" s="3">
        <f>$D313*TCA!L313/100</f>
        <v>0.08</v>
      </c>
      <c r="M313" s="3">
        <f>$D313*TCA!M313/100</f>
        <v>0</v>
      </c>
      <c r="N313" s="3">
        <f>$D313*TCA!N313/100</f>
        <v>9</v>
      </c>
      <c r="O313" s="3">
        <f>$D313*TCA!O313/100</f>
        <v>25</v>
      </c>
      <c r="P313" s="3">
        <f t="shared" si="4"/>
        <v>24.752475247524753</v>
      </c>
      <c r="Q313" s="3">
        <f>$D313*TCA!P313/100</f>
        <v>0.24</v>
      </c>
      <c r="R313" s="3">
        <f>$D313*TCA!Q313/100</f>
        <v>230</v>
      </c>
      <c r="S313" s="3">
        <f>$D313*TCA!R313/100</f>
        <v>2</v>
      </c>
      <c r="T313" s="3">
        <f>$D313*TCA!S313/100</f>
        <v>0.16</v>
      </c>
      <c r="U313" s="3">
        <f>$D313*TCA!T313/100</f>
        <v>2</v>
      </c>
      <c r="V313" s="3">
        <f>$D313*TCA!U313/100</f>
        <v>1</v>
      </c>
      <c r="W313" s="3">
        <f>$D313*TCA!V313/100</f>
        <v>22</v>
      </c>
      <c r="X313" s="3">
        <f>$D313*TCA!W313/100</f>
        <v>0</v>
      </c>
    </row>
    <row r="314" spans="1:24" x14ac:dyDescent="0.25">
      <c r="A314" s="3" t="s">
        <v>2027</v>
      </c>
      <c r="B314" s="3" t="s">
        <v>619</v>
      </c>
      <c r="C314" s="3" t="s">
        <v>620</v>
      </c>
      <c r="D314" s="3">
        <v>100</v>
      </c>
      <c r="E314" s="3">
        <f>$D314*TCA!E314/100</f>
        <v>28</v>
      </c>
      <c r="F314" s="3">
        <f>$D314*TCA!F314/100</f>
        <v>2.8</v>
      </c>
      <c r="G314" s="3">
        <f>$D314*TCA!G314/100</f>
        <v>0.4</v>
      </c>
      <c r="H314" s="3">
        <f>$D314*TCA!H314/100</f>
        <v>3.3</v>
      </c>
      <c r="I314" s="3">
        <f>$D314*TCA!I314/100</f>
        <v>1.51</v>
      </c>
      <c r="J314" s="3">
        <f>$D314*TCA!J314/100</f>
        <v>0.02</v>
      </c>
      <c r="K314" s="3">
        <f>$D314*TCA!K314/100</f>
        <v>0.24</v>
      </c>
      <c r="L314" s="3">
        <f>$D314*TCA!L314/100</f>
        <v>0.23</v>
      </c>
      <c r="M314" s="3">
        <f>$D314*TCA!M314/100</f>
        <v>0</v>
      </c>
      <c r="N314" s="3">
        <f>$D314*TCA!N314/100</f>
        <v>117</v>
      </c>
      <c r="O314" s="3">
        <f>$D314*TCA!O314/100</f>
        <v>76</v>
      </c>
      <c r="P314" s="3">
        <f t="shared" si="4"/>
        <v>27.142857142857146</v>
      </c>
      <c r="Q314" s="3">
        <f>$D314*TCA!P314/100</f>
        <v>1.9</v>
      </c>
      <c r="R314" s="3">
        <f>$D314*TCA!Q314/100</f>
        <v>606</v>
      </c>
      <c r="S314" s="3">
        <f>$D314*TCA!R314/100</f>
        <v>14</v>
      </c>
      <c r="T314" s="3">
        <f>$D314*TCA!S314/100</f>
        <v>0.23</v>
      </c>
      <c r="U314" s="3">
        <f>$D314*TCA!T314/100</f>
        <v>44</v>
      </c>
      <c r="V314" s="3">
        <f>$D314*TCA!U314/100</f>
        <v>161</v>
      </c>
      <c r="W314" s="3">
        <f>$D314*TCA!V314/100</f>
        <v>80</v>
      </c>
      <c r="X314" s="3">
        <f>$D314*TCA!W314/100</f>
        <v>0</v>
      </c>
    </row>
    <row r="315" spans="1:24" x14ac:dyDescent="0.25">
      <c r="A315" s="3" t="s">
        <v>2027</v>
      </c>
      <c r="B315" s="3" t="s">
        <v>621</v>
      </c>
      <c r="C315" s="3" t="s">
        <v>622</v>
      </c>
      <c r="D315" s="3">
        <v>100</v>
      </c>
      <c r="E315" s="3">
        <f>$D315*TCA!E315/100</f>
        <v>41.93</v>
      </c>
      <c r="F315" s="3">
        <f>$D315*TCA!F315/100</f>
        <v>2.38</v>
      </c>
      <c r="G315" s="3">
        <f>$D315*TCA!G315/100</f>
        <v>0.41</v>
      </c>
      <c r="H315" s="3">
        <f>$D315*TCA!H315/100</f>
        <v>7.18</v>
      </c>
      <c r="I315" s="3">
        <f>$D315*TCA!I315/100</f>
        <v>3.3</v>
      </c>
      <c r="J315" s="3">
        <f>$D315*TCA!J315/100</f>
        <v>0.08</v>
      </c>
      <c r="K315" s="3">
        <f>$D315*TCA!K315/100</f>
        <v>0.04</v>
      </c>
      <c r="L315" s="3">
        <f>$D315*TCA!L315/100</f>
        <v>0.17</v>
      </c>
      <c r="M315" s="3">
        <f>$D315*TCA!M315/100</f>
        <v>0</v>
      </c>
      <c r="N315" s="3">
        <f>$D315*TCA!N315/100</f>
        <v>40</v>
      </c>
      <c r="O315" s="3">
        <f>$D315*TCA!O315/100</f>
        <v>67</v>
      </c>
      <c r="P315" s="3">
        <f t="shared" si="4"/>
        <v>28.151260504201684</v>
      </c>
      <c r="Q315" s="3">
        <f>$D315*TCA!P315/100</f>
        <v>0.67</v>
      </c>
      <c r="R315" s="3">
        <f>$D315*TCA!Q315/100</f>
        <v>293</v>
      </c>
      <c r="S315" s="3">
        <f>$D315*TCA!R315/100</f>
        <v>41</v>
      </c>
      <c r="T315" s="3">
        <f>$D315*TCA!S315/100</f>
        <v>0.45</v>
      </c>
      <c r="U315" s="3">
        <f>$D315*TCA!T315/100</f>
        <v>65</v>
      </c>
      <c r="V315" s="3">
        <f>$D315*TCA!U315/100</f>
        <v>77</v>
      </c>
      <c r="W315" s="3">
        <f>$D315*TCA!V315/100</f>
        <v>108</v>
      </c>
      <c r="X315" s="3">
        <f>$D315*TCA!W315/100</f>
        <v>0</v>
      </c>
    </row>
    <row r="316" spans="1:24" x14ac:dyDescent="0.25">
      <c r="A316" s="3" t="s">
        <v>2027</v>
      </c>
      <c r="B316" s="3" t="s">
        <v>623</v>
      </c>
      <c r="C316" s="3" t="s">
        <v>624</v>
      </c>
      <c r="D316" s="3">
        <v>100</v>
      </c>
      <c r="E316" s="3">
        <f>$D316*TCA!E316/100</f>
        <v>41.17</v>
      </c>
      <c r="F316" s="3">
        <f>$D316*TCA!F316/100</f>
        <v>2.82</v>
      </c>
      <c r="G316" s="3">
        <f>$D316*TCA!G316/100</f>
        <v>0.37</v>
      </c>
      <c r="H316" s="3">
        <f>$D316*TCA!H316/100</f>
        <v>6.64</v>
      </c>
      <c r="I316" s="3">
        <f>$D316*TCA!I316/100</f>
        <v>2.6</v>
      </c>
      <c r="J316" s="3">
        <f>$D316*TCA!J316/100</f>
        <v>0.04</v>
      </c>
      <c r="K316" s="3">
        <f>$D316*TCA!K316/100</f>
        <v>0.01</v>
      </c>
      <c r="L316" s="3">
        <f>$D316*TCA!L316/100</f>
        <v>0.04</v>
      </c>
      <c r="M316" s="3">
        <f>$D316*TCA!M316/100</f>
        <v>0</v>
      </c>
      <c r="N316" s="3">
        <f>$D316*TCA!N316/100</f>
        <v>47</v>
      </c>
      <c r="O316" s="3">
        <f>$D316*TCA!O316/100</f>
        <v>66</v>
      </c>
      <c r="P316" s="3">
        <f t="shared" si="4"/>
        <v>23.404255319148938</v>
      </c>
      <c r="Q316" s="3">
        <f>$D316*TCA!P316/100</f>
        <v>0.73</v>
      </c>
      <c r="R316" s="3">
        <f>$D316*TCA!Q316/100</f>
        <v>316</v>
      </c>
      <c r="S316" s="3">
        <f>$D316*TCA!R316/100</f>
        <v>33</v>
      </c>
      <c r="T316" s="3">
        <f>$D316*TCA!S316/100</f>
        <v>0.41</v>
      </c>
      <c r="U316" s="3">
        <f>$D316*TCA!T316/100</f>
        <v>89</v>
      </c>
      <c r="V316" s="3">
        <f>$D316*TCA!U316/100</f>
        <v>31</v>
      </c>
      <c r="W316" s="3">
        <f>$D316*TCA!V316/100</f>
        <v>63</v>
      </c>
      <c r="X316" s="3">
        <f>$D316*TCA!W316/100</f>
        <v>0</v>
      </c>
    </row>
    <row r="317" spans="1:24" x14ac:dyDescent="0.25">
      <c r="A317" s="3" t="s">
        <v>2027</v>
      </c>
      <c r="B317" s="3" t="s">
        <v>625</v>
      </c>
      <c r="C317" s="3" t="s">
        <v>626</v>
      </c>
      <c r="D317" s="3">
        <v>100</v>
      </c>
      <c r="E317" s="3">
        <f>$D317*TCA!E317/100</f>
        <v>38.39</v>
      </c>
      <c r="F317" s="3">
        <f>$D317*TCA!F317/100</f>
        <v>1.83</v>
      </c>
      <c r="G317" s="3">
        <f>$D317*TCA!G317/100</f>
        <v>0.19</v>
      </c>
      <c r="H317" s="3">
        <f>$D317*TCA!H317/100</f>
        <v>7.34</v>
      </c>
      <c r="I317" s="3">
        <f>$D317*TCA!I317/100</f>
        <v>2.6</v>
      </c>
      <c r="J317" s="3">
        <f>$D317*TCA!J317/100</f>
        <v>0.03</v>
      </c>
      <c r="K317" s="3">
        <f>$D317*TCA!K317/100</f>
        <v>0.03</v>
      </c>
      <c r="L317" s="3">
        <f>$D317*TCA!L317/100</f>
        <v>7.0000000000000007E-2</v>
      </c>
      <c r="M317" s="3">
        <f>$D317*TCA!M317/100</f>
        <v>0</v>
      </c>
      <c r="N317" s="3">
        <f>$D317*TCA!N317/100</f>
        <v>72</v>
      </c>
      <c r="O317" s="3">
        <f>$D317*TCA!O317/100</f>
        <v>37</v>
      </c>
      <c r="P317" s="3">
        <f t="shared" si="4"/>
        <v>20.218579234972676</v>
      </c>
      <c r="Q317" s="3">
        <f>$D317*TCA!P317/100</f>
        <v>1.48</v>
      </c>
      <c r="R317" s="3">
        <f>$D317*TCA!Q317/100</f>
        <v>276</v>
      </c>
      <c r="S317" s="3">
        <f>$D317*TCA!R317/100</f>
        <v>16</v>
      </c>
      <c r="T317" s="3">
        <f>$D317*TCA!S317/100</f>
        <v>0.39</v>
      </c>
      <c r="U317" s="3">
        <f>$D317*TCA!T317/100</f>
        <v>18.8</v>
      </c>
      <c r="V317" s="3">
        <f>$D317*TCA!U317/100</f>
        <v>50</v>
      </c>
      <c r="W317" s="3">
        <f>$D317*TCA!V317/100</f>
        <v>64</v>
      </c>
      <c r="X317" s="3">
        <f>$D317*TCA!W317/100</f>
        <v>0</v>
      </c>
    </row>
    <row r="318" spans="1:24" x14ac:dyDescent="0.25">
      <c r="A318" s="3" t="s">
        <v>2027</v>
      </c>
      <c r="B318" s="3" t="s">
        <v>627</v>
      </c>
      <c r="C318" s="3" t="s">
        <v>628</v>
      </c>
      <c r="D318" s="3">
        <v>100</v>
      </c>
      <c r="E318" s="3">
        <f>$D318*TCA!E318/100</f>
        <v>42.66</v>
      </c>
      <c r="F318" s="3">
        <f>$D318*TCA!F318/100</f>
        <v>1.1000000000000001</v>
      </c>
      <c r="G318" s="3">
        <f>$D318*TCA!G318/100</f>
        <v>0.1</v>
      </c>
      <c r="H318" s="3">
        <f>$D318*TCA!H318/100</f>
        <v>9.34</v>
      </c>
      <c r="I318" s="3">
        <f>$D318*TCA!I318/100</f>
        <v>1.7</v>
      </c>
      <c r="J318" s="3">
        <f>$D318*TCA!J318/100</f>
        <v>0.04</v>
      </c>
      <c r="K318" s="3">
        <f>$D318*TCA!K318/100</f>
        <v>0.01</v>
      </c>
      <c r="L318" s="3">
        <f>$D318*TCA!L318/100</f>
        <v>0.02</v>
      </c>
      <c r="M318" s="3">
        <f>$D318*TCA!M318/100</f>
        <v>0</v>
      </c>
      <c r="N318" s="3">
        <f>$D318*TCA!N318/100</f>
        <v>23</v>
      </c>
      <c r="O318" s="3">
        <f>$D318*TCA!O318/100</f>
        <v>29</v>
      </c>
      <c r="P318" s="3">
        <f t="shared" si="4"/>
        <v>26.36363636363636</v>
      </c>
      <c r="Q318" s="3">
        <f>$D318*TCA!P318/100</f>
        <v>0.21</v>
      </c>
      <c r="R318" s="3">
        <f>$D318*TCA!Q318/100</f>
        <v>146</v>
      </c>
      <c r="S318" s="3">
        <f>$D318*TCA!R318/100</f>
        <v>4</v>
      </c>
      <c r="T318" s="3">
        <f>$D318*TCA!S318/100</f>
        <v>0.17</v>
      </c>
      <c r="U318" s="3">
        <f>$D318*TCA!T318/100</f>
        <v>7.4</v>
      </c>
      <c r="V318" s="3">
        <f>$D318*TCA!U318/100</f>
        <v>0</v>
      </c>
      <c r="W318" s="3">
        <f>$D318*TCA!V318/100</f>
        <v>19</v>
      </c>
      <c r="X318" s="3">
        <f>$D318*TCA!W318/100</f>
        <v>0</v>
      </c>
    </row>
    <row r="319" spans="1:24" x14ac:dyDescent="0.25">
      <c r="A319" s="3" t="s">
        <v>2027</v>
      </c>
      <c r="B319" s="3" t="s">
        <v>629</v>
      </c>
      <c r="C319" s="3" t="s">
        <v>630</v>
      </c>
      <c r="D319" s="3">
        <v>100</v>
      </c>
      <c r="E319" s="3">
        <f>$D319*TCA!E319/100</f>
        <v>65.3</v>
      </c>
      <c r="F319" s="3">
        <f>$D319*TCA!F319/100</f>
        <v>1.5</v>
      </c>
      <c r="G319" s="3">
        <f>$D319*TCA!G319/100</f>
        <v>0.3</v>
      </c>
      <c r="H319" s="3">
        <f>$D319*TCA!H319/100</f>
        <v>14.15</v>
      </c>
      <c r="I319" s="3">
        <f>$D319*TCA!I319/100</f>
        <v>1.8</v>
      </c>
      <c r="J319" s="3">
        <f>$D319*TCA!J319/100</f>
        <v>0.04</v>
      </c>
      <c r="K319" s="3">
        <f>$D319*TCA!K319/100</f>
        <v>0</v>
      </c>
      <c r="L319" s="3">
        <f>$D319*TCA!L319/100</f>
        <v>0.17</v>
      </c>
      <c r="M319" s="3">
        <f>$D319*TCA!M319/100</f>
        <v>0</v>
      </c>
      <c r="N319" s="3">
        <f>$D319*TCA!N319/100</f>
        <v>59</v>
      </c>
      <c r="O319" s="3">
        <f>$D319*TCA!O319/100</f>
        <v>35</v>
      </c>
      <c r="P319" s="3">
        <f t="shared" si="4"/>
        <v>23.333333333333332</v>
      </c>
      <c r="Q319" s="3">
        <f>$D319*TCA!P319/100</f>
        <v>2.1</v>
      </c>
      <c r="R319" s="3">
        <f>$D319*TCA!Q319/100</f>
        <v>180</v>
      </c>
      <c r="S319" s="3">
        <f>$D319*TCA!R319/100</f>
        <v>20</v>
      </c>
      <c r="T319" s="3">
        <f>$D319*TCA!S319/100</f>
        <v>0.12</v>
      </c>
      <c r="U319" s="3">
        <f>$D319*TCA!T319/100</f>
        <v>12</v>
      </c>
      <c r="V319" s="3">
        <f>$D319*TCA!U319/100</f>
        <v>83</v>
      </c>
      <c r="W319" s="3">
        <f>$D319*TCA!V319/100</f>
        <v>64</v>
      </c>
      <c r="X319" s="3">
        <f>$D319*TCA!W319/100</f>
        <v>0</v>
      </c>
    </row>
    <row r="320" spans="1:24" x14ac:dyDescent="0.25">
      <c r="A320" s="3" t="s">
        <v>2027</v>
      </c>
      <c r="B320" s="3" t="s">
        <v>631</v>
      </c>
      <c r="C320" s="3" t="s">
        <v>632</v>
      </c>
      <c r="D320" s="3">
        <v>100</v>
      </c>
      <c r="E320" s="3">
        <f>$D320*TCA!E320/100</f>
        <v>27.7</v>
      </c>
      <c r="F320" s="3">
        <f>$D320*TCA!F320/100</f>
        <v>0.8</v>
      </c>
      <c r="G320" s="3">
        <f>$D320*TCA!G320/100</f>
        <v>0.1</v>
      </c>
      <c r="H320" s="3">
        <f>$D320*TCA!H320/100</f>
        <v>5.9</v>
      </c>
      <c r="I320" s="3">
        <f>$D320*TCA!I320/100</f>
        <v>1.4</v>
      </c>
      <c r="J320" s="3">
        <f>$D320*TCA!J320/100</f>
        <v>0</v>
      </c>
      <c r="K320" s="3">
        <f>$D320*TCA!K320/100</f>
        <v>0</v>
      </c>
      <c r="L320" s="3">
        <f>$D320*TCA!L320/100</f>
        <v>0</v>
      </c>
      <c r="M320" s="3">
        <f>$D320*TCA!M320/100</f>
        <v>0</v>
      </c>
      <c r="N320" s="3">
        <f>$D320*TCA!N320/100</f>
        <v>20</v>
      </c>
      <c r="O320" s="3">
        <f>$D320*TCA!O320/100</f>
        <v>17</v>
      </c>
      <c r="P320" s="3">
        <f t="shared" si="4"/>
        <v>21.25</v>
      </c>
      <c r="Q320" s="3">
        <f>$D320*TCA!P320/100</f>
        <v>1</v>
      </c>
      <c r="R320" s="3">
        <f>$D320*TCA!Q320/100</f>
        <v>0</v>
      </c>
      <c r="S320" s="3">
        <f>$D320*TCA!R320/100</f>
        <v>0</v>
      </c>
      <c r="T320" s="3">
        <f>$D320*TCA!S320/100</f>
        <v>0.16</v>
      </c>
      <c r="U320" s="3">
        <f>$D320*TCA!T320/100</f>
        <v>3.7</v>
      </c>
      <c r="V320" s="3">
        <f>$D320*TCA!U320/100</f>
        <v>0</v>
      </c>
      <c r="W320" s="3">
        <f>$D320*TCA!V320/100</f>
        <v>0</v>
      </c>
      <c r="X320" s="3">
        <f>$D320*TCA!W320/100</f>
        <v>0</v>
      </c>
    </row>
    <row r="321" spans="1:24" x14ac:dyDescent="0.25">
      <c r="A321" s="3" t="s">
        <v>2027</v>
      </c>
      <c r="B321" s="3" t="s">
        <v>633</v>
      </c>
      <c r="C321" s="3" t="s">
        <v>634</v>
      </c>
      <c r="D321" s="3">
        <v>100</v>
      </c>
      <c r="E321" s="3">
        <f>$D321*TCA!E321/100</f>
        <v>37.049999999999997</v>
      </c>
      <c r="F321" s="3">
        <f>$D321*TCA!F321/100</f>
        <v>3.27</v>
      </c>
      <c r="G321" s="3">
        <f>$D321*TCA!G321/100</f>
        <v>0.73</v>
      </c>
      <c r="H321" s="3">
        <f>$D321*TCA!H321/100</f>
        <v>4.3499999999999996</v>
      </c>
      <c r="I321" s="3">
        <f>$D321*TCA!I321/100</f>
        <v>2.5</v>
      </c>
      <c r="J321" s="3">
        <f>$D321*TCA!J321/100</f>
        <v>0.15</v>
      </c>
      <c r="K321" s="3">
        <f>$D321*TCA!K321/100</f>
        <v>0.1</v>
      </c>
      <c r="L321" s="3">
        <f>$D321*TCA!L321/100</f>
        <v>0.27</v>
      </c>
      <c r="M321" s="3">
        <f>$D321*TCA!M321/100</f>
        <v>0</v>
      </c>
      <c r="N321" s="3">
        <f>$D321*TCA!N321/100</f>
        <v>92</v>
      </c>
      <c r="O321" s="3">
        <f>$D321*TCA!O321/100</f>
        <v>58</v>
      </c>
      <c r="P321" s="3">
        <f t="shared" si="4"/>
        <v>17.737003058103976</v>
      </c>
      <c r="Q321" s="3">
        <f>$D321*TCA!P321/100</f>
        <v>1.6</v>
      </c>
      <c r="R321" s="3">
        <f>$D321*TCA!Q321/100</f>
        <v>296</v>
      </c>
      <c r="S321" s="3">
        <f>$D321*TCA!R321/100</f>
        <v>3</v>
      </c>
      <c r="T321" s="3">
        <f>$D321*TCA!S321/100</f>
        <v>0.56000000000000005</v>
      </c>
      <c r="U321" s="3">
        <f>$D321*TCA!T321/100</f>
        <v>58.1</v>
      </c>
      <c r="V321" s="3">
        <f>$D321*TCA!U321/100</f>
        <v>218</v>
      </c>
      <c r="W321" s="3">
        <f>$D321*TCA!V321/100</f>
        <v>105</v>
      </c>
      <c r="X321" s="3">
        <f>$D321*TCA!W321/100</f>
        <v>0</v>
      </c>
    </row>
    <row r="322" spans="1:24" x14ac:dyDescent="0.25">
      <c r="A322" s="3" t="s">
        <v>2027</v>
      </c>
      <c r="B322" s="3" t="s">
        <v>635</v>
      </c>
      <c r="C322" s="3" t="s">
        <v>636</v>
      </c>
      <c r="D322" s="3">
        <v>100</v>
      </c>
      <c r="E322" s="3">
        <f>$D322*TCA!E322/100</f>
        <v>30.45</v>
      </c>
      <c r="F322" s="3">
        <f>$D322*TCA!F322/100</f>
        <v>1.87</v>
      </c>
      <c r="G322" s="3">
        <f>$D322*TCA!G322/100</f>
        <v>0.28999999999999998</v>
      </c>
      <c r="H322" s="3">
        <f>$D322*TCA!H322/100</f>
        <v>5.09</v>
      </c>
      <c r="I322" s="3">
        <f>$D322*TCA!I322/100</f>
        <v>2.4</v>
      </c>
      <c r="J322" s="3">
        <f>$D322*TCA!J322/100</f>
        <v>0.04</v>
      </c>
      <c r="K322" s="3">
        <f>$D322*TCA!K322/100</f>
        <v>0.01</v>
      </c>
      <c r="L322" s="3">
        <f>$D322*TCA!L322/100</f>
        <v>0.11</v>
      </c>
      <c r="M322" s="3">
        <f>$D322*TCA!M322/100</f>
        <v>0</v>
      </c>
      <c r="N322" s="3">
        <f>$D322*TCA!N322/100</f>
        <v>11</v>
      </c>
      <c r="O322" s="3">
        <f>$D322*TCA!O322/100</f>
        <v>66</v>
      </c>
      <c r="P322" s="3">
        <f t="shared" si="4"/>
        <v>35.294117647058819</v>
      </c>
      <c r="Q322" s="3">
        <f>$D322*TCA!P322/100</f>
        <v>0.79</v>
      </c>
      <c r="R322" s="3">
        <f>$D322*TCA!Q322/100</f>
        <v>129</v>
      </c>
      <c r="S322" s="3">
        <f>$D322*TCA!R322/100</f>
        <v>425</v>
      </c>
      <c r="T322" s="3">
        <f>$D322*TCA!S322/100</f>
        <v>0.72</v>
      </c>
      <c r="U322" s="3">
        <f>$D322*TCA!T322/100</f>
        <v>0</v>
      </c>
      <c r="V322" s="3">
        <f>$D322*TCA!U322/100</f>
        <v>0</v>
      </c>
      <c r="W322" s="3">
        <f>$D322*TCA!V322/100</f>
        <v>12</v>
      </c>
      <c r="X322" s="3">
        <f>$D322*TCA!W322/100</f>
        <v>0</v>
      </c>
    </row>
    <row r="323" spans="1:24" x14ac:dyDescent="0.25">
      <c r="A323" s="3" t="s">
        <v>2027</v>
      </c>
      <c r="B323" s="3" t="s">
        <v>637</v>
      </c>
      <c r="C323" s="3" t="s">
        <v>638</v>
      </c>
      <c r="D323" s="3">
        <v>100</v>
      </c>
      <c r="E323" s="3">
        <f>$D323*TCA!E323/100</f>
        <v>27.07</v>
      </c>
      <c r="F323" s="3">
        <f>$D323*TCA!F323/100</f>
        <v>2.11</v>
      </c>
      <c r="G323" s="3">
        <f>$D323*TCA!G323/100</f>
        <v>0.35</v>
      </c>
      <c r="H323" s="3">
        <f>$D323*TCA!H323/100</f>
        <v>3.87</v>
      </c>
      <c r="I323" s="3">
        <f>$D323*TCA!I323/100</f>
        <v>1.3</v>
      </c>
      <c r="J323" s="3">
        <f>$D323*TCA!J323/100</f>
        <v>0.01</v>
      </c>
      <c r="K323" s="3">
        <f>$D323*TCA!K323/100</f>
        <v>0.04</v>
      </c>
      <c r="L323" s="3">
        <f>$D323*TCA!L323/100</f>
        <v>0.3</v>
      </c>
      <c r="M323" s="3">
        <f>$D323*TCA!M323/100</f>
        <v>0</v>
      </c>
      <c r="N323" s="3">
        <f>$D323*TCA!N323/100</f>
        <v>3</v>
      </c>
      <c r="O323" s="3">
        <f>$D323*TCA!O323/100</f>
        <v>108</v>
      </c>
      <c r="P323" s="3">
        <f t="shared" si="4"/>
        <v>51.18483412322275</v>
      </c>
      <c r="Q323" s="3">
        <f>$D323*TCA!P323/100</f>
        <v>0.31</v>
      </c>
      <c r="R323" s="3">
        <f>$D323*TCA!Q323/100</f>
        <v>364</v>
      </c>
      <c r="S323" s="3">
        <f>$D323*TCA!R323/100</f>
        <v>9</v>
      </c>
      <c r="T323" s="3">
        <f>$D323*TCA!S323/100</f>
        <v>0.53</v>
      </c>
      <c r="U323" s="3">
        <f>$D323*TCA!T323/100</f>
        <v>0</v>
      </c>
      <c r="V323" s="3">
        <f>$D323*TCA!U323/100</f>
        <v>0</v>
      </c>
      <c r="W323" s="3">
        <f>$D323*TCA!V323/100</f>
        <v>28</v>
      </c>
      <c r="X323" s="3">
        <f>$D323*TCA!W323/100</f>
        <v>0.05</v>
      </c>
    </row>
    <row r="324" spans="1:24" x14ac:dyDescent="0.25">
      <c r="A324" s="3" t="s">
        <v>2027</v>
      </c>
      <c r="B324" s="3" t="s">
        <v>639</v>
      </c>
      <c r="C324" s="3" t="s">
        <v>640</v>
      </c>
      <c r="D324" s="3">
        <v>100</v>
      </c>
      <c r="E324" s="3">
        <f>$D324*TCA!E324/100</f>
        <v>73.94</v>
      </c>
      <c r="F324" s="3">
        <f>$D324*TCA!F324/100</f>
        <v>1.95</v>
      </c>
      <c r="G324" s="3">
        <f>$D324*TCA!G324/100</f>
        <v>0.5</v>
      </c>
      <c r="H324" s="3">
        <f>$D324*TCA!H324/100</f>
        <v>15.41</v>
      </c>
      <c r="I324" s="3">
        <f>$D324*TCA!I324/100</f>
        <v>1.7</v>
      </c>
      <c r="J324" s="3">
        <f>$D324*TCA!J324/100</f>
        <v>0.08</v>
      </c>
      <c r="K324" s="3">
        <f>$D324*TCA!K324/100</f>
        <v>0.14000000000000001</v>
      </c>
      <c r="L324" s="3">
        <f>$D324*TCA!L324/100</f>
        <v>0.23</v>
      </c>
      <c r="M324" s="3">
        <f>$D324*TCA!M324/100</f>
        <v>0</v>
      </c>
      <c r="N324" s="3">
        <f>$D324*TCA!N324/100</f>
        <v>4</v>
      </c>
      <c r="O324" s="3">
        <f>$D324*TCA!O324/100</f>
        <v>51</v>
      </c>
      <c r="P324" s="3">
        <f t="shared" ref="P324:P387" si="5">O324/F324</f>
        <v>26.153846153846153</v>
      </c>
      <c r="Q324" s="3">
        <f>$D324*TCA!P324/100</f>
        <v>0.41</v>
      </c>
      <c r="R324" s="3">
        <f>$D324*TCA!Q324/100</f>
        <v>164</v>
      </c>
      <c r="S324" s="3">
        <f>$D324*TCA!R324/100</f>
        <v>213</v>
      </c>
      <c r="T324" s="3">
        <f>$D324*TCA!S324/100</f>
        <v>0.36</v>
      </c>
      <c r="U324" s="3">
        <f>$D324*TCA!T324/100</f>
        <v>6</v>
      </c>
      <c r="V324" s="3">
        <f>$D324*TCA!U324/100</f>
        <v>3</v>
      </c>
      <c r="W324" s="3">
        <f>$D324*TCA!V324/100</f>
        <v>38</v>
      </c>
      <c r="X324" s="3">
        <f>$D324*TCA!W324/100</f>
        <v>0</v>
      </c>
    </row>
    <row r="325" spans="1:24" x14ac:dyDescent="0.25">
      <c r="A325" s="3" t="s">
        <v>2027</v>
      </c>
      <c r="B325" s="3" t="s">
        <v>641</v>
      </c>
      <c r="C325" s="3" t="s">
        <v>642</v>
      </c>
      <c r="D325" s="3">
        <v>100</v>
      </c>
      <c r="E325" s="3">
        <f>$D325*TCA!E325/100</f>
        <v>125.24</v>
      </c>
      <c r="F325" s="3">
        <f>$D325*TCA!F325/100</f>
        <v>3.32</v>
      </c>
      <c r="G325" s="3">
        <f>$D325*TCA!G325/100</f>
        <v>1.28</v>
      </c>
      <c r="H325" s="3">
        <f>$D325*TCA!H325/100</f>
        <v>25.11</v>
      </c>
      <c r="I325" s="3">
        <f>$D325*TCA!I325/100</f>
        <v>2.8</v>
      </c>
      <c r="J325" s="3">
        <f>$D325*TCA!J325/100</f>
        <v>0.2</v>
      </c>
      <c r="K325" s="3">
        <f>$D325*TCA!K325/100</f>
        <v>0.37</v>
      </c>
      <c r="L325" s="3">
        <f>$D325*TCA!L325/100</f>
        <v>0.6</v>
      </c>
      <c r="M325" s="3">
        <f>$D325*TCA!M325/100</f>
        <v>0</v>
      </c>
      <c r="N325" s="3">
        <f>$D325*TCA!N325/100</f>
        <v>2</v>
      </c>
      <c r="O325" s="3">
        <f>$D325*TCA!O325/100</f>
        <v>103</v>
      </c>
      <c r="P325" s="3">
        <f t="shared" si="5"/>
        <v>31.024096385542169</v>
      </c>
      <c r="Q325" s="3">
        <f>$D325*TCA!P325/100</f>
        <v>0.61</v>
      </c>
      <c r="R325" s="3">
        <f>$D325*TCA!Q325/100</f>
        <v>249</v>
      </c>
      <c r="S325" s="3">
        <f>$D325*TCA!R325/100</f>
        <v>17</v>
      </c>
      <c r="T325" s="3">
        <f>$D325*TCA!S325/100</f>
        <v>0.48</v>
      </c>
      <c r="U325" s="3">
        <f>$D325*TCA!T325/100</f>
        <v>6</v>
      </c>
      <c r="V325" s="3">
        <f>$D325*TCA!U325/100</f>
        <v>13</v>
      </c>
      <c r="W325" s="3">
        <f>$D325*TCA!V325/100</f>
        <v>46</v>
      </c>
      <c r="X325" s="3">
        <f>$D325*TCA!W325/100</f>
        <v>0</v>
      </c>
    </row>
    <row r="326" spans="1:24" x14ac:dyDescent="0.25">
      <c r="A326" s="3" t="s">
        <v>2027</v>
      </c>
      <c r="B326" s="3" t="s">
        <v>643</v>
      </c>
      <c r="C326" s="3" t="s">
        <v>644</v>
      </c>
      <c r="D326" s="3">
        <v>100</v>
      </c>
      <c r="E326" s="3">
        <f>$D326*TCA!E326/100</f>
        <v>99.58</v>
      </c>
      <c r="F326" s="3">
        <f>$D326*TCA!F326/100</f>
        <v>3.22</v>
      </c>
      <c r="G326" s="3">
        <f>$D326*TCA!G326/100</f>
        <v>1.18</v>
      </c>
      <c r="H326" s="3">
        <f>$D326*TCA!H326/100</f>
        <v>19.02</v>
      </c>
      <c r="I326" s="3">
        <f>$D326*TCA!I326/100</f>
        <v>2.7</v>
      </c>
      <c r="J326" s="3">
        <f>$D326*TCA!J326/100</f>
        <v>0.18</v>
      </c>
      <c r="K326" s="3">
        <f>$D326*TCA!K326/100</f>
        <v>0.35</v>
      </c>
      <c r="L326" s="3">
        <f>$D326*TCA!L326/100</f>
        <v>0.56000000000000005</v>
      </c>
      <c r="M326" s="3">
        <f>$D326*TCA!M326/100</f>
        <v>0</v>
      </c>
      <c r="N326" s="3">
        <f>$D326*TCA!N326/100</f>
        <v>2</v>
      </c>
      <c r="O326" s="3">
        <f>$D326*TCA!O326/100</f>
        <v>89</v>
      </c>
      <c r="P326" s="3">
        <f t="shared" si="5"/>
        <v>27.63975155279503</v>
      </c>
      <c r="Q326" s="3">
        <f>$D326*TCA!P326/100</f>
        <v>0.52</v>
      </c>
      <c r="R326" s="3">
        <f>$D326*TCA!Q326/100</f>
        <v>270</v>
      </c>
      <c r="S326" s="3">
        <f>$D326*TCA!R326/100</f>
        <v>15</v>
      </c>
      <c r="T326" s="3">
        <f>$D326*TCA!S326/100</f>
        <v>0.45</v>
      </c>
      <c r="U326" s="3">
        <f>$D326*TCA!T326/100</f>
        <v>7</v>
      </c>
      <c r="V326" s="3">
        <f>$D326*TCA!U326/100</f>
        <v>10</v>
      </c>
      <c r="W326" s="3">
        <f>$D326*TCA!V326/100</f>
        <v>46</v>
      </c>
      <c r="X326" s="3">
        <f>$D326*TCA!W326/100</f>
        <v>0</v>
      </c>
    </row>
    <row r="327" spans="1:24" x14ac:dyDescent="0.25">
      <c r="A327" s="3" t="s">
        <v>2027</v>
      </c>
      <c r="B327" s="3" t="s">
        <v>645</v>
      </c>
      <c r="C327" s="3" t="s">
        <v>646</v>
      </c>
      <c r="D327" s="3">
        <v>100</v>
      </c>
      <c r="E327" s="3">
        <f>$D327*TCA!E327/100</f>
        <v>113.9</v>
      </c>
      <c r="F327" s="3">
        <f>$D327*TCA!F327/100</f>
        <v>3.1</v>
      </c>
      <c r="G327" s="3">
        <f>$D327*TCA!G327/100</f>
        <v>0.7</v>
      </c>
      <c r="H327" s="3">
        <f>$D327*TCA!H327/100</f>
        <v>23.8</v>
      </c>
      <c r="I327" s="3">
        <f>$D327*TCA!I327/100</f>
        <v>0</v>
      </c>
      <c r="J327" s="3">
        <f>$D327*TCA!J327/100</f>
        <v>0.18</v>
      </c>
      <c r="K327" s="3">
        <f>$D327*TCA!K327/100</f>
        <v>0.34</v>
      </c>
      <c r="L327" s="3">
        <f>$D327*TCA!L327/100</f>
        <v>0.54</v>
      </c>
      <c r="M327" s="3">
        <f>$D327*TCA!M327/100</f>
        <v>0</v>
      </c>
      <c r="N327" s="3">
        <f>$D327*TCA!N327/100</f>
        <v>24</v>
      </c>
      <c r="O327" s="3">
        <f>$D327*TCA!O327/100</f>
        <v>270</v>
      </c>
      <c r="P327" s="3">
        <f t="shared" si="5"/>
        <v>87.096774193548384</v>
      </c>
      <c r="Q327" s="3">
        <f>$D327*TCA!P327/100</f>
        <v>0.5</v>
      </c>
      <c r="R327" s="3">
        <f>$D327*TCA!Q327/100</f>
        <v>270</v>
      </c>
      <c r="S327" s="3">
        <f>$D327*TCA!R327/100</f>
        <v>15</v>
      </c>
      <c r="T327" s="3">
        <f>$D327*TCA!S327/100</f>
        <v>0.45</v>
      </c>
      <c r="U327" s="3">
        <f>$D327*TCA!T327/100</f>
        <v>8</v>
      </c>
      <c r="V327" s="3">
        <f>$D327*TCA!U327/100</f>
        <v>0</v>
      </c>
      <c r="W327" s="3">
        <f>$D327*TCA!V327/100</f>
        <v>0</v>
      </c>
      <c r="X327" s="3">
        <f>$D327*TCA!W327/100</f>
        <v>0</v>
      </c>
    </row>
    <row r="328" spans="1:24" x14ac:dyDescent="0.25">
      <c r="A328" s="3" t="s">
        <v>2027</v>
      </c>
      <c r="B328" s="3" t="s">
        <v>647</v>
      </c>
      <c r="C328" s="3" t="s">
        <v>648</v>
      </c>
      <c r="D328" s="3">
        <v>100</v>
      </c>
      <c r="E328" s="3">
        <f>$D328*TCA!E328/100</f>
        <v>43.1</v>
      </c>
      <c r="F328" s="3">
        <f>$D328*TCA!F328/100</f>
        <v>2.5499999999999998</v>
      </c>
      <c r="G328" s="3">
        <f>$D328*TCA!G328/100</f>
        <v>0.5</v>
      </c>
      <c r="H328" s="3">
        <f>$D328*TCA!H328/100</f>
        <v>7.1</v>
      </c>
      <c r="I328" s="3">
        <f>$D328*TCA!I328/100</f>
        <v>2.6</v>
      </c>
      <c r="J328" s="3">
        <f>$D328*TCA!J328/100</f>
        <v>0.1</v>
      </c>
      <c r="K328" s="3">
        <f>$D328*TCA!K328/100</f>
        <v>0.04</v>
      </c>
      <c r="L328" s="3">
        <f>$D328*TCA!L328/100</f>
        <v>0.26</v>
      </c>
      <c r="M328" s="3">
        <f>$D328*TCA!M328/100</f>
        <v>0</v>
      </c>
      <c r="N328" s="3">
        <f>$D328*TCA!N328/100</f>
        <v>36</v>
      </c>
      <c r="O328" s="3">
        <f>$D328*TCA!O328/100</f>
        <v>56</v>
      </c>
      <c r="P328" s="3">
        <f t="shared" si="5"/>
        <v>21.96078431372549</v>
      </c>
      <c r="Q328" s="3">
        <f>$D328*TCA!P328/100</f>
        <v>1.2</v>
      </c>
      <c r="R328" s="3">
        <f>$D328*TCA!Q328/100</f>
        <v>317</v>
      </c>
      <c r="S328" s="3">
        <f>$D328*TCA!R328/100</f>
        <v>21</v>
      </c>
      <c r="T328" s="3">
        <f>$D328*TCA!S328/100</f>
        <v>0.33</v>
      </c>
      <c r="U328" s="3">
        <f>$D328*TCA!T328/100</f>
        <v>62</v>
      </c>
      <c r="V328" s="3">
        <f>$D328*TCA!U328/100</f>
        <v>39</v>
      </c>
      <c r="W328" s="3">
        <f>$D328*TCA!V328/100</f>
        <v>60</v>
      </c>
      <c r="X328" s="3">
        <f>$D328*TCA!W328/100</f>
        <v>0</v>
      </c>
    </row>
    <row r="329" spans="1:24" x14ac:dyDescent="0.25">
      <c r="A329" s="3" t="s">
        <v>2027</v>
      </c>
      <c r="B329" s="3" t="s">
        <v>649</v>
      </c>
      <c r="C329" s="3" t="s">
        <v>650</v>
      </c>
      <c r="D329" s="3">
        <v>100</v>
      </c>
      <c r="E329" s="3">
        <f>$D329*TCA!E329/100</f>
        <v>52.02</v>
      </c>
      <c r="F329" s="3">
        <f>$D329*TCA!F329/100</f>
        <v>3.38</v>
      </c>
      <c r="G329" s="3">
        <f>$D329*TCA!G329/100</f>
        <v>0.3</v>
      </c>
      <c r="H329" s="3">
        <f>$D329*TCA!H329/100</f>
        <v>8.9499999999999993</v>
      </c>
      <c r="I329" s="3">
        <f>$D329*TCA!I329/100</f>
        <v>3.8</v>
      </c>
      <c r="J329" s="3">
        <f>$D329*TCA!J329/100</f>
        <v>0.06</v>
      </c>
      <c r="K329" s="3">
        <f>$D329*TCA!K329/100</f>
        <v>0.02</v>
      </c>
      <c r="L329" s="3">
        <f>$D329*TCA!L329/100</f>
        <v>0.15</v>
      </c>
      <c r="M329" s="3">
        <f>$D329*TCA!M329/100</f>
        <v>0</v>
      </c>
      <c r="N329" s="3">
        <f>$D329*TCA!N329/100</f>
        <v>42</v>
      </c>
      <c r="O329" s="3">
        <f>$D329*TCA!O329/100</f>
        <v>69</v>
      </c>
      <c r="P329" s="3">
        <f t="shared" si="5"/>
        <v>20.414201183431953</v>
      </c>
      <c r="Q329" s="3">
        <f>$D329*TCA!P329/100</f>
        <v>1.4</v>
      </c>
      <c r="R329" s="3">
        <f>$D329*TCA!Q329/100</f>
        <v>389</v>
      </c>
      <c r="S329" s="3">
        <f>$D329*TCA!R329/100</f>
        <v>25</v>
      </c>
      <c r="T329" s="3">
        <f>$D329*TCA!S329/100</f>
        <v>0.42</v>
      </c>
      <c r="U329" s="3">
        <f>$D329*TCA!T329/100</f>
        <v>85</v>
      </c>
      <c r="V329" s="3">
        <f>$D329*TCA!U329/100</f>
        <v>38</v>
      </c>
      <c r="W329" s="3">
        <f>$D329*TCA!V329/100</f>
        <v>61</v>
      </c>
      <c r="X329" s="3">
        <f>$D329*TCA!W329/100</f>
        <v>0</v>
      </c>
    </row>
    <row r="330" spans="1:24" x14ac:dyDescent="0.25">
      <c r="A330" s="3" t="s">
        <v>2027</v>
      </c>
      <c r="B330" s="3" t="s">
        <v>651</v>
      </c>
      <c r="C330" s="3" t="s">
        <v>652</v>
      </c>
      <c r="D330" s="3">
        <v>100</v>
      </c>
      <c r="E330" s="3">
        <f>$D330*TCA!E330/100</f>
        <v>34.61</v>
      </c>
      <c r="F330" s="3">
        <f>$D330*TCA!F330/100</f>
        <v>1.51</v>
      </c>
      <c r="G330" s="3">
        <f>$D330*TCA!G330/100</f>
        <v>0.09</v>
      </c>
      <c r="H330" s="3">
        <f>$D330*TCA!H330/100</f>
        <v>6.94</v>
      </c>
      <c r="I330" s="3">
        <f>$D330*TCA!I330/100</f>
        <v>2.6</v>
      </c>
      <c r="J330" s="3">
        <f>$D330*TCA!J330/100</f>
        <v>0.01</v>
      </c>
      <c r="K330" s="3">
        <f>$D330*TCA!K330/100</f>
        <v>0.01</v>
      </c>
      <c r="L330" s="3">
        <f>$D330*TCA!L330/100</f>
        <v>0.04</v>
      </c>
      <c r="M330" s="3">
        <f>$D330*TCA!M330/100</f>
        <v>0</v>
      </c>
      <c r="N330" s="3">
        <f>$D330*TCA!N330/100</f>
        <v>42</v>
      </c>
      <c r="O330" s="3">
        <f>$D330*TCA!O330/100</f>
        <v>33</v>
      </c>
      <c r="P330" s="3">
        <f t="shared" si="5"/>
        <v>21.85430463576159</v>
      </c>
      <c r="Q330" s="3">
        <f>$D330*TCA!P330/100</f>
        <v>0.66</v>
      </c>
      <c r="R330" s="3">
        <f>$D330*TCA!Q330/100</f>
        <v>262</v>
      </c>
      <c r="S330" s="3">
        <f>$D330*TCA!R330/100</f>
        <v>28</v>
      </c>
      <c r="T330" s="3">
        <f>$D330*TCA!S330/100</f>
        <v>0.25</v>
      </c>
      <c r="U330" s="3">
        <f>$D330*TCA!T330/100</f>
        <v>34.4</v>
      </c>
      <c r="V330" s="3">
        <f>$D330*TCA!U330/100</f>
        <v>2</v>
      </c>
      <c r="W330" s="3">
        <f>$D330*TCA!V330/100</f>
        <v>24</v>
      </c>
      <c r="X330" s="3">
        <f>$D330*TCA!W330/100</f>
        <v>0</v>
      </c>
    </row>
    <row r="331" spans="1:24" x14ac:dyDescent="0.25">
      <c r="A331" s="3" t="s">
        <v>2027</v>
      </c>
      <c r="B331" s="3" t="s">
        <v>653</v>
      </c>
      <c r="C331" s="3" t="s">
        <v>654</v>
      </c>
      <c r="D331" s="3">
        <v>100</v>
      </c>
      <c r="E331" s="3">
        <f>$D331*TCA!E331/100</f>
        <v>36.64</v>
      </c>
      <c r="F331" s="3">
        <f>$D331*TCA!F331/100</f>
        <v>1.43</v>
      </c>
      <c r="G331" s="3">
        <f>$D331*TCA!G331/100</f>
        <v>0.16</v>
      </c>
      <c r="H331" s="3">
        <f>$D331*TCA!H331/100</f>
        <v>7.37</v>
      </c>
      <c r="I331" s="3">
        <f>$D331*TCA!I331/100</f>
        <v>2.1</v>
      </c>
      <c r="J331" s="3">
        <f>$D331*TCA!J331/100</f>
        <v>0.02</v>
      </c>
      <c r="K331" s="3">
        <f>$D331*TCA!K331/100</f>
        <v>0.01</v>
      </c>
      <c r="L331" s="3">
        <f>$D331*TCA!L331/100</f>
        <v>0.08</v>
      </c>
      <c r="M331" s="3">
        <f>$D331*TCA!M331/100</f>
        <v>0</v>
      </c>
      <c r="N331" s="3">
        <f>$D331*TCA!N331/100</f>
        <v>45</v>
      </c>
      <c r="O331" s="3">
        <f>$D331*TCA!O331/100</f>
        <v>30</v>
      </c>
      <c r="P331" s="3">
        <f t="shared" si="5"/>
        <v>20.97902097902098</v>
      </c>
      <c r="Q331" s="3">
        <f>$D331*TCA!P331/100</f>
        <v>0.8</v>
      </c>
      <c r="R331" s="3">
        <f>$D331*TCA!Q331/100</f>
        <v>243</v>
      </c>
      <c r="S331" s="3">
        <f>$D331*TCA!R331/100</f>
        <v>27</v>
      </c>
      <c r="T331" s="3">
        <f>$D331*TCA!S331/100</f>
        <v>0.22</v>
      </c>
      <c r="U331" s="3">
        <f>$D331*TCA!T331/100</f>
        <v>57</v>
      </c>
      <c r="V331" s="3">
        <f>$D331*TCA!U331/100</f>
        <v>56</v>
      </c>
      <c r="W331" s="3">
        <f>$D331*TCA!V331/100</f>
        <v>18</v>
      </c>
      <c r="X331" s="3">
        <f>$D331*TCA!W331/100</f>
        <v>0</v>
      </c>
    </row>
    <row r="332" spans="1:24" x14ac:dyDescent="0.25">
      <c r="A332" s="3" t="s">
        <v>2027</v>
      </c>
      <c r="B332" s="3" t="s">
        <v>655</v>
      </c>
      <c r="C332" s="3" t="s">
        <v>656</v>
      </c>
      <c r="D332" s="3">
        <v>100</v>
      </c>
      <c r="E332" s="3">
        <f>$D332*TCA!E332/100</f>
        <v>25.79</v>
      </c>
      <c r="F332" s="3">
        <f>$D332*TCA!F332/100</f>
        <v>1.02</v>
      </c>
      <c r="G332" s="3">
        <f>$D332*TCA!G332/100</f>
        <v>0.43</v>
      </c>
      <c r="H332" s="3">
        <f>$D332*TCA!H332/100</f>
        <v>4.46</v>
      </c>
      <c r="I332" s="3">
        <f>$D332*TCA!I332/100</f>
        <v>1.9</v>
      </c>
      <c r="J332" s="3">
        <f>$D332*TCA!J332/100</f>
        <v>0.05</v>
      </c>
      <c r="K332" s="3">
        <f>$D332*TCA!K332/100</f>
        <v>0.03</v>
      </c>
      <c r="L332" s="3">
        <f>$D332*TCA!L332/100</f>
        <v>0.2</v>
      </c>
      <c r="M332" s="3">
        <f>$D332*TCA!M332/100</f>
        <v>0</v>
      </c>
      <c r="N332" s="3">
        <f>$D332*TCA!N332/100</f>
        <v>31</v>
      </c>
      <c r="O332" s="3">
        <f>$D332*TCA!O332/100</f>
        <v>15</v>
      </c>
      <c r="P332" s="3">
        <f t="shared" si="5"/>
        <v>14.705882352941176</v>
      </c>
      <c r="Q332" s="3">
        <f>$D332*TCA!P332/100</f>
        <v>0.17</v>
      </c>
      <c r="R332" s="3">
        <f>$D332*TCA!Q332/100</f>
        <v>97</v>
      </c>
      <c r="S332" s="3">
        <f>$D332*TCA!R332/100</f>
        <v>8</v>
      </c>
      <c r="T332" s="3">
        <f>$D332*TCA!S332/100</f>
        <v>0.09</v>
      </c>
      <c r="U332" s="3">
        <f>$D332*TCA!T332/100</f>
        <v>20</v>
      </c>
      <c r="V332" s="3">
        <f>$D332*TCA!U332/100</f>
        <v>7</v>
      </c>
      <c r="W332" s="3">
        <f>$D332*TCA!V332/100</f>
        <v>20</v>
      </c>
      <c r="X332" s="3">
        <f>$D332*TCA!W332/100</f>
        <v>0</v>
      </c>
    </row>
    <row r="333" spans="1:24" x14ac:dyDescent="0.25">
      <c r="A333" s="3" t="s">
        <v>2027</v>
      </c>
      <c r="B333" s="3" t="s">
        <v>657</v>
      </c>
      <c r="C333" s="3" t="s">
        <v>658</v>
      </c>
      <c r="D333" s="3">
        <v>100</v>
      </c>
      <c r="E333" s="3">
        <f>$D333*TCA!E333/100</f>
        <v>27.94</v>
      </c>
      <c r="F333" s="3">
        <f>$D333*TCA!F333/100</f>
        <v>1.21</v>
      </c>
      <c r="G333" s="3">
        <f>$D333*TCA!G333/100</f>
        <v>0.18</v>
      </c>
      <c r="H333" s="3">
        <f>$D333*TCA!H333/100</f>
        <v>5.37</v>
      </c>
      <c r="I333" s="3">
        <f>$D333*TCA!I333/100</f>
        <v>2.2999999999999998</v>
      </c>
      <c r="J333" s="3">
        <f>$D333*TCA!J333/100</f>
        <v>0.02</v>
      </c>
      <c r="K333" s="3">
        <f>$D333*TCA!K333/100</f>
        <v>0.01</v>
      </c>
      <c r="L333" s="3">
        <f>$D333*TCA!L333/100</f>
        <v>0.09</v>
      </c>
      <c r="M333" s="3">
        <f>$D333*TCA!M333/100</f>
        <v>0</v>
      </c>
      <c r="N333" s="3">
        <f>$D333*TCA!N333/100</f>
        <v>47</v>
      </c>
      <c r="O333" s="3">
        <f>$D333*TCA!O333/100</f>
        <v>23</v>
      </c>
      <c r="P333" s="3">
        <f t="shared" si="5"/>
        <v>19.008264462809919</v>
      </c>
      <c r="Q333" s="3">
        <f>$D333*TCA!P333/100</f>
        <v>0.56000000000000005</v>
      </c>
      <c r="R333" s="3">
        <f>$D333*TCA!Q333/100</f>
        <v>246</v>
      </c>
      <c r="S333" s="3">
        <f>$D333*TCA!R333/100</f>
        <v>18</v>
      </c>
      <c r="T333" s="3">
        <f>$D333*TCA!S333/100</f>
        <v>0.18</v>
      </c>
      <c r="U333" s="3">
        <f>$D333*TCA!T333/100</f>
        <v>51</v>
      </c>
      <c r="V333" s="3">
        <f>$D333*TCA!U333/100</f>
        <v>6</v>
      </c>
      <c r="W333" s="3">
        <f>$D333*TCA!V333/100</f>
        <v>57</v>
      </c>
      <c r="X333" s="3">
        <f>$D333*TCA!W333/100</f>
        <v>0</v>
      </c>
    </row>
    <row r="334" spans="1:24" x14ac:dyDescent="0.25">
      <c r="A334" s="3" t="s">
        <v>2027</v>
      </c>
      <c r="B334" s="3" t="s">
        <v>659</v>
      </c>
      <c r="C334" s="3" t="s">
        <v>660</v>
      </c>
      <c r="D334" s="3">
        <v>100</v>
      </c>
      <c r="E334" s="3">
        <f>$D334*TCA!E334/100</f>
        <v>30.02</v>
      </c>
      <c r="F334" s="3">
        <f>$D334*TCA!F334/100</f>
        <v>1.98</v>
      </c>
      <c r="G334" s="3">
        <f>$D334*TCA!G334/100</f>
        <v>0.1</v>
      </c>
      <c r="H334" s="3">
        <f>$D334*TCA!H334/100</f>
        <v>5.3</v>
      </c>
      <c r="I334" s="3">
        <f>$D334*TCA!I334/100</f>
        <v>2.5</v>
      </c>
      <c r="J334" s="3">
        <f>$D334*TCA!J334/100</f>
        <v>0.03</v>
      </c>
      <c r="K334" s="3">
        <f>$D334*TCA!K334/100</f>
        <v>0.01</v>
      </c>
      <c r="L334" s="3">
        <f>$D334*TCA!L334/100</f>
        <v>0.1</v>
      </c>
      <c r="M334" s="3">
        <f>$D334*TCA!M334/100</f>
        <v>0</v>
      </c>
      <c r="N334" s="3">
        <f>$D334*TCA!N334/100</f>
        <v>22</v>
      </c>
      <c r="O334" s="3">
        <f>$D334*TCA!O334/100</f>
        <v>44</v>
      </c>
      <c r="P334" s="3">
        <f t="shared" si="5"/>
        <v>22.222222222222221</v>
      </c>
      <c r="Q334" s="3">
        <f>$D334*TCA!P334/100</f>
        <v>0.44</v>
      </c>
      <c r="R334" s="3">
        <f>$D334*TCA!Q334/100</f>
        <v>303</v>
      </c>
      <c r="S334" s="3">
        <f>$D334*TCA!R334/100</f>
        <v>30</v>
      </c>
      <c r="T334" s="3">
        <f>$D334*TCA!S334/100</f>
        <v>0.28000000000000003</v>
      </c>
      <c r="U334" s="3">
        <f>$D334*TCA!T334/100</f>
        <v>46</v>
      </c>
      <c r="V334" s="3">
        <f>$D334*TCA!U334/100</f>
        <v>1</v>
      </c>
      <c r="W334" s="3">
        <f>$D334*TCA!V334/100</f>
        <v>57</v>
      </c>
      <c r="X334" s="3">
        <f>$D334*TCA!W334/100</f>
        <v>0</v>
      </c>
    </row>
    <row r="335" spans="1:24" x14ac:dyDescent="0.25">
      <c r="A335" s="3" t="s">
        <v>2027</v>
      </c>
      <c r="B335" s="3" t="s">
        <v>661</v>
      </c>
      <c r="C335" s="3" t="s">
        <v>662</v>
      </c>
      <c r="D335" s="3">
        <v>100</v>
      </c>
      <c r="E335" s="3">
        <f>$D335*TCA!E335/100</f>
        <v>27.85</v>
      </c>
      <c r="F335" s="3">
        <f>$D335*TCA!F335/100</f>
        <v>1.84</v>
      </c>
      <c r="G335" s="3">
        <f>$D335*TCA!G335/100</f>
        <v>0.45</v>
      </c>
      <c r="H335" s="3">
        <f>$D335*TCA!H335/100</f>
        <v>4.1100000000000003</v>
      </c>
      <c r="I335" s="3">
        <f>$D335*TCA!I335/100</f>
        <v>2.7</v>
      </c>
      <c r="J335" s="3">
        <f>$D335*TCA!J335/100</f>
        <v>7.0000000000000007E-2</v>
      </c>
      <c r="K335" s="3">
        <f>$D335*TCA!K335/100</f>
        <v>0.03</v>
      </c>
      <c r="L335" s="3">
        <f>$D335*TCA!L335/100</f>
        <v>0.22</v>
      </c>
      <c r="M335" s="3">
        <f>$D335*TCA!M335/100</f>
        <v>0</v>
      </c>
      <c r="N335" s="3">
        <f>$D335*TCA!N335/100</f>
        <v>16</v>
      </c>
      <c r="O335" s="3">
        <f>$D335*TCA!O335/100</f>
        <v>32</v>
      </c>
      <c r="P335" s="3">
        <f t="shared" si="5"/>
        <v>17.391304347826086</v>
      </c>
      <c r="Q335" s="3">
        <f>$D335*TCA!P335/100</f>
        <v>0.33</v>
      </c>
      <c r="R335" s="3">
        <f>$D335*TCA!Q335/100</f>
        <v>142</v>
      </c>
      <c r="S335" s="3">
        <f>$D335*TCA!R335/100</f>
        <v>15</v>
      </c>
      <c r="T335" s="3">
        <f>$D335*TCA!S335/100</f>
        <v>0.18</v>
      </c>
      <c r="U335" s="3">
        <f>$D335*TCA!T335/100</f>
        <v>44</v>
      </c>
      <c r="V335" s="3">
        <f>$D335*TCA!U335/100</f>
        <v>1</v>
      </c>
      <c r="W335" s="3">
        <f>$D335*TCA!V335/100</f>
        <v>44</v>
      </c>
      <c r="X335" s="3">
        <f>$D335*TCA!W335/100</f>
        <v>0</v>
      </c>
    </row>
    <row r="336" spans="1:24" x14ac:dyDescent="0.25">
      <c r="A336" s="3" t="s">
        <v>2027</v>
      </c>
      <c r="B336" s="3" t="s">
        <v>663</v>
      </c>
      <c r="C336" s="3" t="s">
        <v>664</v>
      </c>
      <c r="D336" s="3">
        <v>100</v>
      </c>
      <c r="E336" s="3">
        <f>$D336*TCA!E336/100</f>
        <v>12.4</v>
      </c>
      <c r="F336" s="3">
        <f>$D336*TCA!F336/100</f>
        <v>2.02</v>
      </c>
      <c r="G336" s="3">
        <f>$D336*TCA!G336/100</f>
        <v>0.48</v>
      </c>
      <c r="H336" s="3">
        <f>$D336*TCA!H336/100</f>
        <v>0</v>
      </c>
      <c r="I336" s="3">
        <f>$D336*TCA!I336/100</f>
        <v>2.81</v>
      </c>
      <c r="J336" s="3">
        <f>$D336*TCA!J336/100</f>
        <v>0</v>
      </c>
      <c r="K336" s="3">
        <f>$D336*TCA!K336/100</f>
        <v>0</v>
      </c>
      <c r="L336" s="3">
        <f>$D336*TCA!L336/100</f>
        <v>0</v>
      </c>
      <c r="M336" s="3">
        <f>$D336*TCA!M336/100</f>
        <v>0</v>
      </c>
      <c r="N336" s="3">
        <f>$D336*TCA!N336/100</f>
        <v>67</v>
      </c>
      <c r="O336" s="3">
        <f>$D336*TCA!O336/100</f>
        <v>54</v>
      </c>
      <c r="P336" s="3">
        <f t="shared" si="5"/>
        <v>26.732673267326732</v>
      </c>
      <c r="Q336" s="3">
        <f>$D336*TCA!P336/100</f>
        <v>1.68</v>
      </c>
      <c r="R336" s="3">
        <f>$D336*TCA!Q336/100</f>
        <v>510</v>
      </c>
      <c r="S336" s="3">
        <f>$D336*TCA!R336/100</f>
        <v>54</v>
      </c>
      <c r="T336" s="3">
        <f>$D336*TCA!S336/100</f>
        <v>0.05</v>
      </c>
      <c r="U336" s="3">
        <f>$D336*TCA!T336/100</f>
        <v>35.299999999999997</v>
      </c>
      <c r="V336" s="3">
        <f>$D336*TCA!U336/100</f>
        <v>6130</v>
      </c>
      <c r="W336" s="3">
        <f>$D336*TCA!V336/100</f>
        <v>0</v>
      </c>
      <c r="X336" s="3">
        <f>$D336*TCA!W336/100</f>
        <v>0</v>
      </c>
    </row>
    <row r="337" spans="1:24" x14ac:dyDescent="0.25">
      <c r="A337" s="3" t="s">
        <v>2027</v>
      </c>
      <c r="B337" s="3" t="s">
        <v>665</v>
      </c>
      <c r="C337" s="3" t="s">
        <v>666</v>
      </c>
      <c r="D337" s="3">
        <v>100</v>
      </c>
      <c r="E337" s="3">
        <f>$D337*TCA!E337/100</f>
        <v>25.4</v>
      </c>
      <c r="F337" s="3">
        <f>$D337*TCA!F337/100</f>
        <v>2.2000000000000002</v>
      </c>
      <c r="G337" s="3">
        <f>$D337*TCA!G337/100</f>
        <v>0.12</v>
      </c>
      <c r="H337" s="3">
        <f>$D337*TCA!H337/100</f>
        <v>3.88</v>
      </c>
      <c r="I337" s="3">
        <f>$D337*TCA!I337/100</f>
        <v>2.1</v>
      </c>
      <c r="J337" s="3">
        <f>$D337*TCA!J337/100</f>
        <v>0.05</v>
      </c>
      <c r="K337" s="3">
        <f>$D337*TCA!K337/100</f>
        <v>0.01</v>
      </c>
      <c r="L337" s="3">
        <f>$D337*TCA!L337/100</f>
        <v>0.09</v>
      </c>
      <c r="M337" s="3">
        <f>$D337*TCA!M337/100</f>
        <v>0</v>
      </c>
      <c r="N337" s="3">
        <f>$D337*TCA!N337/100</f>
        <v>24</v>
      </c>
      <c r="O337" s="3">
        <f>$D337*TCA!O337/100</f>
        <v>52</v>
      </c>
      <c r="P337" s="3">
        <f t="shared" si="5"/>
        <v>23.636363636363633</v>
      </c>
      <c r="Q337" s="3">
        <f>$D337*TCA!P337/100</f>
        <v>2.14</v>
      </c>
      <c r="R337" s="3">
        <f>$D337*TCA!Q337/100</f>
        <v>202</v>
      </c>
      <c r="S337" s="3">
        <f>$D337*TCA!R337/100</f>
        <v>2</v>
      </c>
      <c r="T337" s="3">
        <f>$D337*TCA!S337/100</f>
        <v>0.54</v>
      </c>
      <c r="U337" s="3">
        <f>$D337*TCA!T337/100</f>
        <v>6</v>
      </c>
      <c r="V337" s="3">
        <f>$D337*TCA!U337/100</f>
        <v>38</v>
      </c>
      <c r="W337" s="3">
        <f>$D337*TCA!V337/100</f>
        <v>52</v>
      </c>
      <c r="X337" s="3">
        <f>$D337*TCA!W337/100</f>
        <v>0</v>
      </c>
    </row>
    <row r="338" spans="1:24" x14ac:dyDescent="0.25">
      <c r="A338" s="3" t="s">
        <v>2027</v>
      </c>
      <c r="B338" s="3" t="s">
        <v>667</v>
      </c>
      <c r="C338" s="3" t="s">
        <v>668</v>
      </c>
      <c r="D338" s="3">
        <v>100</v>
      </c>
      <c r="E338" s="3">
        <f>$D338*TCA!E338/100</f>
        <v>18.739999999999998</v>
      </c>
      <c r="F338" s="3">
        <f>$D338*TCA!F338/100</f>
        <v>1.8</v>
      </c>
      <c r="G338" s="3">
        <f>$D338*TCA!G338/100</f>
        <v>0.18</v>
      </c>
      <c r="H338" s="3">
        <f>$D338*TCA!H338/100</f>
        <v>2.48</v>
      </c>
      <c r="I338" s="3">
        <f>$D338*TCA!I338/100</f>
        <v>1</v>
      </c>
      <c r="J338" s="3">
        <f>$D338*TCA!J338/100</f>
        <v>0.04</v>
      </c>
      <c r="K338" s="3">
        <f>$D338*TCA!K338/100</f>
        <v>0.01</v>
      </c>
      <c r="L338" s="3">
        <f>$D338*TCA!L338/100</f>
        <v>0.09</v>
      </c>
      <c r="M338" s="3">
        <f>$D338*TCA!M338/100</f>
        <v>0</v>
      </c>
      <c r="N338" s="3">
        <f>$D338*TCA!N338/100</f>
        <v>15</v>
      </c>
      <c r="O338" s="3">
        <f>$D338*TCA!O338/100</f>
        <v>38</v>
      </c>
      <c r="P338" s="3">
        <f t="shared" si="5"/>
        <v>21.111111111111111</v>
      </c>
      <c r="Q338" s="3">
        <f>$D338*TCA!P338/100</f>
        <v>0.6</v>
      </c>
      <c r="R338" s="3">
        <f>$D338*TCA!Q338/100</f>
        <v>172</v>
      </c>
      <c r="S338" s="3">
        <f>$D338*TCA!R338/100</f>
        <v>284</v>
      </c>
      <c r="T338" s="3">
        <f>$D338*TCA!S338/100</f>
        <v>0.47</v>
      </c>
      <c r="U338" s="3">
        <f>$D338*TCA!T338/100</f>
        <v>16.5</v>
      </c>
      <c r="V338" s="3">
        <f>$D338*TCA!U338/100</f>
        <v>157.80000000000001</v>
      </c>
      <c r="W338" s="3">
        <f>$D338*TCA!V338/100</f>
        <v>85</v>
      </c>
      <c r="X338" s="3">
        <f>$D338*TCA!W338/100</f>
        <v>0</v>
      </c>
    </row>
    <row r="339" spans="1:24" x14ac:dyDescent="0.25">
      <c r="A339" s="3" t="s">
        <v>2027</v>
      </c>
      <c r="B339" s="3" t="s">
        <v>669</v>
      </c>
      <c r="C339" s="3" t="s">
        <v>670</v>
      </c>
      <c r="D339" s="3">
        <v>100</v>
      </c>
      <c r="E339" s="3">
        <f>$D339*TCA!E339/100</f>
        <v>28.02</v>
      </c>
      <c r="F339" s="3">
        <f>$D339*TCA!F339/100</f>
        <v>2.4</v>
      </c>
      <c r="G339" s="3">
        <f>$D339*TCA!G339/100</f>
        <v>0.22</v>
      </c>
      <c r="H339" s="3">
        <f>$D339*TCA!H339/100</f>
        <v>4.1100000000000003</v>
      </c>
      <c r="I339" s="3">
        <f>$D339*TCA!I339/100</f>
        <v>2</v>
      </c>
      <c r="J339" s="3">
        <f>$D339*TCA!J339/100</f>
        <v>0.05</v>
      </c>
      <c r="K339" s="3">
        <f>$D339*TCA!K339/100</f>
        <v>0</v>
      </c>
      <c r="L339" s="3">
        <f>$D339*TCA!L339/100</f>
        <v>0.11</v>
      </c>
      <c r="M339" s="3">
        <f>$D339*TCA!M339/100</f>
        <v>0</v>
      </c>
      <c r="N339" s="3">
        <f>$D339*TCA!N339/100</f>
        <v>23</v>
      </c>
      <c r="O339" s="3">
        <f>$D339*TCA!O339/100</f>
        <v>54</v>
      </c>
      <c r="P339" s="3">
        <f t="shared" si="5"/>
        <v>22.5</v>
      </c>
      <c r="Q339" s="3">
        <f>$D339*TCA!P339/100</f>
        <v>0.91</v>
      </c>
      <c r="R339" s="3">
        <f>$D339*TCA!Q339/100</f>
        <v>224</v>
      </c>
      <c r="S339" s="3">
        <f>$D339*TCA!R339/100</f>
        <v>14</v>
      </c>
      <c r="T339" s="3">
        <f>$D339*TCA!S339/100</f>
        <v>0.6</v>
      </c>
      <c r="U339" s="3">
        <f>$D339*TCA!T339/100</f>
        <v>7.7</v>
      </c>
      <c r="V339" s="3">
        <f>$D339*TCA!U339/100</f>
        <v>50</v>
      </c>
      <c r="W339" s="3">
        <f>$D339*TCA!V339/100</f>
        <v>149</v>
      </c>
      <c r="X339" s="3">
        <f>$D339*TCA!W339/100</f>
        <v>0</v>
      </c>
    </row>
    <row r="340" spans="1:24" x14ac:dyDescent="0.25">
      <c r="A340" s="3" t="s">
        <v>2027</v>
      </c>
      <c r="B340" s="3" t="s">
        <v>671</v>
      </c>
      <c r="C340" s="3" t="s">
        <v>672</v>
      </c>
      <c r="D340" s="3">
        <v>100</v>
      </c>
      <c r="E340" s="3">
        <f>$D340*TCA!E340/100</f>
        <v>29.47</v>
      </c>
      <c r="F340" s="3">
        <f>$D340*TCA!F340/100</f>
        <v>2.86</v>
      </c>
      <c r="G340" s="3">
        <f>$D340*TCA!G340/100</f>
        <v>0.39</v>
      </c>
      <c r="H340" s="3">
        <f>$D340*TCA!H340/100</f>
        <v>3.63</v>
      </c>
      <c r="I340" s="3">
        <f>$D340*TCA!I340/100</f>
        <v>2.2000000000000002</v>
      </c>
      <c r="J340" s="3">
        <f>$D340*TCA!J340/100</f>
        <v>0.06</v>
      </c>
      <c r="K340" s="3">
        <f>$D340*TCA!K340/100</f>
        <v>0.01</v>
      </c>
      <c r="L340" s="3">
        <f>$D340*TCA!L340/100</f>
        <v>0.17</v>
      </c>
      <c r="M340" s="3">
        <f>$D340*TCA!M340/100</f>
        <v>0</v>
      </c>
      <c r="N340" s="3">
        <f>$D340*TCA!N340/100</f>
        <v>99</v>
      </c>
      <c r="O340" s="3">
        <f>$D340*TCA!O340/100</f>
        <v>49</v>
      </c>
      <c r="P340" s="3">
        <f t="shared" si="5"/>
        <v>17.132867132867133</v>
      </c>
      <c r="Q340" s="3">
        <f>$D340*TCA!P340/100</f>
        <v>2.71</v>
      </c>
      <c r="R340" s="3">
        <f>$D340*TCA!Q340/100</f>
        <v>558</v>
      </c>
      <c r="S340" s="3">
        <f>$D340*TCA!R340/100</f>
        <v>79</v>
      </c>
      <c r="T340" s="3">
        <f>$D340*TCA!S340/100</f>
        <v>0.53</v>
      </c>
      <c r="U340" s="3">
        <f>$D340*TCA!T340/100</f>
        <v>28</v>
      </c>
      <c r="V340" s="3">
        <f>$D340*TCA!U340/100</f>
        <v>469</v>
      </c>
      <c r="W340" s="3">
        <f>$D340*TCA!V340/100</f>
        <v>194</v>
      </c>
      <c r="X340" s="3">
        <f>$D340*TCA!W340/100</f>
        <v>0</v>
      </c>
    </row>
    <row r="341" spans="1:24" x14ac:dyDescent="0.25">
      <c r="A341" s="3" t="s">
        <v>2027</v>
      </c>
      <c r="B341" s="3" t="s">
        <v>673</v>
      </c>
      <c r="C341" s="3" t="s">
        <v>674</v>
      </c>
      <c r="D341" s="3">
        <v>100</v>
      </c>
      <c r="E341" s="3">
        <f>$D341*TCA!E341/100</f>
        <v>29.22</v>
      </c>
      <c r="F341" s="3">
        <f>$D341*TCA!F341/100</f>
        <v>2.97</v>
      </c>
      <c r="G341" s="3">
        <f>$D341*TCA!G341/100</f>
        <v>0.26</v>
      </c>
      <c r="H341" s="3">
        <f>$D341*TCA!H341/100</f>
        <v>3.75</v>
      </c>
      <c r="I341" s="3">
        <f>$D341*TCA!I341/100</f>
        <v>2.4</v>
      </c>
      <c r="J341" s="3">
        <f>$D341*TCA!J341/100</f>
        <v>0.04</v>
      </c>
      <c r="K341" s="3">
        <f>$D341*TCA!K341/100</f>
        <v>0.01</v>
      </c>
      <c r="L341" s="3">
        <f>$D341*TCA!L341/100</f>
        <v>0.11</v>
      </c>
      <c r="M341" s="3">
        <f>$D341*TCA!M341/100</f>
        <v>0</v>
      </c>
      <c r="N341" s="3">
        <f>$D341*TCA!N341/100</f>
        <v>136</v>
      </c>
      <c r="O341" s="3">
        <f>$D341*TCA!O341/100</f>
        <v>56</v>
      </c>
      <c r="P341" s="3">
        <f t="shared" si="5"/>
        <v>18.855218855218855</v>
      </c>
      <c r="Q341" s="3">
        <f>$D341*TCA!P341/100</f>
        <v>3.57</v>
      </c>
      <c r="R341" s="3">
        <f>$D341*TCA!Q341/100</f>
        <v>466</v>
      </c>
      <c r="S341" s="3">
        <f>$D341*TCA!R341/100</f>
        <v>70</v>
      </c>
      <c r="T341" s="3">
        <f>$D341*TCA!S341/100</f>
        <v>0.76</v>
      </c>
      <c r="U341" s="3">
        <f>$D341*TCA!T341/100</f>
        <v>10</v>
      </c>
      <c r="V341" s="3">
        <f>$D341*TCA!U341/100</f>
        <v>524</v>
      </c>
      <c r="W341" s="3">
        <f>$D341*TCA!V341/100</f>
        <v>146</v>
      </c>
      <c r="X341" s="3">
        <f>$D341*TCA!W341/100</f>
        <v>0</v>
      </c>
    </row>
    <row r="342" spans="1:24" x14ac:dyDescent="0.25">
      <c r="A342" s="3" t="s">
        <v>2027</v>
      </c>
      <c r="B342" s="3" t="s">
        <v>675</v>
      </c>
      <c r="C342" s="3" t="s">
        <v>676</v>
      </c>
      <c r="D342" s="3">
        <v>100</v>
      </c>
      <c r="E342" s="3">
        <f>$D342*TCA!E342/100</f>
        <v>162.6</v>
      </c>
      <c r="F342" s="3">
        <f>$D342*TCA!F342/100</f>
        <v>9.6999999999999993</v>
      </c>
      <c r="G342" s="3">
        <f>$D342*TCA!G342/100</f>
        <v>0.6</v>
      </c>
      <c r="H342" s="3">
        <f>$D342*TCA!H342/100</f>
        <v>29.6</v>
      </c>
      <c r="I342" s="3">
        <f>$D342*TCA!I342/100</f>
        <v>14</v>
      </c>
      <c r="J342" s="3">
        <f>$D342*TCA!J342/100</f>
        <v>0</v>
      </c>
      <c r="K342" s="3">
        <f>$D342*TCA!K342/100</f>
        <v>0</v>
      </c>
      <c r="L342" s="3">
        <f>$D342*TCA!L342/100</f>
        <v>0</v>
      </c>
      <c r="M342" s="3">
        <f>$D342*TCA!M342/100</f>
        <v>0</v>
      </c>
      <c r="N342" s="3">
        <f>$D342*TCA!N342/100</f>
        <v>60</v>
      </c>
      <c r="O342" s="3">
        <f>$D342*TCA!O342/100</f>
        <v>287</v>
      </c>
      <c r="P342" s="3">
        <f t="shared" si="5"/>
        <v>29.587628865979383</v>
      </c>
      <c r="Q342" s="3">
        <f>$D342*TCA!P342/100</f>
        <v>2.1800000000000002</v>
      </c>
      <c r="R342" s="3">
        <f>$D342*TCA!Q342/100</f>
        <v>0</v>
      </c>
      <c r="S342" s="3">
        <f>$D342*TCA!R342/100</f>
        <v>3</v>
      </c>
      <c r="T342" s="3">
        <f>$D342*TCA!S342/100</f>
        <v>0</v>
      </c>
      <c r="U342" s="3">
        <f>$D342*TCA!T342/100</f>
        <v>5.22</v>
      </c>
      <c r="V342" s="3">
        <f>$D342*TCA!U342/100</f>
        <v>0</v>
      </c>
      <c r="W342" s="3">
        <f>$D342*TCA!V342/100</f>
        <v>0</v>
      </c>
      <c r="X342" s="3">
        <f>$D342*TCA!W342/100</f>
        <v>0</v>
      </c>
    </row>
    <row r="343" spans="1:24" x14ac:dyDescent="0.25">
      <c r="A343" s="3" t="s">
        <v>2027</v>
      </c>
      <c r="B343" s="3" t="s">
        <v>677</v>
      </c>
      <c r="C343" s="3" t="s">
        <v>678</v>
      </c>
      <c r="D343" s="3">
        <v>100</v>
      </c>
      <c r="E343" s="3">
        <f>$D343*TCA!E343/100</f>
        <v>153.1</v>
      </c>
      <c r="F343" s="3">
        <f>$D343*TCA!F343/100</f>
        <v>9.8000000000000007</v>
      </c>
      <c r="G343" s="3">
        <f>$D343*TCA!G343/100</f>
        <v>0.3</v>
      </c>
      <c r="H343" s="3">
        <f>$D343*TCA!H343/100</f>
        <v>27.8</v>
      </c>
      <c r="I343" s="3">
        <f>$D343*TCA!I343/100</f>
        <v>0</v>
      </c>
      <c r="J343" s="3">
        <f>$D343*TCA!J343/100</f>
        <v>0</v>
      </c>
      <c r="K343" s="3">
        <f>$D343*TCA!K343/100</f>
        <v>0</v>
      </c>
      <c r="L343" s="3">
        <f>$D343*TCA!L343/100</f>
        <v>0</v>
      </c>
      <c r="M343" s="3">
        <f>$D343*TCA!M343/100</f>
        <v>0</v>
      </c>
      <c r="N343" s="3">
        <f>$D343*TCA!N343/100</f>
        <v>59</v>
      </c>
      <c r="O343" s="3">
        <f>$D343*TCA!O343/100</f>
        <v>213</v>
      </c>
      <c r="P343" s="3">
        <f t="shared" si="5"/>
        <v>21.73469387755102</v>
      </c>
      <c r="Q343" s="3">
        <f>$D343*TCA!P343/100</f>
        <v>3.6</v>
      </c>
      <c r="R343" s="3">
        <f>$D343*TCA!Q343/100</f>
        <v>0</v>
      </c>
      <c r="S343" s="3">
        <f>$D343*TCA!R343/100</f>
        <v>0</v>
      </c>
      <c r="T343" s="3">
        <f>$D343*TCA!S343/100</f>
        <v>0</v>
      </c>
      <c r="U343" s="3">
        <f>$D343*TCA!T343/100</f>
        <v>7</v>
      </c>
      <c r="V343" s="3">
        <f>$D343*TCA!U343/100</f>
        <v>12</v>
      </c>
      <c r="W343" s="3">
        <f>$D343*TCA!V343/100</f>
        <v>0</v>
      </c>
      <c r="X343" s="3">
        <f>$D343*TCA!W343/100</f>
        <v>0</v>
      </c>
    </row>
    <row r="344" spans="1:24" x14ac:dyDescent="0.25">
      <c r="A344" s="3" t="s">
        <v>2027</v>
      </c>
      <c r="B344" s="3" t="s">
        <v>679</v>
      </c>
      <c r="C344" s="3" t="s">
        <v>680</v>
      </c>
      <c r="D344" s="3">
        <v>100</v>
      </c>
      <c r="E344" s="3">
        <f>$D344*TCA!E344/100</f>
        <v>74.599999999999994</v>
      </c>
      <c r="F344" s="3">
        <f>$D344*TCA!F344/100</f>
        <v>5.6</v>
      </c>
      <c r="G344" s="3">
        <f>$D344*TCA!G344/100</f>
        <v>0.6</v>
      </c>
      <c r="H344" s="3">
        <f>$D344*TCA!H344/100</f>
        <v>11.7</v>
      </c>
      <c r="I344" s="3">
        <f>$D344*TCA!I344/100</f>
        <v>4.2</v>
      </c>
      <c r="J344" s="3">
        <f>$D344*TCA!J344/100</f>
        <v>0.14000000000000001</v>
      </c>
      <c r="K344" s="3">
        <f>$D344*TCA!K344/100</f>
        <v>0.02</v>
      </c>
      <c r="L344" s="3">
        <f>$D344*TCA!L344/100</f>
        <v>0.31</v>
      </c>
      <c r="M344" s="3">
        <f>$D344*TCA!M344/100</f>
        <v>0</v>
      </c>
      <c r="N344" s="3">
        <f>$D344*TCA!N344/100</f>
        <v>22</v>
      </c>
      <c r="O344" s="3">
        <f>$D344*TCA!O344/100</f>
        <v>95</v>
      </c>
      <c r="P344" s="3">
        <f t="shared" si="5"/>
        <v>16.964285714285715</v>
      </c>
      <c r="Q344" s="3">
        <f>$D344*TCA!P344/100</f>
        <v>1.9</v>
      </c>
      <c r="R344" s="3">
        <f>$D344*TCA!Q344/100</f>
        <v>250</v>
      </c>
      <c r="S344" s="3">
        <f>$D344*TCA!R344/100</f>
        <v>50</v>
      </c>
      <c r="T344" s="3">
        <f>$D344*TCA!S344/100</f>
        <v>0.57999999999999996</v>
      </c>
      <c r="U344" s="3">
        <f>$D344*TCA!T344/100</f>
        <v>33</v>
      </c>
      <c r="V344" s="3">
        <f>$D344*TCA!U344/100</f>
        <v>18</v>
      </c>
      <c r="W344" s="3">
        <f>$D344*TCA!V344/100</f>
        <v>96</v>
      </c>
      <c r="X344" s="3">
        <f>$D344*TCA!W344/100</f>
        <v>0</v>
      </c>
    </row>
    <row r="345" spans="1:24" x14ac:dyDescent="0.25">
      <c r="A345" s="3" t="s">
        <v>2027</v>
      </c>
      <c r="B345" s="3" t="s">
        <v>681</v>
      </c>
      <c r="C345" s="3" t="s">
        <v>682</v>
      </c>
      <c r="D345" s="3">
        <v>100</v>
      </c>
      <c r="E345" s="3">
        <f>$D345*TCA!E345/100</f>
        <v>34.07</v>
      </c>
      <c r="F345" s="3">
        <f>$D345*TCA!F345/100</f>
        <v>2.17</v>
      </c>
      <c r="G345" s="3">
        <f>$D345*TCA!G345/100</f>
        <v>0.47</v>
      </c>
      <c r="H345" s="3">
        <f>$D345*TCA!H345/100</f>
        <v>5.29</v>
      </c>
      <c r="I345" s="3">
        <f>$D345*TCA!I345/100</f>
        <v>2.2000000000000002</v>
      </c>
      <c r="J345" s="3">
        <f>$D345*TCA!J345/100</f>
        <v>0.06</v>
      </c>
      <c r="K345" s="3">
        <f>$D345*TCA!K345/100</f>
        <v>0.01</v>
      </c>
      <c r="L345" s="3">
        <f>$D345*TCA!L345/100</f>
        <v>0.18</v>
      </c>
      <c r="M345" s="3">
        <f>$D345*TCA!M345/100</f>
        <v>0</v>
      </c>
      <c r="N345" s="3">
        <f>$D345*TCA!N345/100</f>
        <v>6</v>
      </c>
      <c r="O345" s="3">
        <f>$D345*TCA!O345/100</f>
        <v>87</v>
      </c>
      <c r="P345" s="3">
        <f t="shared" si="5"/>
        <v>40.092165898617516</v>
      </c>
      <c r="Q345" s="3">
        <f>$D345*TCA!P345/100</f>
        <v>1.74</v>
      </c>
      <c r="R345" s="3">
        <f>$D345*TCA!Q345/100</f>
        <v>356</v>
      </c>
      <c r="S345" s="3">
        <f>$D345*TCA!R345/100</f>
        <v>2</v>
      </c>
      <c r="T345" s="3">
        <f>$D345*TCA!S345/100</f>
        <v>0.87</v>
      </c>
      <c r="U345" s="3">
        <f>$D345*TCA!T345/100</f>
        <v>4</v>
      </c>
      <c r="V345" s="3">
        <f>$D345*TCA!U345/100</f>
        <v>0</v>
      </c>
      <c r="W345" s="3">
        <f>$D345*TCA!V345/100</f>
        <v>18</v>
      </c>
      <c r="X345" s="3">
        <f>$D345*TCA!W345/100</f>
        <v>0</v>
      </c>
    </row>
    <row r="346" spans="1:24" x14ac:dyDescent="0.25">
      <c r="A346" s="3" t="s">
        <v>2027</v>
      </c>
      <c r="B346" s="3" t="s">
        <v>683</v>
      </c>
      <c r="C346" s="3" t="s">
        <v>684</v>
      </c>
      <c r="D346" s="3">
        <v>100</v>
      </c>
      <c r="E346" s="3">
        <f>$D346*TCA!E346/100</f>
        <v>28.54</v>
      </c>
      <c r="F346" s="3">
        <f>$D346*TCA!F346/100</f>
        <v>3.09</v>
      </c>
      <c r="G346" s="3">
        <f>$D346*TCA!G346/100</f>
        <v>0.34</v>
      </c>
      <c r="H346" s="3">
        <f>$D346*TCA!H346/100</f>
        <v>3.28</v>
      </c>
      <c r="I346" s="3">
        <f>$D346*TCA!I346/100</f>
        <v>1</v>
      </c>
      <c r="J346" s="3">
        <f>$D346*TCA!J346/100</f>
        <v>0.05</v>
      </c>
      <c r="K346" s="3">
        <f>$D346*TCA!K346/100</f>
        <v>0</v>
      </c>
      <c r="L346" s="3">
        <f>$D346*TCA!L346/100</f>
        <v>0.16</v>
      </c>
      <c r="M346" s="3">
        <f>$D346*TCA!M346/100</f>
        <v>0</v>
      </c>
      <c r="N346" s="3">
        <f>$D346*TCA!N346/100</f>
        <v>3</v>
      </c>
      <c r="O346" s="3">
        <f>$D346*TCA!O346/100</f>
        <v>86</v>
      </c>
      <c r="P346" s="3">
        <f t="shared" si="5"/>
        <v>27.831715210355988</v>
      </c>
      <c r="Q346" s="3">
        <f>$D346*TCA!P346/100</f>
        <v>0.5</v>
      </c>
      <c r="R346" s="3">
        <f>$D346*TCA!Q346/100</f>
        <v>318</v>
      </c>
      <c r="S346" s="3">
        <f>$D346*TCA!R346/100</f>
        <v>5</v>
      </c>
      <c r="T346" s="3">
        <f>$D346*TCA!S346/100</f>
        <v>0.52</v>
      </c>
      <c r="U346" s="3">
        <f>$D346*TCA!T346/100</f>
        <v>2</v>
      </c>
      <c r="V346" s="3">
        <f>$D346*TCA!U346/100</f>
        <v>0</v>
      </c>
      <c r="W346" s="3">
        <f>$D346*TCA!V346/100</f>
        <v>16</v>
      </c>
      <c r="X346" s="3">
        <f>$D346*TCA!W346/100</f>
        <v>0.04</v>
      </c>
    </row>
    <row r="347" spans="1:24" x14ac:dyDescent="0.25">
      <c r="A347" s="3" t="s">
        <v>2027</v>
      </c>
      <c r="B347" s="3" t="s">
        <v>685</v>
      </c>
      <c r="C347" s="3" t="s">
        <v>686</v>
      </c>
      <c r="D347" s="3">
        <v>100</v>
      </c>
      <c r="E347" s="3">
        <f>$D347*TCA!E347/100</f>
        <v>38.97</v>
      </c>
      <c r="F347" s="3">
        <f>$D347*TCA!F347/100</f>
        <v>0.72</v>
      </c>
      <c r="G347" s="3">
        <f>$D347*TCA!G347/100</f>
        <v>0.09</v>
      </c>
      <c r="H347" s="3">
        <f>$D347*TCA!H347/100</f>
        <v>8.82</v>
      </c>
      <c r="I347" s="3">
        <f>$D347*TCA!I347/100</f>
        <v>4.9000000000000004</v>
      </c>
      <c r="J347" s="3">
        <f>$D347*TCA!J347/100</f>
        <v>0.02</v>
      </c>
      <c r="K347" s="3">
        <f>$D347*TCA!K347/100</f>
        <v>0.01</v>
      </c>
      <c r="L347" s="3">
        <f>$D347*TCA!L347/100</f>
        <v>0.04</v>
      </c>
      <c r="M347" s="3">
        <f>$D347*TCA!M347/100</f>
        <v>0</v>
      </c>
      <c r="N347" s="3">
        <f>$D347*TCA!N347/100</f>
        <v>12</v>
      </c>
      <c r="O347" s="3">
        <f>$D347*TCA!O347/100</f>
        <v>18</v>
      </c>
      <c r="P347" s="3">
        <f t="shared" si="5"/>
        <v>25</v>
      </c>
      <c r="Q347" s="3">
        <f>$D347*TCA!P347/100</f>
        <v>0.6</v>
      </c>
      <c r="R347" s="3">
        <f>$D347*TCA!Q347/100</f>
        <v>150</v>
      </c>
      <c r="S347" s="3">
        <f>$D347*TCA!R347/100</f>
        <v>4</v>
      </c>
      <c r="T347" s="3">
        <f>$D347*TCA!S347/100</f>
        <v>0.16</v>
      </c>
      <c r="U347" s="3">
        <f>$D347*TCA!T347/100</f>
        <v>20.2</v>
      </c>
      <c r="V347" s="3">
        <f>$D347*TCA!U347/100</f>
        <v>1</v>
      </c>
      <c r="W347" s="3">
        <f>$D347*TCA!V347/100</f>
        <v>12</v>
      </c>
      <c r="X347" s="3">
        <f>$D347*TCA!W347/100</f>
        <v>0</v>
      </c>
    </row>
    <row r="348" spans="1:24" x14ac:dyDescent="0.25">
      <c r="A348" s="3" t="s">
        <v>2027</v>
      </c>
      <c r="B348" s="3" t="s">
        <v>687</v>
      </c>
      <c r="C348" s="3" t="s">
        <v>688</v>
      </c>
      <c r="D348" s="3">
        <v>100</v>
      </c>
      <c r="E348" s="3">
        <f>$D348*TCA!E348/100</f>
        <v>16.739999999999998</v>
      </c>
      <c r="F348" s="3">
        <f>$D348*TCA!F348/100</f>
        <v>0.9</v>
      </c>
      <c r="G348" s="3">
        <f>$D348*TCA!G348/100</f>
        <v>0.14000000000000001</v>
      </c>
      <c r="H348" s="3">
        <f>$D348*TCA!H348/100</f>
        <v>2.97</v>
      </c>
      <c r="I348" s="3">
        <f>$D348*TCA!I348/100</f>
        <v>1.2</v>
      </c>
      <c r="J348" s="3">
        <f>$D348*TCA!J348/100</f>
        <v>0.02</v>
      </c>
      <c r="K348" s="3">
        <f>$D348*TCA!K348/100</f>
        <v>0.01</v>
      </c>
      <c r="L348" s="3">
        <f>$D348*TCA!L348/100</f>
        <v>7.0000000000000007E-2</v>
      </c>
      <c r="M348" s="3">
        <f>$D348*TCA!M348/100</f>
        <v>0</v>
      </c>
      <c r="N348" s="3">
        <f>$D348*TCA!N348/100</f>
        <v>18</v>
      </c>
      <c r="O348" s="3">
        <f>$D348*TCA!O348/100</f>
        <v>20</v>
      </c>
      <c r="P348" s="3">
        <f t="shared" si="5"/>
        <v>22.222222222222221</v>
      </c>
      <c r="Q348" s="3">
        <f>$D348*TCA!P348/100</f>
        <v>0.41</v>
      </c>
      <c r="R348" s="3">
        <f>$D348*TCA!Q348/100</f>
        <v>141</v>
      </c>
      <c r="S348" s="3">
        <f>$D348*TCA!R348/100</f>
        <v>10</v>
      </c>
      <c r="T348" s="3">
        <f>$D348*TCA!S348/100</f>
        <v>0.15</v>
      </c>
      <c r="U348" s="3">
        <f>$D348*TCA!T348/100</f>
        <v>3</v>
      </c>
      <c r="V348" s="3">
        <f>$D348*TCA!U348/100</f>
        <v>25</v>
      </c>
      <c r="W348" s="3">
        <f>$D348*TCA!V348/100</f>
        <v>29</v>
      </c>
      <c r="X348" s="3">
        <f>$D348*TCA!W348/100</f>
        <v>0</v>
      </c>
    </row>
    <row r="349" spans="1:24" x14ac:dyDescent="0.25">
      <c r="A349" s="3" t="s">
        <v>2027</v>
      </c>
      <c r="B349" s="3" t="s">
        <v>689</v>
      </c>
      <c r="C349" s="3" t="s">
        <v>690</v>
      </c>
      <c r="D349" s="3">
        <v>100</v>
      </c>
      <c r="E349" s="3">
        <f>$D349*TCA!E349/100</f>
        <v>20.74</v>
      </c>
      <c r="F349" s="3">
        <f>$D349*TCA!F349/100</f>
        <v>1.23</v>
      </c>
      <c r="G349" s="3">
        <f>$D349*TCA!G349/100</f>
        <v>0.3</v>
      </c>
      <c r="H349" s="3">
        <f>$D349*TCA!H349/100</f>
        <v>3.28</v>
      </c>
      <c r="I349" s="3">
        <f>$D349*TCA!I349/100</f>
        <v>2.1</v>
      </c>
      <c r="J349" s="3">
        <f>$D349*TCA!J349/100</f>
        <v>0.04</v>
      </c>
      <c r="K349" s="3">
        <f>$D349*TCA!K349/100</f>
        <v>0.01</v>
      </c>
      <c r="L349" s="3">
        <f>$D349*TCA!L349/100</f>
        <v>0.16</v>
      </c>
      <c r="M349" s="3">
        <f>$D349*TCA!M349/100</f>
        <v>0</v>
      </c>
      <c r="N349" s="3">
        <f>$D349*TCA!N349/100</f>
        <v>33</v>
      </c>
      <c r="O349" s="3">
        <f>$D349*TCA!O349/100</f>
        <v>30</v>
      </c>
      <c r="P349" s="3">
        <f t="shared" si="5"/>
        <v>24.390243902439025</v>
      </c>
      <c r="Q349" s="3">
        <f>$D349*TCA!P349/100</f>
        <v>0.97</v>
      </c>
      <c r="R349" s="3">
        <f>$D349*TCA!Q349/100</f>
        <v>247</v>
      </c>
      <c r="S349" s="3">
        <f>$D349*TCA!R349/100</f>
        <v>8</v>
      </c>
      <c r="T349" s="3">
        <f>$D349*TCA!S349/100</f>
        <v>0.23</v>
      </c>
      <c r="U349" s="3">
        <f>$D349*TCA!T349/100</f>
        <v>24</v>
      </c>
      <c r="V349" s="3">
        <f>$D349*TCA!U349/100</f>
        <v>290</v>
      </c>
      <c r="W349" s="3">
        <f>$D349*TCA!V349/100</f>
        <v>136</v>
      </c>
      <c r="X349" s="3">
        <f>$D349*TCA!W349/100</f>
        <v>0</v>
      </c>
    </row>
    <row r="350" spans="1:24" x14ac:dyDescent="0.25">
      <c r="A350" s="3" t="s">
        <v>2027</v>
      </c>
      <c r="B350" s="3" t="s">
        <v>691</v>
      </c>
      <c r="C350" s="3" t="s">
        <v>692</v>
      </c>
      <c r="D350" s="3">
        <v>100</v>
      </c>
      <c r="E350" s="3">
        <f>$D350*TCA!E350/100</f>
        <v>23.8</v>
      </c>
      <c r="F350" s="3">
        <f>$D350*TCA!F350/100</f>
        <v>0.71</v>
      </c>
      <c r="G350" s="3">
        <f>$D350*TCA!G350/100</f>
        <v>0.08</v>
      </c>
      <c r="H350" s="3">
        <f>$D350*TCA!H350/100</f>
        <v>5.0599999999999996</v>
      </c>
      <c r="I350" s="3">
        <f>$D350*TCA!I350/100</f>
        <v>2</v>
      </c>
      <c r="J350" s="3">
        <f>$D350*TCA!J350/100</f>
        <v>0.01</v>
      </c>
      <c r="K350" s="3">
        <f>$D350*TCA!K350/100</f>
        <v>0</v>
      </c>
      <c r="L350" s="3">
        <f>$D350*TCA!L350/100</f>
        <v>0.04</v>
      </c>
      <c r="M350" s="3">
        <f>$D350*TCA!M350/100</f>
        <v>0</v>
      </c>
      <c r="N350" s="3">
        <f>$D350*TCA!N350/100</f>
        <v>33</v>
      </c>
      <c r="O350" s="3">
        <f>$D350*TCA!O350/100</f>
        <v>26</v>
      </c>
      <c r="P350" s="3">
        <f t="shared" si="5"/>
        <v>36.619718309859159</v>
      </c>
      <c r="Q350" s="3">
        <f>$D350*TCA!P350/100</f>
        <v>0.18</v>
      </c>
      <c r="R350" s="3">
        <f>$D350*TCA!Q350/100</f>
        <v>177</v>
      </c>
      <c r="S350" s="3">
        <f>$D350*TCA!R350/100</f>
        <v>16</v>
      </c>
      <c r="T350" s="3">
        <f>$D350*TCA!S350/100</f>
        <v>0.12</v>
      </c>
      <c r="U350" s="3">
        <f>$D350*TCA!T350/100</f>
        <v>12</v>
      </c>
      <c r="V350" s="3">
        <f>$D350*TCA!U350/100</f>
        <v>0</v>
      </c>
      <c r="W350" s="3">
        <f>$D350*TCA!V350/100</f>
        <v>9</v>
      </c>
      <c r="X350" s="3">
        <f>$D350*TCA!W350/100</f>
        <v>0</v>
      </c>
    </row>
    <row r="351" spans="1:24" x14ac:dyDescent="0.25">
      <c r="A351" s="3" t="s">
        <v>2027</v>
      </c>
      <c r="B351" s="3" t="s">
        <v>693</v>
      </c>
      <c r="C351" s="3" t="s">
        <v>694</v>
      </c>
      <c r="D351" s="3">
        <v>100</v>
      </c>
      <c r="E351" s="3">
        <f>$D351*TCA!E351/100</f>
        <v>30.22</v>
      </c>
      <c r="F351" s="3">
        <f>$D351*TCA!F351/100</f>
        <v>0.9</v>
      </c>
      <c r="G351" s="3">
        <f>$D351*TCA!G351/100</f>
        <v>0.1</v>
      </c>
      <c r="H351" s="3">
        <f>$D351*TCA!H351/100</f>
        <v>6.43</v>
      </c>
      <c r="I351" s="3">
        <f>$D351*TCA!I351/100</f>
        <v>1.8</v>
      </c>
      <c r="J351" s="3">
        <f>$D351*TCA!J351/100</f>
        <v>0.01</v>
      </c>
      <c r="K351" s="3">
        <f>$D351*TCA!K351/100</f>
        <v>0.01</v>
      </c>
      <c r="L351" s="3">
        <f>$D351*TCA!L351/100</f>
        <v>0.05</v>
      </c>
      <c r="M351" s="3">
        <f>$D351*TCA!M351/100</f>
        <v>0</v>
      </c>
      <c r="N351" s="3">
        <f>$D351*TCA!N351/100</f>
        <v>30</v>
      </c>
      <c r="O351" s="3">
        <f>$D351*TCA!O351/100</f>
        <v>27</v>
      </c>
      <c r="P351" s="3">
        <f t="shared" si="5"/>
        <v>30</v>
      </c>
      <c r="Q351" s="3">
        <f>$D351*TCA!P351/100</f>
        <v>0.3</v>
      </c>
      <c r="R351" s="3">
        <f>$D351*TCA!Q351/100</f>
        <v>191</v>
      </c>
      <c r="S351" s="3">
        <f>$D351*TCA!R351/100</f>
        <v>67</v>
      </c>
      <c r="T351" s="3">
        <f>$D351*TCA!S351/100</f>
        <v>0.27</v>
      </c>
      <c r="U351" s="3">
        <f>$D351*TCA!T351/100</f>
        <v>21</v>
      </c>
      <c r="V351" s="3">
        <f>$D351*TCA!U351/100</f>
        <v>0</v>
      </c>
      <c r="W351" s="3">
        <f>$D351*TCA!V351/100</f>
        <v>15</v>
      </c>
      <c r="X351" s="3">
        <f>$D351*TCA!W351/100</f>
        <v>0</v>
      </c>
    </row>
    <row r="352" spans="1:24" x14ac:dyDescent="0.25">
      <c r="A352" s="3" t="s">
        <v>2027</v>
      </c>
      <c r="B352" s="3" t="s">
        <v>695</v>
      </c>
      <c r="C352" s="3" t="s">
        <v>696</v>
      </c>
      <c r="D352" s="3">
        <v>100</v>
      </c>
      <c r="E352" s="3">
        <f>$D352*TCA!E352/100</f>
        <v>56.1</v>
      </c>
      <c r="F352" s="3">
        <f>$D352*TCA!F352/100</f>
        <v>1.6</v>
      </c>
      <c r="G352" s="3">
        <f>$D352*TCA!G352/100</f>
        <v>0.5</v>
      </c>
      <c r="H352" s="3">
        <f>$D352*TCA!H352/100</f>
        <v>11.3</v>
      </c>
      <c r="I352" s="3">
        <f>$D352*TCA!I352/100</f>
        <v>0</v>
      </c>
      <c r="J352" s="3">
        <f>$D352*TCA!J352/100</f>
        <v>0</v>
      </c>
      <c r="K352" s="3">
        <f>$D352*TCA!K352/100</f>
        <v>0</v>
      </c>
      <c r="L352" s="3">
        <f>$D352*TCA!L352/100</f>
        <v>0</v>
      </c>
      <c r="M352" s="3">
        <f>$D352*TCA!M352/100</f>
        <v>0</v>
      </c>
      <c r="N352" s="3">
        <f>$D352*TCA!N352/100</f>
        <v>312</v>
      </c>
      <c r="O352" s="3">
        <f>$D352*TCA!O352/100</f>
        <v>46</v>
      </c>
      <c r="P352" s="3">
        <f t="shared" si="5"/>
        <v>28.75</v>
      </c>
      <c r="Q352" s="3">
        <f>$D352*TCA!P352/100</f>
        <v>9.3000000000000007</v>
      </c>
      <c r="R352" s="3">
        <f>$D352*TCA!Q352/100</f>
        <v>0</v>
      </c>
      <c r="S352" s="3">
        <f>$D352*TCA!R352/100</f>
        <v>0</v>
      </c>
      <c r="T352" s="3">
        <f>$D352*TCA!S352/100</f>
        <v>0</v>
      </c>
      <c r="U352" s="3">
        <f>$D352*TCA!T352/100</f>
        <v>10</v>
      </c>
      <c r="V352" s="3">
        <f>$D352*TCA!U352/100</f>
        <v>1750</v>
      </c>
      <c r="W352" s="3">
        <f>$D352*TCA!V352/100</f>
        <v>0</v>
      </c>
      <c r="X352" s="3">
        <f>$D352*TCA!W352/100</f>
        <v>0</v>
      </c>
    </row>
    <row r="353" spans="1:24" x14ac:dyDescent="0.25">
      <c r="A353" s="3" t="s">
        <v>2027</v>
      </c>
      <c r="B353" s="3" t="s">
        <v>697</v>
      </c>
      <c r="C353" s="3" t="s">
        <v>698</v>
      </c>
      <c r="D353" s="3">
        <v>100</v>
      </c>
      <c r="E353" s="3">
        <f>$D353*TCA!E353/100</f>
        <v>66.7</v>
      </c>
      <c r="F353" s="3">
        <f>$D353*TCA!F353/100</f>
        <v>5</v>
      </c>
      <c r="G353" s="3">
        <f>$D353*TCA!G353/100</f>
        <v>1.1000000000000001</v>
      </c>
      <c r="H353" s="3">
        <f>$D353*TCA!H353/100</f>
        <v>9.1999999999999993</v>
      </c>
      <c r="I353" s="3">
        <f>$D353*TCA!I353/100</f>
        <v>3.8</v>
      </c>
      <c r="J353" s="3">
        <f>$D353*TCA!J353/100</f>
        <v>0</v>
      </c>
      <c r="K353" s="3">
        <f>$D353*TCA!K353/100</f>
        <v>0</v>
      </c>
      <c r="L353" s="3">
        <f>$D353*TCA!L353/100</f>
        <v>0</v>
      </c>
      <c r="M353" s="3">
        <f>$D353*TCA!M353/100</f>
        <v>0</v>
      </c>
      <c r="N353" s="3">
        <f>$D353*TCA!N353/100</f>
        <v>459</v>
      </c>
      <c r="O353" s="3">
        <f>$D353*TCA!O353/100</f>
        <v>65</v>
      </c>
      <c r="P353" s="3">
        <f t="shared" si="5"/>
        <v>13</v>
      </c>
      <c r="Q353" s="3">
        <f>$D353*TCA!P353/100</f>
        <v>6.3</v>
      </c>
      <c r="R353" s="3">
        <f>$D353*TCA!Q353/100</f>
        <v>0</v>
      </c>
      <c r="S353" s="3">
        <f>$D353*TCA!R353/100</f>
        <v>0</v>
      </c>
      <c r="T353" s="3">
        <f>$D353*TCA!S353/100</f>
        <v>1.1000000000000001</v>
      </c>
      <c r="U353" s="3">
        <f>$D353*TCA!T353/100</f>
        <v>34.700000000000003</v>
      </c>
      <c r="V353" s="3">
        <f>$D353*TCA!U353/100</f>
        <v>3</v>
      </c>
      <c r="W353" s="3">
        <f>$D353*TCA!V353/100</f>
        <v>0</v>
      </c>
      <c r="X353" s="3">
        <f>$D353*TCA!W353/100</f>
        <v>0</v>
      </c>
    </row>
    <row r="354" spans="1:24" x14ac:dyDescent="0.25">
      <c r="A354" s="3" t="s">
        <v>2027</v>
      </c>
      <c r="B354" s="3" t="s">
        <v>699</v>
      </c>
      <c r="C354" s="3" t="s">
        <v>700</v>
      </c>
      <c r="D354" s="3">
        <v>100</v>
      </c>
      <c r="E354" s="3">
        <f>$D354*TCA!E354/100</f>
        <v>115.04</v>
      </c>
      <c r="F354" s="3">
        <f>$D354*TCA!F354/100</f>
        <v>2.7</v>
      </c>
      <c r="G354" s="3">
        <f>$D354*TCA!G354/100</f>
        <v>0.2</v>
      </c>
      <c r="H354" s="3">
        <f>$D354*TCA!H354/100</f>
        <v>25.61</v>
      </c>
      <c r="I354" s="3">
        <f>$D354*TCA!I354/100</f>
        <v>1.5</v>
      </c>
      <c r="J354" s="3">
        <f>$D354*TCA!J354/100</f>
        <v>0.05</v>
      </c>
      <c r="K354" s="3">
        <f>$D354*TCA!K354/100</f>
        <v>0.01</v>
      </c>
      <c r="L354" s="3">
        <f>$D354*TCA!L354/100</f>
        <v>0.09</v>
      </c>
      <c r="M354" s="3">
        <f>$D354*TCA!M354/100</f>
        <v>0</v>
      </c>
      <c r="N354" s="3">
        <f>$D354*TCA!N354/100</f>
        <v>18</v>
      </c>
      <c r="O354" s="3">
        <f>$D354*TCA!O354/100</f>
        <v>140</v>
      </c>
      <c r="P354" s="3">
        <f t="shared" si="5"/>
        <v>51.851851851851848</v>
      </c>
      <c r="Q354" s="3">
        <f>$D354*TCA!P354/100</f>
        <v>1.69</v>
      </c>
      <c r="R354" s="3">
        <f>$D354*TCA!Q354/100</f>
        <v>1806</v>
      </c>
      <c r="S354" s="3">
        <f>$D354*TCA!R354/100</f>
        <v>14</v>
      </c>
      <c r="T354" s="3">
        <f>$D354*TCA!S354/100</f>
        <v>3.73</v>
      </c>
      <c r="U354" s="3">
        <f>$D354*TCA!T354/100</f>
        <v>8</v>
      </c>
      <c r="V354" s="3">
        <f>$D354*TCA!U354/100</f>
        <v>3</v>
      </c>
      <c r="W354" s="3">
        <f>$D354*TCA!V354/100</f>
        <v>24</v>
      </c>
      <c r="X354" s="3">
        <f>$D354*TCA!W354/100</f>
        <v>0</v>
      </c>
    </row>
    <row r="355" spans="1:24" x14ac:dyDescent="0.25">
      <c r="A355" s="3" t="s">
        <v>2027</v>
      </c>
      <c r="B355" s="3" t="s">
        <v>701</v>
      </c>
      <c r="C355" s="3" t="s">
        <v>702</v>
      </c>
      <c r="D355" s="3">
        <v>100</v>
      </c>
      <c r="E355" s="3">
        <f>$D355*TCA!E355/100</f>
        <v>34.14</v>
      </c>
      <c r="F355" s="3">
        <f>$D355*TCA!F355/100</f>
        <v>2.52</v>
      </c>
      <c r="G355" s="3">
        <f>$D355*TCA!G355/100</f>
        <v>0.62</v>
      </c>
      <c r="H355" s="3">
        <f>$D355*TCA!H355/100</f>
        <v>4.62</v>
      </c>
      <c r="I355" s="3">
        <f>$D355*TCA!I355/100</f>
        <v>2.4</v>
      </c>
      <c r="J355" s="3">
        <f>$D355*TCA!J355/100</f>
        <v>0.13</v>
      </c>
      <c r="K355" s="3">
        <f>$D355*TCA!K355/100</f>
        <v>0.1</v>
      </c>
      <c r="L355" s="3">
        <f>$D355*TCA!L355/100</f>
        <v>0.2</v>
      </c>
      <c r="M355" s="3">
        <f>$D355*TCA!M355/100</f>
        <v>0</v>
      </c>
      <c r="N355" s="3">
        <f>$D355*TCA!N355/100</f>
        <v>7.9</v>
      </c>
      <c r="O355" s="3">
        <f>$D355*TCA!O355/100</f>
        <v>65</v>
      </c>
      <c r="P355" s="3">
        <f t="shared" si="5"/>
        <v>25.793650793650794</v>
      </c>
      <c r="Q355" s="3">
        <f>$D355*TCA!P355/100</f>
        <v>3.13</v>
      </c>
      <c r="R355" s="3">
        <f>$D355*TCA!Q355/100</f>
        <v>177</v>
      </c>
      <c r="S355" s="3">
        <f>$D355*TCA!R355/100</f>
        <v>426</v>
      </c>
      <c r="T355" s="3">
        <f>$D355*TCA!S355/100</f>
        <v>1.1499999999999999</v>
      </c>
      <c r="U355" s="3">
        <f>$D355*TCA!T355/100</f>
        <v>7.9</v>
      </c>
      <c r="V355" s="3">
        <f>$D355*TCA!U355/100</f>
        <v>0</v>
      </c>
      <c r="W355" s="3">
        <f>$D355*TCA!V355/100</f>
        <v>39</v>
      </c>
      <c r="X355" s="3">
        <f>$D355*TCA!W355/100</f>
        <v>0</v>
      </c>
    </row>
    <row r="356" spans="1:24" x14ac:dyDescent="0.25">
      <c r="A356" s="3" t="s">
        <v>2027</v>
      </c>
      <c r="B356" s="3" t="s">
        <v>703</v>
      </c>
      <c r="C356" s="3" t="s">
        <v>704</v>
      </c>
      <c r="D356" s="3">
        <v>100</v>
      </c>
      <c r="E356" s="3">
        <f>$D356*TCA!E356/100</f>
        <v>23.8</v>
      </c>
      <c r="F356" s="3">
        <f>$D356*TCA!F356/100</f>
        <v>0.71</v>
      </c>
      <c r="G356" s="3">
        <f>$D356*TCA!G356/100</f>
        <v>0.08</v>
      </c>
      <c r="H356" s="3">
        <f>$D356*TCA!H356/100</f>
        <v>5.0599999999999996</v>
      </c>
      <c r="I356" s="3">
        <f>$D356*TCA!I356/100</f>
        <v>2</v>
      </c>
      <c r="J356" s="3">
        <f>$D356*TCA!J356/100</f>
        <v>0.01</v>
      </c>
      <c r="K356" s="3">
        <f>$D356*TCA!K356/100</f>
        <v>0.01</v>
      </c>
      <c r="L356" s="3">
        <f>$D356*TCA!L356/100</f>
        <v>0.04</v>
      </c>
      <c r="M356" s="3">
        <f>$D356*TCA!M356/100</f>
        <v>0</v>
      </c>
      <c r="N356" s="3">
        <f>$D356*TCA!N356/100</f>
        <v>33</v>
      </c>
      <c r="O356" s="3">
        <f>$D356*TCA!O356/100</f>
        <v>26</v>
      </c>
      <c r="P356" s="3">
        <f t="shared" si="5"/>
        <v>36.619718309859159</v>
      </c>
      <c r="Q356" s="3">
        <f>$D356*TCA!P356/100</f>
        <v>0.18</v>
      </c>
      <c r="R356" s="3">
        <f>$D356*TCA!Q356/100</f>
        <v>177</v>
      </c>
      <c r="S356" s="3">
        <f>$D356*TCA!R356/100</f>
        <v>16</v>
      </c>
      <c r="T356" s="3">
        <f>$D356*TCA!S356/100</f>
        <v>0.12</v>
      </c>
      <c r="U356" s="3">
        <f>$D356*TCA!T356/100</f>
        <v>11.6</v>
      </c>
      <c r="V356" s="3">
        <f>$D356*TCA!U356/100</f>
        <v>0</v>
      </c>
      <c r="W356" s="3">
        <f>$D356*TCA!V356/100</f>
        <v>9</v>
      </c>
      <c r="X356" s="3">
        <f>$D356*TCA!W356/100</f>
        <v>0</v>
      </c>
    </row>
    <row r="357" spans="1:24" x14ac:dyDescent="0.25">
      <c r="A357" s="3" t="s">
        <v>2027</v>
      </c>
      <c r="B357" s="3" t="s">
        <v>705</v>
      </c>
      <c r="C357" s="3" t="s">
        <v>706</v>
      </c>
      <c r="D357" s="3">
        <v>100</v>
      </c>
      <c r="E357" s="3">
        <f>$D357*TCA!E357/100</f>
        <v>30.22</v>
      </c>
      <c r="F357" s="3">
        <f>$D357*TCA!F357/100</f>
        <v>0.9</v>
      </c>
      <c r="G357" s="3">
        <f>$D357*TCA!G357/100</f>
        <v>0.1</v>
      </c>
      <c r="H357" s="3">
        <f>$D357*TCA!H357/100</f>
        <v>6.43</v>
      </c>
      <c r="I357" s="3">
        <f>$D357*TCA!I357/100</f>
        <v>1.8</v>
      </c>
      <c r="J357" s="3">
        <f>$D357*TCA!J357/100</f>
        <v>0.01</v>
      </c>
      <c r="K357" s="3">
        <f>$D357*TCA!K357/100</f>
        <v>0.01</v>
      </c>
      <c r="L357" s="3">
        <f>$D357*TCA!L357/100</f>
        <v>0.05</v>
      </c>
      <c r="M357" s="3">
        <f>$D357*TCA!M357/100</f>
        <v>0</v>
      </c>
      <c r="N357" s="3">
        <f>$D357*TCA!N357/100</f>
        <v>30</v>
      </c>
      <c r="O357" s="3">
        <f>$D357*TCA!O357/100</f>
        <v>27</v>
      </c>
      <c r="P357" s="3">
        <f t="shared" si="5"/>
        <v>30</v>
      </c>
      <c r="Q357" s="3">
        <f>$D357*TCA!P357/100</f>
        <v>0.3</v>
      </c>
      <c r="R357" s="3">
        <f>$D357*TCA!Q357/100</f>
        <v>191</v>
      </c>
      <c r="S357" s="3">
        <f>$D357*TCA!R357/100</f>
        <v>67</v>
      </c>
      <c r="T357" s="3">
        <f>$D357*TCA!S357/100</f>
        <v>0.27</v>
      </c>
      <c r="U357" s="3">
        <f>$D357*TCA!T357/100</f>
        <v>21</v>
      </c>
      <c r="V357" s="3">
        <f>$D357*TCA!U357/100</f>
        <v>0</v>
      </c>
      <c r="W357" s="3">
        <f>$D357*TCA!V357/100</f>
        <v>15</v>
      </c>
      <c r="X357" s="3">
        <f>$D357*TCA!W357/100</f>
        <v>0</v>
      </c>
    </row>
    <row r="358" spans="1:24" x14ac:dyDescent="0.25">
      <c r="A358" s="3" t="s">
        <v>2027</v>
      </c>
      <c r="B358" s="3" t="s">
        <v>707</v>
      </c>
      <c r="C358" s="3" t="s">
        <v>708</v>
      </c>
      <c r="D358" s="3">
        <v>100</v>
      </c>
      <c r="E358" s="3">
        <f>$D358*TCA!E358/100</f>
        <v>12.44</v>
      </c>
      <c r="F358" s="3">
        <f>$D358*TCA!F358/100</f>
        <v>0.59</v>
      </c>
      <c r="G358" s="3">
        <f>$D358*TCA!G358/100</f>
        <v>0.16</v>
      </c>
      <c r="H358" s="3">
        <f>$D358*TCA!H358/100</f>
        <v>2.16</v>
      </c>
      <c r="I358" s="3">
        <f>$D358*TCA!I358/100</f>
        <v>0.7</v>
      </c>
      <c r="J358" s="3">
        <f>$D358*TCA!J358/100</f>
        <v>0.01</v>
      </c>
      <c r="K358" s="3">
        <f>$D358*TCA!K358/100</f>
        <v>0</v>
      </c>
      <c r="L358" s="3">
        <f>$D358*TCA!L358/100</f>
        <v>0</v>
      </c>
      <c r="M358" s="3">
        <f>$D358*TCA!M358/100</f>
        <v>0</v>
      </c>
      <c r="N358" s="3">
        <f>$D358*TCA!N358/100</f>
        <v>14</v>
      </c>
      <c r="O358" s="3">
        <f>$D358*TCA!O358/100</f>
        <v>21</v>
      </c>
      <c r="P358" s="3">
        <f t="shared" si="5"/>
        <v>35.593220338983052</v>
      </c>
      <c r="Q358" s="3">
        <f>$D358*TCA!P358/100</f>
        <v>0.22</v>
      </c>
      <c r="R358" s="3">
        <f>$D358*TCA!Q358/100</f>
        <v>136</v>
      </c>
      <c r="S358" s="3">
        <f>$D358*TCA!R358/100</f>
        <v>2</v>
      </c>
      <c r="T358" s="3">
        <f>$D358*TCA!S358/100</f>
        <v>0.17</v>
      </c>
      <c r="U358" s="3">
        <f>$D358*TCA!T358/100</f>
        <v>3</v>
      </c>
      <c r="V358" s="3">
        <f>$D358*TCA!U358/100</f>
        <v>4</v>
      </c>
      <c r="W358" s="3">
        <f>$D358*TCA!V358/100</f>
        <v>14</v>
      </c>
      <c r="X358" s="3">
        <f>$D358*TCA!W358/100</f>
        <v>0</v>
      </c>
    </row>
    <row r="359" spans="1:24" x14ac:dyDescent="0.25">
      <c r="A359" s="3" t="s">
        <v>2027</v>
      </c>
      <c r="B359" s="3" t="s">
        <v>709</v>
      </c>
      <c r="C359" s="3" t="s">
        <v>710</v>
      </c>
      <c r="D359" s="3">
        <v>100</v>
      </c>
      <c r="E359" s="3">
        <f>$D359*TCA!E359/100</f>
        <v>44.31</v>
      </c>
      <c r="F359" s="3">
        <f>$D359*TCA!F359/100</f>
        <v>2.97</v>
      </c>
      <c r="G359" s="3">
        <f>$D359*TCA!G359/100</f>
        <v>0.79</v>
      </c>
      <c r="H359" s="3">
        <f>$D359*TCA!H359/100</f>
        <v>6.33</v>
      </c>
      <c r="I359" s="3">
        <f>$D359*TCA!I359/100</f>
        <v>3.3</v>
      </c>
      <c r="J359" s="3">
        <f>$D359*TCA!J359/100</f>
        <v>0.13</v>
      </c>
      <c r="K359" s="3">
        <f>$D359*TCA!K359/100</f>
        <v>0.3</v>
      </c>
      <c r="L359" s="3">
        <f>$D359*TCA!L359/100</f>
        <v>0.12</v>
      </c>
      <c r="M359" s="3">
        <f>$D359*TCA!M359/100</f>
        <v>0</v>
      </c>
      <c r="N359" s="3">
        <f>$D359*TCA!N359/100</f>
        <v>138</v>
      </c>
      <c r="O359" s="3">
        <f>$D359*TCA!O359/100</f>
        <v>58</v>
      </c>
      <c r="P359" s="3">
        <f t="shared" si="5"/>
        <v>19.528619528619526</v>
      </c>
      <c r="Q359" s="3">
        <f>$D359*TCA!P359/100</f>
        <v>6.2</v>
      </c>
      <c r="R359" s="3">
        <f>$D359*TCA!Q359/100</f>
        <v>554</v>
      </c>
      <c r="S359" s="3">
        <f>$D359*TCA!R359/100</f>
        <v>56</v>
      </c>
      <c r="T359" s="3">
        <f>$D359*TCA!S359/100</f>
        <v>1.07</v>
      </c>
      <c r="U359" s="3">
        <f>$D359*TCA!T359/100</f>
        <v>133</v>
      </c>
      <c r="V359" s="3">
        <f>$D359*TCA!U359/100</f>
        <v>421</v>
      </c>
      <c r="W359" s="3">
        <f>$D359*TCA!V359/100</f>
        <v>152</v>
      </c>
      <c r="X359" s="3">
        <f>$D359*TCA!W359/100</f>
        <v>0</v>
      </c>
    </row>
    <row r="360" spans="1:24" x14ac:dyDescent="0.25">
      <c r="A360" s="3" t="s">
        <v>2027</v>
      </c>
      <c r="B360" s="3" t="s">
        <v>711</v>
      </c>
      <c r="C360" s="3" t="s">
        <v>712</v>
      </c>
      <c r="D360" s="3">
        <v>100</v>
      </c>
      <c r="E360" s="3">
        <f>$D360*TCA!E360/100</f>
        <v>30.78</v>
      </c>
      <c r="F360" s="3">
        <f>$D360*TCA!F360/100</f>
        <v>0.99</v>
      </c>
      <c r="G360" s="3">
        <f>$D360*TCA!G360/100</f>
        <v>0.3</v>
      </c>
      <c r="H360" s="3">
        <f>$D360*TCA!H360/100</f>
        <v>6.03</v>
      </c>
      <c r="I360" s="3">
        <f>$D360*TCA!I360/100</f>
        <v>2</v>
      </c>
      <c r="J360" s="3">
        <f>$D360*TCA!J360/100</f>
        <v>0.06</v>
      </c>
      <c r="K360" s="3">
        <f>$D360*TCA!K360/100</f>
        <v>0.01</v>
      </c>
      <c r="L360" s="3">
        <f>$D360*TCA!L360/100</f>
        <v>0.16</v>
      </c>
      <c r="M360" s="3">
        <f>$D360*TCA!M360/100</f>
        <v>0</v>
      </c>
      <c r="N360" s="3">
        <f>$D360*TCA!N360/100</f>
        <v>7</v>
      </c>
      <c r="O360" s="3">
        <f>$D360*TCA!O360/100</f>
        <v>26</v>
      </c>
      <c r="P360" s="3">
        <f t="shared" si="5"/>
        <v>26.262626262626263</v>
      </c>
      <c r="Q360" s="3">
        <f>$D360*TCA!P360/100</f>
        <v>0.43</v>
      </c>
      <c r="R360" s="3">
        <f>$D360*TCA!Q360/100</f>
        <v>211</v>
      </c>
      <c r="S360" s="3">
        <f>$D360*TCA!R360/100</f>
        <v>2</v>
      </c>
      <c r="T360" s="3">
        <f>$D360*TCA!S360/100</f>
        <v>0.25</v>
      </c>
      <c r="U360" s="3">
        <f>$D360*TCA!T360/100</f>
        <v>190</v>
      </c>
      <c r="V360" s="3">
        <f>$D360*TCA!U360/100</f>
        <v>157</v>
      </c>
      <c r="W360" s="3">
        <f>$D360*TCA!V360/100</f>
        <v>18</v>
      </c>
      <c r="X360" s="3">
        <f>$D360*TCA!W360/100</f>
        <v>0</v>
      </c>
    </row>
    <row r="361" spans="1:24" x14ac:dyDescent="0.25">
      <c r="A361" s="3" t="s">
        <v>2027</v>
      </c>
      <c r="B361" s="3" t="s">
        <v>713</v>
      </c>
      <c r="C361" s="3" t="s">
        <v>714</v>
      </c>
      <c r="D361" s="3">
        <v>100</v>
      </c>
      <c r="E361" s="3">
        <f>$D361*TCA!E361/100</f>
        <v>23.53</v>
      </c>
      <c r="F361" s="3">
        <f>$D361*TCA!F361/100</f>
        <v>0.86</v>
      </c>
      <c r="G361" s="3">
        <f>$D361*TCA!G361/100</f>
        <v>0.17</v>
      </c>
      <c r="H361" s="3">
        <f>$D361*TCA!H361/100</f>
        <v>4.6399999999999997</v>
      </c>
      <c r="I361" s="3">
        <f>$D361*TCA!I361/100</f>
        <v>1.7</v>
      </c>
      <c r="J361" s="3">
        <f>$D361*TCA!J361/100</f>
        <v>0.06</v>
      </c>
      <c r="K361" s="3">
        <f>$D361*TCA!K361/100</f>
        <v>0.01</v>
      </c>
      <c r="L361" s="3">
        <f>$D361*TCA!L361/100</f>
        <v>0.06</v>
      </c>
      <c r="M361" s="3">
        <f>$D361*TCA!M361/100</f>
        <v>0</v>
      </c>
      <c r="N361" s="3">
        <f>$D361*TCA!N361/100</f>
        <v>10</v>
      </c>
      <c r="O361" s="3">
        <f>$D361*TCA!O361/100</f>
        <v>20</v>
      </c>
      <c r="P361" s="3">
        <f t="shared" si="5"/>
        <v>23.255813953488371</v>
      </c>
      <c r="Q361" s="3">
        <f>$D361*TCA!P361/100</f>
        <v>0.34</v>
      </c>
      <c r="R361" s="3">
        <f>$D361*TCA!Q361/100</f>
        <v>175</v>
      </c>
      <c r="S361" s="3">
        <f>$D361*TCA!R361/100</f>
        <v>3</v>
      </c>
      <c r="T361" s="3">
        <f>$D361*TCA!S361/100</f>
        <v>0.13</v>
      </c>
      <c r="U361" s="3">
        <f>$D361*TCA!T361/100</f>
        <v>80.400000000000006</v>
      </c>
      <c r="V361" s="3">
        <f>$D361*TCA!U361/100</f>
        <v>18</v>
      </c>
      <c r="W361" s="3">
        <f>$D361*TCA!V361/100</f>
        <v>10</v>
      </c>
      <c r="X361" s="3">
        <f>$D361*TCA!W361/100</f>
        <v>0</v>
      </c>
    </row>
    <row r="362" spans="1:24" x14ac:dyDescent="0.25">
      <c r="A362" s="3" t="s">
        <v>2027</v>
      </c>
      <c r="B362" s="3" t="s">
        <v>715</v>
      </c>
      <c r="C362" s="3" t="s">
        <v>716</v>
      </c>
      <c r="D362" s="3">
        <v>100</v>
      </c>
      <c r="E362" s="3">
        <f>$D362*TCA!E362/100</f>
        <v>19.7</v>
      </c>
      <c r="F362" s="3">
        <f>$D362*TCA!F362/100</f>
        <v>0.6</v>
      </c>
      <c r="G362" s="3">
        <f>$D362*TCA!G362/100</f>
        <v>0.1</v>
      </c>
      <c r="H362" s="3">
        <f>$D362*TCA!H362/100</f>
        <v>4.0999999999999996</v>
      </c>
      <c r="I362" s="3">
        <f>$D362*TCA!I362/100</f>
        <v>1.6</v>
      </c>
      <c r="J362" s="3">
        <f>$D362*TCA!J362/100</f>
        <v>0.03</v>
      </c>
      <c r="K362" s="3">
        <f>$D362*TCA!K362/100</f>
        <v>0.02</v>
      </c>
      <c r="L362" s="3">
        <f>$D362*TCA!L362/100</f>
        <v>0.05</v>
      </c>
      <c r="M362" s="3">
        <f>$D362*TCA!M362/100</f>
        <v>0</v>
      </c>
      <c r="N362" s="3">
        <f>$D362*TCA!N362/100</f>
        <v>27</v>
      </c>
      <c r="O362" s="3">
        <f>$D362*TCA!O362/100</f>
        <v>23</v>
      </c>
      <c r="P362" s="3">
        <f t="shared" si="5"/>
        <v>38.333333333333336</v>
      </c>
      <c r="Q362" s="3">
        <f>$D362*TCA!P362/100</f>
        <v>0.4</v>
      </c>
      <c r="R362" s="3">
        <f>$D362*TCA!Q362/100</f>
        <v>227</v>
      </c>
      <c r="S362" s="3">
        <f>$D362*TCA!R362/100</f>
        <v>21</v>
      </c>
      <c r="T362" s="3">
        <f>$D362*TCA!S362/100</f>
        <v>0.15</v>
      </c>
      <c r="U362" s="3">
        <f>$D362*TCA!T362/100</f>
        <v>22</v>
      </c>
      <c r="V362" s="3">
        <f>$D362*TCA!U362/100</f>
        <v>0</v>
      </c>
      <c r="W362" s="3">
        <f>$D362*TCA!V362/100</f>
        <v>28</v>
      </c>
      <c r="X362" s="3">
        <f>$D362*TCA!W362/100</f>
        <v>0</v>
      </c>
    </row>
    <row r="363" spans="1:24" x14ac:dyDescent="0.25">
      <c r="A363" s="3" t="s">
        <v>2027</v>
      </c>
      <c r="B363" s="3" t="s">
        <v>717</v>
      </c>
      <c r="C363" s="3" t="s">
        <v>718</v>
      </c>
      <c r="D363" s="3">
        <v>100</v>
      </c>
      <c r="E363" s="3">
        <f>$D363*TCA!E363/100</f>
        <v>12.9</v>
      </c>
      <c r="F363" s="3">
        <f>$D363*TCA!F363/100</f>
        <v>1.5</v>
      </c>
      <c r="G363" s="3">
        <f>$D363*TCA!G363/100</f>
        <v>0.1</v>
      </c>
      <c r="H363" s="3">
        <f>$D363*TCA!H363/100</f>
        <v>1.5</v>
      </c>
      <c r="I363" s="3">
        <f>$D363*TCA!I363/100</f>
        <v>0</v>
      </c>
      <c r="J363" s="3">
        <f>$D363*TCA!J363/100</f>
        <v>0.03</v>
      </c>
      <c r="K363" s="3">
        <f>$D363*TCA!K363/100</f>
        <v>0.02</v>
      </c>
      <c r="L363" s="3">
        <f>$D363*TCA!L363/100</f>
        <v>0.02</v>
      </c>
      <c r="M363" s="3">
        <f>$D363*TCA!M363/100</f>
        <v>0</v>
      </c>
      <c r="N363" s="3">
        <f>$D363*TCA!N363/100</f>
        <v>24</v>
      </c>
      <c r="O363" s="3">
        <f>$D363*TCA!O363/100</f>
        <v>0</v>
      </c>
      <c r="P363" s="3">
        <f t="shared" si="5"/>
        <v>0</v>
      </c>
      <c r="Q363" s="3">
        <f>$D363*TCA!P363/100</f>
        <v>0.4</v>
      </c>
      <c r="R363" s="3">
        <f>$D363*TCA!Q363/100</f>
        <v>227</v>
      </c>
      <c r="S363" s="3">
        <f>$D363*TCA!R363/100</f>
        <v>21</v>
      </c>
      <c r="T363" s="3">
        <f>$D363*TCA!S363/100</f>
        <v>0</v>
      </c>
      <c r="U363" s="3">
        <f>$D363*TCA!T363/100</f>
        <v>22</v>
      </c>
      <c r="V363" s="3">
        <f>$D363*TCA!U363/100</f>
        <v>0</v>
      </c>
      <c r="W363" s="3">
        <f>$D363*TCA!V363/100</f>
        <v>0</v>
      </c>
      <c r="X363" s="3">
        <f>$D363*TCA!W363/100</f>
        <v>0</v>
      </c>
    </row>
    <row r="364" spans="1:24" x14ac:dyDescent="0.25">
      <c r="A364" s="3" t="s">
        <v>2027</v>
      </c>
      <c r="B364" s="3" t="s">
        <v>719</v>
      </c>
      <c r="C364" s="3" t="s">
        <v>720</v>
      </c>
      <c r="D364" s="3">
        <v>100</v>
      </c>
      <c r="E364" s="3">
        <f>$D364*TCA!E364/100</f>
        <v>46.21</v>
      </c>
      <c r="F364" s="3">
        <f>$D364*TCA!F364/100</f>
        <v>1.61</v>
      </c>
      <c r="G364" s="3">
        <f>$D364*TCA!G364/100</f>
        <v>0.17</v>
      </c>
      <c r="H364" s="3">
        <f>$D364*TCA!H364/100</f>
        <v>9.56</v>
      </c>
      <c r="I364" s="3">
        <f>$D364*TCA!I364/100</f>
        <v>2.8</v>
      </c>
      <c r="J364" s="3">
        <f>$D364*TCA!J364/100</f>
        <v>0.03</v>
      </c>
      <c r="K364" s="3">
        <f>$D364*TCA!K364/100</f>
        <v>0.03</v>
      </c>
      <c r="L364" s="3">
        <f>$D364*TCA!L364/100</f>
        <v>0.06</v>
      </c>
      <c r="M364" s="3">
        <f>$D364*TCA!M364/100</f>
        <v>0</v>
      </c>
      <c r="N364" s="3">
        <f>$D364*TCA!N364/100</f>
        <v>16</v>
      </c>
      <c r="O364" s="3">
        <f>$D364*TCA!O364/100</f>
        <v>40</v>
      </c>
      <c r="P364" s="3">
        <f t="shared" si="5"/>
        <v>24.844720496894407</v>
      </c>
      <c r="Q364" s="3">
        <f>$D364*TCA!P364/100</f>
        <v>0.8</v>
      </c>
      <c r="R364" s="3">
        <f>$D364*TCA!Q364/100</f>
        <v>325</v>
      </c>
      <c r="S364" s="3">
        <f>$D364*TCA!R364/100</f>
        <v>78</v>
      </c>
      <c r="T364" s="3">
        <f>$D364*TCA!S364/100</f>
        <v>0.35</v>
      </c>
      <c r="U364" s="3">
        <f>$D364*TCA!T364/100</f>
        <v>5</v>
      </c>
      <c r="V364" s="3">
        <f>$D364*TCA!U364/100</f>
        <v>2</v>
      </c>
      <c r="W364" s="3">
        <f>$D364*TCA!V364/100</f>
        <v>109</v>
      </c>
      <c r="X364" s="3">
        <f>$D364*TCA!W364/100</f>
        <v>0</v>
      </c>
    </row>
    <row r="365" spans="1:24" x14ac:dyDescent="0.25">
      <c r="A365" s="3" t="s">
        <v>2027</v>
      </c>
      <c r="B365" s="3" t="s">
        <v>721</v>
      </c>
      <c r="C365" s="3" t="s">
        <v>722</v>
      </c>
      <c r="D365" s="3">
        <v>100</v>
      </c>
      <c r="E365" s="3">
        <f>$D365*TCA!E365/100</f>
        <v>48.18</v>
      </c>
      <c r="F365" s="3">
        <f>$D365*TCA!F365/100</f>
        <v>1.68</v>
      </c>
      <c r="G365" s="3">
        <f>$D365*TCA!G365/100</f>
        <v>0.18</v>
      </c>
      <c r="H365" s="3">
        <f>$D365*TCA!H365/100</f>
        <v>9.9600000000000009</v>
      </c>
      <c r="I365" s="3">
        <f>$D365*TCA!I365/100</f>
        <v>2</v>
      </c>
      <c r="J365" s="3">
        <f>$D365*TCA!J365/100</f>
        <v>0.03</v>
      </c>
      <c r="K365" s="3">
        <f>$D365*TCA!K365/100</f>
        <v>0.04</v>
      </c>
      <c r="L365" s="3">
        <f>$D365*TCA!L365/100</f>
        <v>0.06</v>
      </c>
      <c r="M365" s="3">
        <f>$D365*TCA!M365/100</f>
        <v>0</v>
      </c>
      <c r="N365" s="3">
        <f>$D365*TCA!N365/100</f>
        <v>16</v>
      </c>
      <c r="O365" s="3">
        <f>$D365*TCA!O365/100</f>
        <v>38</v>
      </c>
      <c r="P365" s="3">
        <f t="shared" si="5"/>
        <v>22.61904761904762</v>
      </c>
      <c r="Q365" s="3">
        <f>$D365*TCA!P365/100</f>
        <v>0.79</v>
      </c>
      <c r="R365" s="3">
        <f>$D365*TCA!Q365/100</f>
        <v>305</v>
      </c>
      <c r="S365" s="3">
        <f>$D365*TCA!R365/100</f>
        <v>77</v>
      </c>
      <c r="T365" s="3">
        <f>$D365*TCA!S365/100</f>
        <v>0.35</v>
      </c>
      <c r="U365" s="3">
        <f>$D365*TCA!T365/100</f>
        <v>4</v>
      </c>
      <c r="V365" s="3">
        <f>$D365*TCA!U365/100</f>
        <v>2</v>
      </c>
      <c r="W365" s="3">
        <f>$D365*TCA!V365/100</f>
        <v>80</v>
      </c>
      <c r="X365" s="3">
        <f>$D365*TCA!W365/100</f>
        <v>0</v>
      </c>
    </row>
    <row r="366" spans="1:24" x14ac:dyDescent="0.25">
      <c r="A366" s="3" t="s">
        <v>2027</v>
      </c>
      <c r="B366" s="3" t="s">
        <v>723</v>
      </c>
      <c r="C366" s="3" t="s">
        <v>724</v>
      </c>
      <c r="D366" s="3">
        <v>100</v>
      </c>
      <c r="E366" s="3">
        <f>$D366*TCA!E366/100</f>
        <v>30.86</v>
      </c>
      <c r="F366" s="3">
        <f>$D366*TCA!F366/100</f>
        <v>2.58</v>
      </c>
      <c r="G366" s="3">
        <f>$D366*TCA!G366/100</f>
        <v>0.66</v>
      </c>
      <c r="H366" s="3">
        <f>$D366*TCA!H366/100</f>
        <v>3.65</v>
      </c>
      <c r="I366" s="3">
        <f>$D366*TCA!I366/100</f>
        <v>1.6</v>
      </c>
      <c r="J366" s="3">
        <f>$D366*TCA!J366/100</f>
        <v>0.09</v>
      </c>
      <c r="K366" s="3">
        <f>$D366*TCA!K366/100</f>
        <v>0.05</v>
      </c>
      <c r="L366" s="3">
        <f>$D366*TCA!L366/100</f>
        <v>0.32</v>
      </c>
      <c r="M366" s="3">
        <f>$D366*TCA!M366/100</f>
        <v>0</v>
      </c>
      <c r="N366" s="3">
        <f>$D366*TCA!N366/100</f>
        <v>160</v>
      </c>
      <c r="O366" s="3">
        <f>$D366*TCA!O366/100</f>
        <v>52</v>
      </c>
      <c r="P366" s="3">
        <f t="shared" si="5"/>
        <v>20.155038759689923</v>
      </c>
      <c r="Q366" s="3">
        <f>$D366*TCA!P366/100</f>
        <v>1.47</v>
      </c>
      <c r="R366" s="3">
        <f>$D366*TCA!Q366/100</f>
        <v>369</v>
      </c>
      <c r="S366" s="3">
        <f>$D366*TCA!R366/100</f>
        <v>27</v>
      </c>
      <c r="T366" s="3">
        <f>$D366*TCA!S366/100</f>
        <v>0.46</v>
      </c>
      <c r="U366" s="3">
        <f>$D366*TCA!T366/100</f>
        <v>15</v>
      </c>
      <c r="V366" s="3">
        <f>$D366*TCA!U366/100</f>
        <v>119</v>
      </c>
      <c r="W366" s="3">
        <f>$D366*TCA!V366/100</f>
        <v>97</v>
      </c>
      <c r="X366" s="3">
        <f>$D366*TCA!W366/100</f>
        <v>0</v>
      </c>
    </row>
    <row r="367" spans="1:24" x14ac:dyDescent="0.25">
      <c r="A367" s="3" t="s">
        <v>2027</v>
      </c>
      <c r="B367" s="3" t="s">
        <v>725</v>
      </c>
      <c r="C367" s="3" t="s">
        <v>726</v>
      </c>
      <c r="D367" s="3">
        <v>100</v>
      </c>
      <c r="E367" s="3">
        <f>$D367*TCA!E367/100</f>
        <v>17.34</v>
      </c>
      <c r="F367" s="3">
        <f>$D367*TCA!F367/100</f>
        <v>0.6</v>
      </c>
      <c r="G367" s="3">
        <f>$D367*TCA!G367/100</f>
        <v>0.02</v>
      </c>
      <c r="H367" s="3">
        <f>$D367*TCA!H367/100</f>
        <v>3.69</v>
      </c>
      <c r="I367" s="3">
        <f>$D367*TCA!I367/100</f>
        <v>1.2</v>
      </c>
      <c r="J367" s="3">
        <f>$D367*TCA!J367/100</f>
        <v>0</v>
      </c>
      <c r="K367" s="3">
        <f>$D367*TCA!K367/100</f>
        <v>0</v>
      </c>
      <c r="L367" s="3">
        <f>$D367*TCA!L367/100</f>
        <v>0.01</v>
      </c>
      <c r="M367" s="3">
        <f>$D367*TCA!M367/100</f>
        <v>0</v>
      </c>
      <c r="N367" s="3">
        <f>$D367*TCA!N367/100</f>
        <v>24</v>
      </c>
      <c r="O367" s="3">
        <f>$D367*TCA!O367/100</f>
        <v>13</v>
      </c>
      <c r="P367" s="3">
        <f t="shared" si="5"/>
        <v>21.666666666666668</v>
      </c>
      <c r="Q367" s="3">
        <f>$D367*TCA!P367/100</f>
        <v>0.25</v>
      </c>
      <c r="R367" s="3">
        <f>$D367*TCA!Q367/100</f>
        <v>170</v>
      </c>
      <c r="S367" s="3">
        <f>$D367*TCA!R367/100</f>
        <v>2</v>
      </c>
      <c r="T367" s="3">
        <f>$D367*TCA!S367/100</f>
        <v>0.7</v>
      </c>
      <c r="U367" s="3">
        <f>$D367*TCA!T367/100</f>
        <v>8.5</v>
      </c>
      <c r="V367" s="3">
        <f>$D367*TCA!U367/100</f>
        <v>0</v>
      </c>
      <c r="W367" s="3">
        <f>$D367*TCA!V367/100</f>
        <v>4</v>
      </c>
      <c r="X367" s="3">
        <f>$D367*TCA!W367/100</f>
        <v>0</v>
      </c>
    </row>
    <row r="368" spans="1:24" x14ac:dyDescent="0.25">
      <c r="A368" s="3" t="s">
        <v>2027</v>
      </c>
      <c r="B368" s="3" t="s">
        <v>727</v>
      </c>
      <c r="C368" s="3" t="s">
        <v>728</v>
      </c>
      <c r="D368" s="3">
        <v>100</v>
      </c>
      <c r="E368" s="3">
        <f>$D368*TCA!E368/100</f>
        <v>24.5</v>
      </c>
      <c r="F368" s="3">
        <f>$D368*TCA!F368/100</f>
        <v>0.8</v>
      </c>
      <c r="G368" s="3">
        <f>$D368*TCA!G368/100</f>
        <v>0.1</v>
      </c>
      <c r="H368" s="3">
        <f>$D368*TCA!H368/100</f>
        <v>5.0999999999999996</v>
      </c>
      <c r="I368" s="3">
        <f>$D368*TCA!I368/100</f>
        <v>0</v>
      </c>
      <c r="J368" s="3">
        <f>$D368*TCA!J368/100</f>
        <v>0</v>
      </c>
      <c r="K368" s="3">
        <f>$D368*TCA!K368/100</f>
        <v>0</v>
      </c>
      <c r="L368" s="3">
        <f>$D368*TCA!L368/100</f>
        <v>0</v>
      </c>
      <c r="M368" s="3">
        <f>$D368*TCA!M368/100</f>
        <v>0</v>
      </c>
      <c r="N368" s="3">
        <f>$D368*TCA!N368/100</f>
        <v>15</v>
      </c>
      <c r="O368" s="3">
        <f>$D368*TCA!O368/100</f>
        <v>19</v>
      </c>
      <c r="P368" s="3">
        <f t="shared" si="5"/>
        <v>23.75</v>
      </c>
      <c r="Q368" s="3">
        <f>$D368*TCA!P368/100</f>
        <v>0.4</v>
      </c>
      <c r="R368" s="3">
        <f>$D368*TCA!Q368/100</f>
        <v>0</v>
      </c>
      <c r="S368" s="3">
        <f>$D368*TCA!R368/100</f>
        <v>0</v>
      </c>
      <c r="T368" s="3">
        <f>$D368*TCA!S368/100</f>
        <v>0</v>
      </c>
      <c r="U368" s="3">
        <f>$D368*TCA!T368/100</f>
        <v>11</v>
      </c>
      <c r="V368" s="3">
        <f>$D368*TCA!U368/100</f>
        <v>0</v>
      </c>
      <c r="W368" s="3">
        <f>$D368*TCA!V368/100</f>
        <v>0</v>
      </c>
      <c r="X368" s="3">
        <f>$D368*TCA!W368/100</f>
        <v>0</v>
      </c>
    </row>
    <row r="369" spans="1:24" x14ac:dyDescent="0.25">
      <c r="A369" s="3" t="s">
        <v>2027</v>
      </c>
      <c r="B369" s="3" t="s">
        <v>729</v>
      </c>
      <c r="C369" s="3" t="s">
        <v>730</v>
      </c>
      <c r="D369" s="3">
        <v>100</v>
      </c>
      <c r="E369" s="3">
        <f>$D369*TCA!E369/100</f>
        <v>24.3</v>
      </c>
      <c r="F369" s="3">
        <f>$D369*TCA!F369/100</f>
        <v>0.8</v>
      </c>
      <c r="G369" s="3">
        <f>$D369*TCA!G369/100</f>
        <v>0.3</v>
      </c>
      <c r="H369" s="3">
        <f>$D369*TCA!H369/100</f>
        <v>4.5999999999999996</v>
      </c>
      <c r="I369" s="3">
        <f>$D369*TCA!I369/100</f>
        <v>1.2</v>
      </c>
      <c r="J369" s="3">
        <f>$D369*TCA!J369/100</f>
        <v>0.05</v>
      </c>
      <c r="K369" s="3">
        <f>$D369*TCA!K369/100</f>
        <v>0.05</v>
      </c>
      <c r="L369" s="3">
        <f>$D369*TCA!L369/100</f>
        <v>0.14000000000000001</v>
      </c>
      <c r="M369" s="3">
        <f>$D369*TCA!M369/100</f>
        <v>0</v>
      </c>
      <c r="N369" s="3">
        <f>$D369*TCA!N369/100</f>
        <v>7</v>
      </c>
      <c r="O369" s="3">
        <f>$D369*TCA!O369/100</f>
        <v>24</v>
      </c>
      <c r="P369" s="3">
        <f t="shared" si="5"/>
        <v>30</v>
      </c>
      <c r="Q369" s="3">
        <f>$D369*TCA!P369/100</f>
        <v>0.6</v>
      </c>
      <c r="R369" s="3">
        <f>$D369*TCA!Q369/100</f>
        <v>237</v>
      </c>
      <c r="S369" s="3">
        <f>$D369*TCA!R369/100</f>
        <v>5</v>
      </c>
      <c r="T369" s="3">
        <f>$D369*TCA!S369/100</f>
        <v>0.17</v>
      </c>
      <c r="U369" s="3">
        <f>$D369*TCA!T369/100</f>
        <v>23</v>
      </c>
      <c r="V369" s="3">
        <f>$D369*TCA!U369/100</f>
        <v>42</v>
      </c>
      <c r="W369" s="3">
        <f>$D369*TCA!V369/100</f>
        <v>15</v>
      </c>
      <c r="X369" s="3">
        <f>$D369*TCA!W369/100</f>
        <v>0</v>
      </c>
    </row>
    <row r="370" spans="1:24" x14ac:dyDescent="0.25">
      <c r="A370" s="3" t="s">
        <v>2027</v>
      </c>
      <c r="B370" s="3" t="s">
        <v>731</v>
      </c>
      <c r="C370" s="3" t="s">
        <v>732</v>
      </c>
      <c r="D370" s="3">
        <v>100</v>
      </c>
      <c r="E370" s="3">
        <f>$D370*TCA!E370/100</f>
        <v>35.299999999999997</v>
      </c>
      <c r="F370" s="3">
        <f>$D370*TCA!F370/100</f>
        <v>1.5</v>
      </c>
      <c r="G370" s="3">
        <f>$D370*TCA!G370/100</f>
        <v>0.1</v>
      </c>
      <c r="H370" s="3">
        <f>$D370*TCA!H370/100</f>
        <v>7.1</v>
      </c>
      <c r="I370" s="3">
        <f>$D370*TCA!I370/100</f>
        <v>0</v>
      </c>
      <c r="J370" s="3">
        <f>$D370*TCA!J370/100</f>
        <v>0.01</v>
      </c>
      <c r="K370" s="3">
        <f>$D370*TCA!K370/100</f>
        <v>0.01</v>
      </c>
      <c r="L370" s="3">
        <f>$D370*TCA!L370/100</f>
        <v>0.04</v>
      </c>
      <c r="M370" s="3">
        <f>$D370*TCA!M370/100</f>
        <v>0</v>
      </c>
      <c r="N370" s="3">
        <f>$D370*TCA!N370/100</f>
        <v>59</v>
      </c>
      <c r="O370" s="3">
        <f>$D370*TCA!O370/100</f>
        <v>0</v>
      </c>
      <c r="P370" s="3">
        <f t="shared" si="5"/>
        <v>0</v>
      </c>
      <c r="Q370" s="3">
        <f>$D370*TCA!P370/100</f>
        <v>6</v>
      </c>
      <c r="R370" s="3">
        <f>$D370*TCA!Q370/100</f>
        <v>207</v>
      </c>
      <c r="S370" s="3">
        <f>$D370*TCA!R370/100</f>
        <v>8</v>
      </c>
      <c r="T370" s="3">
        <f>$D370*TCA!S370/100</f>
        <v>0.11</v>
      </c>
      <c r="U370" s="3">
        <f>$D370*TCA!T370/100</f>
        <v>85</v>
      </c>
      <c r="V370" s="3">
        <f>$D370*TCA!U370/100</f>
        <v>500</v>
      </c>
      <c r="W370" s="3">
        <f>$D370*TCA!V370/100</f>
        <v>0</v>
      </c>
      <c r="X370" s="3">
        <f>$D370*TCA!W370/100</f>
        <v>0</v>
      </c>
    </row>
    <row r="371" spans="1:24" x14ac:dyDescent="0.25">
      <c r="A371" s="3" t="s">
        <v>2027</v>
      </c>
      <c r="B371" s="3" t="s">
        <v>733</v>
      </c>
      <c r="C371" s="3" t="s">
        <v>734</v>
      </c>
      <c r="D371" s="3">
        <v>100</v>
      </c>
      <c r="E371" s="3">
        <f>$D371*TCA!E371/100</f>
        <v>41.6</v>
      </c>
      <c r="F371" s="3">
        <f>$D371*TCA!F371/100</f>
        <v>1.89</v>
      </c>
      <c r="G371" s="3">
        <f>$D371*TCA!G371/100</f>
        <v>0.28000000000000003</v>
      </c>
      <c r="H371" s="3">
        <f>$D371*TCA!H371/100</f>
        <v>7.88</v>
      </c>
      <c r="I371" s="3">
        <f>$D371*TCA!I371/100</f>
        <v>3.2</v>
      </c>
      <c r="J371" s="3">
        <f>$D371*TCA!J371/100</f>
        <v>0.06</v>
      </c>
      <c r="K371" s="3">
        <f>$D371*TCA!K371/100</f>
        <v>0.01</v>
      </c>
      <c r="L371" s="3">
        <f>$D371*TCA!L371/100</f>
        <v>0.14000000000000001</v>
      </c>
      <c r="M371" s="3">
        <f>$D371*TCA!M371/100</f>
        <v>0</v>
      </c>
      <c r="N371" s="3">
        <f>$D371*TCA!N371/100</f>
        <v>44</v>
      </c>
      <c r="O371" s="3">
        <f>$D371*TCA!O371/100</f>
        <v>29</v>
      </c>
      <c r="P371" s="3">
        <f t="shared" si="5"/>
        <v>15.343915343915345</v>
      </c>
      <c r="Q371" s="3">
        <f>$D371*TCA!P371/100</f>
        <v>0.65</v>
      </c>
      <c r="R371" s="3">
        <f>$D371*TCA!Q371/100</f>
        <v>146</v>
      </c>
      <c r="S371" s="3">
        <f>$D371*TCA!R371/100</f>
        <v>1</v>
      </c>
      <c r="T371" s="3">
        <f>$D371*TCA!S371/100</f>
        <v>0.25</v>
      </c>
      <c r="U371" s="3">
        <f>$D371*TCA!T371/100</f>
        <v>10</v>
      </c>
      <c r="V371" s="3">
        <f>$D371*TCA!U371/100</f>
        <v>35</v>
      </c>
      <c r="W371" s="3">
        <f>$D371*TCA!V371/100</f>
        <v>33</v>
      </c>
      <c r="X371" s="3">
        <f>$D371*TCA!W371/100</f>
        <v>0</v>
      </c>
    </row>
    <row r="372" spans="1:24" x14ac:dyDescent="0.25">
      <c r="A372" s="3" t="s">
        <v>2027</v>
      </c>
      <c r="B372" s="3" t="s">
        <v>735</v>
      </c>
      <c r="C372" s="3" t="s">
        <v>736</v>
      </c>
      <c r="D372" s="3">
        <v>100</v>
      </c>
      <c r="E372" s="3">
        <f>$D372*TCA!E372/100</f>
        <v>37.18</v>
      </c>
      <c r="F372" s="3">
        <f>$D372*TCA!F372/100</f>
        <v>1.83</v>
      </c>
      <c r="G372" s="3">
        <f>$D372*TCA!G372/100</f>
        <v>0.22</v>
      </c>
      <c r="H372" s="3">
        <f>$D372*TCA!H372/100</f>
        <v>6.97</v>
      </c>
      <c r="I372" s="3">
        <f>$D372*TCA!I372/100</f>
        <v>2.7</v>
      </c>
      <c r="J372" s="3">
        <f>$D372*TCA!J372/100</f>
        <v>0.05</v>
      </c>
      <c r="K372" s="3">
        <f>$D372*TCA!K372/100</f>
        <v>0.01</v>
      </c>
      <c r="L372" s="3">
        <f>$D372*TCA!L372/100</f>
        <v>0.11</v>
      </c>
      <c r="M372" s="3">
        <f>$D372*TCA!M372/100</f>
        <v>0</v>
      </c>
      <c r="N372" s="3">
        <f>$D372*TCA!N372/100</f>
        <v>37</v>
      </c>
      <c r="O372" s="3">
        <f>$D372*TCA!O372/100</f>
        <v>38</v>
      </c>
      <c r="P372" s="3">
        <f t="shared" si="5"/>
        <v>20.765027322404372</v>
      </c>
      <c r="Q372" s="3">
        <f>$D372*TCA!P372/100</f>
        <v>1.03</v>
      </c>
      <c r="R372" s="3">
        <f>$D372*TCA!Q372/100</f>
        <v>211</v>
      </c>
      <c r="S372" s="3">
        <f>$D372*TCA!R372/100</f>
        <v>6</v>
      </c>
      <c r="T372" s="3">
        <f>$D372*TCA!S372/100</f>
        <v>0.24</v>
      </c>
      <c r="U372" s="3">
        <f>$D372*TCA!T372/100</f>
        <v>12.2</v>
      </c>
      <c r="V372" s="3">
        <f>$D372*TCA!U372/100</f>
        <v>35</v>
      </c>
      <c r="W372" s="3">
        <f>$D372*TCA!V372/100</f>
        <v>33</v>
      </c>
      <c r="X372" s="3">
        <f>$D372*TCA!W372/100</f>
        <v>0</v>
      </c>
    </row>
    <row r="373" spans="1:24" x14ac:dyDescent="0.25">
      <c r="A373" s="3" t="s">
        <v>2027</v>
      </c>
      <c r="B373" s="3" t="s">
        <v>737</v>
      </c>
      <c r="C373" s="3" t="s">
        <v>738</v>
      </c>
      <c r="D373" s="3">
        <v>100</v>
      </c>
      <c r="E373" s="3">
        <f>$D373*TCA!E373/100</f>
        <v>40.5</v>
      </c>
      <c r="F373" s="3">
        <f>$D373*TCA!F373/100</f>
        <v>0.6</v>
      </c>
      <c r="G373" s="3">
        <f>$D373*TCA!G373/100</f>
        <v>0.1</v>
      </c>
      <c r="H373" s="3">
        <f>$D373*TCA!H373/100</f>
        <v>9.3000000000000007</v>
      </c>
      <c r="I373" s="3">
        <f>$D373*TCA!I373/100</f>
        <v>0</v>
      </c>
      <c r="J373" s="3">
        <f>$D373*TCA!J373/100</f>
        <v>0.03</v>
      </c>
      <c r="K373" s="3">
        <f>$D373*TCA!K373/100</f>
        <v>0.01</v>
      </c>
      <c r="L373" s="3">
        <f>$D373*TCA!L373/100</f>
        <v>0.06</v>
      </c>
      <c r="M373" s="3">
        <f>$D373*TCA!M373/100</f>
        <v>0</v>
      </c>
      <c r="N373" s="3">
        <f>$D373*TCA!N373/100</f>
        <v>24</v>
      </c>
      <c r="O373" s="3">
        <f>$D373*TCA!O373/100</f>
        <v>0</v>
      </c>
      <c r="P373" s="3">
        <f t="shared" si="5"/>
        <v>0</v>
      </c>
      <c r="Q373" s="3">
        <f>$D373*TCA!P373/100</f>
        <v>0.5</v>
      </c>
      <c r="R373" s="3">
        <f>$D373*TCA!Q373/100</f>
        <v>292</v>
      </c>
      <c r="S373" s="3">
        <f>$D373*TCA!R373/100</f>
        <v>29</v>
      </c>
      <c r="T373" s="3">
        <f>$D373*TCA!S373/100</f>
        <v>0.18</v>
      </c>
      <c r="U373" s="3">
        <f>$D373*TCA!T373/100</f>
        <v>9</v>
      </c>
      <c r="V373" s="3">
        <f>$D373*TCA!U373/100</f>
        <v>1545</v>
      </c>
      <c r="W373" s="3">
        <f>$D373*TCA!V373/100</f>
        <v>0</v>
      </c>
      <c r="X373" s="3">
        <f>$D373*TCA!W373/100</f>
        <v>0</v>
      </c>
    </row>
    <row r="374" spans="1:24" x14ac:dyDescent="0.25">
      <c r="A374" s="3" t="s">
        <v>2027</v>
      </c>
      <c r="B374" s="3" t="s">
        <v>739</v>
      </c>
      <c r="C374" s="3" t="s">
        <v>740</v>
      </c>
      <c r="D374" s="3">
        <v>100</v>
      </c>
      <c r="E374" s="3">
        <f>$D374*TCA!E374/100</f>
        <v>42.1</v>
      </c>
      <c r="F374" s="3">
        <f>$D374*TCA!F374/100</f>
        <v>0.9</v>
      </c>
      <c r="G374" s="3">
        <f>$D374*TCA!G374/100</f>
        <v>0.1</v>
      </c>
      <c r="H374" s="3">
        <f>$D374*TCA!H374/100</f>
        <v>9.4</v>
      </c>
      <c r="I374" s="3">
        <f>$D374*TCA!I374/100</f>
        <v>2.9</v>
      </c>
      <c r="J374" s="3">
        <f>$D374*TCA!J374/100</f>
        <v>0.03</v>
      </c>
      <c r="K374" s="3">
        <f>$D374*TCA!K374/100</f>
        <v>0.01</v>
      </c>
      <c r="L374" s="3">
        <f>$D374*TCA!L374/100</f>
        <v>7.0000000000000007E-2</v>
      </c>
      <c r="M374" s="3">
        <f>$D374*TCA!M374/100</f>
        <v>0</v>
      </c>
      <c r="N374" s="3">
        <f>$D374*TCA!N374/100</f>
        <v>32</v>
      </c>
      <c r="O374" s="3">
        <f>$D374*TCA!O374/100</f>
        <v>28</v>
      </c>
      <c r="P374" s="3">
        <f t="shared" si="5"/>
        <v>31.111111111111111</v>
      </c>
      <c r="Q374" s="3">
        <f>$D374*TCA!P374/100</f>
        <v>0.6</v>
      </c>
      <c r="R374" s="3">
        <f>$D374*TCA!Q374/100</f>
        <v>323</v>
      </c>
      <c r="S374" s="3">
        <f>$D374*TCA!R374/100</f>
        <v>35</v>
      </c>
      <c r="T374" s="3">
        <f>$D374*TCA!S374/100</f>
        <v>0.2</v>
      </c>
      <c r="U374" s="3">
        <f>$D374*TCA!T374/100</f>
        <v>6</v>
      </c>
      <c r="V374" s="3">
        <f>$D374*TCA!U374/100</f>
        <v>666</v>
      </c>
      <c r="W374" s="3">
        <f>$D374*TCA!V374/100</f>
        <v>0</v>
      </c>
      <c r="X374" s="3">
        <f>$D374*TCA!W374/100</f>
        <v>0</v>
      </c>
    </row>
    <row r="375" spans="1:24" x14ac:dyDescent="0.25">
      <c r="A375" s="3" t="s">
        <v>2027</v>
      </c>
      <c r="B375" s="3" t="s">
        <v>741</v>
      </c>
      <c r="C375" s="3" t="s">
        <v>742</v>
      </c>
      <c r="D375" s="3">
        <v>100</v>
      </c>
      <c r="E375" s="3">
        <f>$D375*TCA!E375/100</f>
        <v>37.54</v>
      </c>
      <c r="F375" s="3">
        <f>$D375*TCA!F375/100</f>
        <v>0.76</v>
      </c>
      <c r="G375" s="3">
        <f>$D375*TCA!G375/100</f>
        <v>0.18</v>
      </c>
      <c r="H375" s="3">
        <f>$D375*TCA!H375/100</f>
        <v>8.2200000000000006</v>
      </c>
      <c r="I375" s="3">
        <f>$D375*TCA!I375/100</f>
        <v>3</v>
      </c>
      <c r="J375" s="3">
        <f>$D375*TCA!J375/100</f>
        <v>0.04</v>
      </c>
      <c r="K375" s="3">
        <f>$D375*TCA!K375/100</f>
        <v>0.01</v>
      </c>
      <c r="L375" s="3">
        <f>$D375*TCA!L375/100</f>
        <v>0.11</v>
      </c>
      <c r="M375" s="3">
        <f>$D375*TCA!M375/100</f>
        <v>0</v>
      </c>
      <c r="N375" s="3">
        <f>$D375*TCA!N375/100</f>
        <v>30</v>
      </c>
      <c r="O375" s="3">
        <f>$D375*TCA!O375/100</f>
        <v>30</v>
      </c>
      <c r="P375" s="3">
        <f t="shared" si="5"/>
        <v>39.473684210526315</v>
      </c>
      <c r="Q375" s="3">
        <f>$D375*TCA!P375/100</f>
        <v>0.34</v>
      </c>
      <c r="R375" s="3">
        <f>$D375*TCA!Q375/100</f>
        <v>235</v>
      </c>
      <c r="S375" s="3">
        <f>$D375*TCA!R375/100</f>
        <v>58</v>
      </c>
      <c r="T375" s="3">
        <f>$D375*TCA!S375/100</f>
        <v>0.2</v>
      </c>
      <c r="U375" s="3">
        <f>$D375*TCA!T375/100</f>
        <v>4</v>
      </c>
      <c r="V375" s="3">
        <f>$D375*TCA!U375/100</f>
        <v>860</v>
      </c>
      <c r="W375" s="3">
        <f>$D375*TCA!V375/100</f>
        <v>14</v>
      </c>
      <c r="X375" s="3">
        <f>$D375*TCA!W375/100</f>
        <v>0</v>
      </c>
    </row>
    <row r="376" spans="1:24" x14ac:dyDescent="0.25">
      <c r="A376" s="3" t="s">
        <v>2027</v>
      </c>
      <c r="B376" s="3" t="s">
        <v>743</v>
      </c>
      <c r="C376" s="3" t="s">
        <v>744</v>
      </c>
      <c r="D376" s="3">
        <v>100</v>
      </c>
      <c r="E376" s="3">
        <f>$D376*TCA!E376/100</f>
        <v>34.6</v>
      </c>
      <c r="F376" s="3">
        <f>$D376*TCA!F376/100</f>
        <v>0.6</v>
      </c>
      <c r="G376" s="3">
        <f>$D376*TCA!G376/100</f>
        <v>0.2</v>
      </c>
      <c r="H376" s="3">
        <f>$D376*TCA!H376/100</f>
        <v>7.6</v>
      </c>
      <c r="I376" s="3">
        <f>$D376*TCA!I376/100</f>
        <v>0.5</v>
      </c>
      <c r="J376" s="3">
        <f>$D376*TCA!J376/100</f>
        <v>0.05</v>
      </c>
      <c r="K376" s="3">
        <f>$D376*TCA!K376/100</f>
        <v>0.01</v>
      </c>
      <c r="L376" s="3">
        <f>$D376*TCA!L376/100</f>
        <v>0</v>
      </c>
      <c r="M376" s="3">
        <f>$D376*TCA!M376/100</f>
        <v>0</v>
      </c>
      <c r="N376" s="3">
        <f>$D376*TCA!N376/100</f>
        <v>19</v>
      </c>
      <c r="O376" s="3">
        <f>$D376*TCA!O376/100</f>
        <v>22</v>
      </c>
      <c r="P376" s="3">
        <f t="shared" si="5"/>
        <v>36.666666666666671</v>
      </c>
      <c r="Q376" s="3">
        <f>$D376*TCA!P376/100</f>
        <v>0.5</v>
      </c>
      <c r="R376" s="3">
        <f>$D376*TCA!Q376/100</f>
        <v>340</v>
      </c>
      <c r="S376" s="3">
        <f>$D376*TCA!R376/100</f>
        <v>1</v>
      </c>
      <c r="T376" s="3">
        <f>$D376*TCA!S376/100</f>
        <v>0.32</v>
      </c>
      <c r="U376" s="3">
        <f>$D376*TCA!T376/100</f>
        <v>15</v>
      </c>
      <c r="V376" s="3">
        <f>$D376*TCA!U376/100</f>
        <v>143</v>
      </c>
      <c r="W376" s="3">
        <f>$D376*TCA!V376/100</f>
        <v>16</v>
      </c>
      <c r="X376" s="3">
        <f>$D376*TCA!W376/100</f>
        <v>0</v>
      </c>
    </row>
    <row r="377" spans="1:24" x14ac:dyDescent="0.25">
      <c r="A377" s="3" t="s">
        <v>2027</v>
      </c>
      <c r="B377" s="3" t="s">
        <v>745</v>
      </c>
      <c r="C377" s="3" t="s">
        <v>746</v>
      </c>
      <c r="D377" s="3">
        <v>100</v>
      </c>
      <c r="E377" s="3">
        <f>$D377*TCA!E377/100</f>
        <v>58.74</v>
      </c>
      <c r="F377" s="3">
        <f>$D377*TCA!F377/100</f>
        <v>2.48</v>
      </c>
      <c r="G377" s="3">
        <f>$D377*TCA!G377/100</f>
        <v>0.62</v>
      </c>
      <c r="H377" s="3">
        <f>$D377*TCA!H377/100</f>
        <v>10.81</v>
      </c>
      <c r="I377" s="3">
        <f>$D377*TCA!I377/100</f>
        <v>4.9000000000000004</v>
      </c>
      <c r="J377" s="3">
        <f>$D377*TCA!J377/100</f>
        <v>0.14000000000000001</v>
      </c>
      <c r="K377" s="3">
        <f>$D377*TCA!K377/100</f>
        <v>0.03</v>
      </c>
      <c r="L377" s="3">
        <f>$D377*TCA!L377/100</f>
        <v>7.0000000000000007E-2</v>
      </c>
      <c r="M377" s="3">
        <f>$D377*TCA!M377/100</f>
        <v>0</v>
      </c>
      <c r="N377" s="3">
        <f>$D377*TCA!N377/100</f>
        <v>17</v>
      </c>
      <c r="O377" s="3">
        <f>$D377*TCA!O377/100</f>
        <v>23</v>
      </c>
      <c r="P377" s="3">
        <f t="shared" si="5"/>
        <v>9.2741935483870961</v>
      </c>
      <c r="Q377" s="3">
        <f>$D377*TCA!P377/100</f>
        <v>0.47</v>
      </c>
      <c r="R377" s="3">
        <f>$D377*TCA!Q377/100</f>
        <v>358</v>
      </c>
      <c r="S377" s="3">
        <f>$D377*TCA!R377/100</f>
        <v>8</v>
      </c>
      <c r="T377" s="3">
        <f>$D377*TCA!S377/100</f>
        <v>0.15</v>
      </c>
      <c r="U377" s="3">
        <f>$D377*TCA!T377/100</f>
        <v>9.5</v>
      </c>
      <c r="V377" s="3">
        <f>$D377*TCA!U377/100</f>
        <v>6705</v>
      </c>
      <c r="W377" s="3">
        <f>$D377*TCA!V377/100</f>
        <v>16</v>
      </c>
      <c r="X377" s="3">
        <f>$D377*TCA!W377/100</f>
        <v>0</v>
      </c>
    </row>
    <row r="378" spans="1:24" x14ac:dyDescent="0.25">
      <c r="A378" s="3" t="s">
        <v>2027</v>
      </c>
      <c r="B378" s="3" t="s">
        <v>747</v>
      </c>
      <c r="C378" s="3" t="s">
        <v>748</v>
      </c>
      <c r="D378" s="3">
        <v>100</v>
      </c>
      <c r="E378" s="3">
        <f>$D378*TCA!E378/100</f>
        <v>20.010000000000002</v>
      </c>
      <c r="F378" s="3">
        <f>$D378*TCA!F378/100</f>
        <v>1.1499999999999999</v>
      </c>
      <c r="G378" s="3">
        <f>$D378*TCA!G378/100</f>
        <v>0.13</v>
      </c>
      <c r="H378" s="3">
        <f>$D378*TCA!H378/100</f>
        <v>3.56</v>
      </c>
      <c r="I378" s="3">
        <f>$D378*TCA!I378/100</f>
        <v>1.3</v>
      </c>
      <c r="J378" s="3">
        <f>$D378*TCA!J378/100</f>
        <v>0.03</v>
      </c>
      <c r="K378" s="3">
        <f>$D378*TCA!K378/100</f>
        <v>0.01</v>
      </c>
      <c r="L378" s="3">
        <f>$D378*TCA!L378/100</f>
        <v>0.06</v>
      </c>
      <c r="M378" s="3">
        <f>$D378*TCA!M378/100</f>
        <v>0</v>
      </c>
      <c r="N378" s="3">
        <f>$D378*TCA!N378/100</f>
        <v>17</v>
      </c>
      <c r="O378" s="3">
        <f>$D378*TCA!O378/100</f>
        <v>25</v>
      </c>
      <c r="P378" s="3">
        <f t="shared" si="5"/>
        <v>21.739130434782609</v>
      </c>
      <c r="Q378" s="3">
        <f>$D378*TCA!P378/100</f>
        <v>0.48</v>
      </c>
      <c r="R378" s="3">
        <f>$D378*TCA!Q378/100</f>
        <v>194</v>
      </c>
      <c r="S378" s="3">
        <f>$D378*TCA!R378/100</f>
        <v>2</v>
      </c>
      <c r="T378" s="3">
        <f>$D378*TCA!S378/100</f>
        <v>0.2</v>
      </c>
      <c r="U378" s="3">
        <f>$D378*TCA!T378/100</f>
        <v>3.7</v>
      </c>
      <c r="V378" s="3">
        <f>$D378*TCA!U378/100</f>
        <v>9</v>
      </c>
      <c r="W378" s="3">
        <f>$D378*TCA!V378/100</f>
        <v>8</v>
      </c>
      <c r="X378" s="3">
        <f>$D378*TCA!W378/100</f>
        <v>0</v>
      </c>
    </row>
    <row r="379" spans="1:24" x14ac:dyDescent="0.25">
      <c r="A379" s="3" t="s">
        <v>2027</v>
      </c>
      <c r="B379" s="3" t="s">
        <v>749</v>
      </c>
      <c r="C379" s="3" t="s">
        <v>750</v>
      </c>
      <c r="D379" s="3">
        <v>100</v>
      </c>
      <c r="E379" s="3">
        <f>$D379*TCA!E379/100</f>
        <v>20.16</v>
      </c>
      <c r="F379" s="3">
        <f>$D379*TCA!F379/100</f>
        <v>1.21</v>
      </c>
      <c r="G379" s="3">
        <f>$D379*TCA!G379/100</f>
        <v>0.32</v>
      </c>
      <c r="H379" s="3">
        <f>$D379*TCA!H379/100</f>
        <v>3.11</v>
      </c>
      <c r="I379" s="3">
        <f>$D379*TCA!I379/100</f>
        <v>1</v>
      </c>
      <c r="J379" s="3">
        <f>$D379*TCA!J379/100</f>
        <v>0.08</v>
      </c>
      <c r="K379" s="3">
        <f>$D379*TCA!K379/100</f>
        <v>0.01</v>
      </c>
      <c r="L379" s="3">
        <f>$D379*TCA!L379/100</f>
        <v>0.09</v>
      </c>
      <c r="M379" s="3">
        <f>$D379*TCA!M379/100</f>
        <v>0</v>
      </c>
      <c r="N379" s="3">
        <f>$D379*TCA!N379/100</f>
        <v>16</v>
      </c>
      <c r="O379" s="3">
        <f>$D379*TCA!O379/100</f>
        <v>38</v>
      </c>
      <c r="P379" s="3">
        <f t="shared" si="5"/>
        <v>31.404958677685951</v>
      </c>
      <c r="Q379" s="3">
        <f>$D379*TCA!P379/100</f>
        <v>0.37</v>
      </c>
      <c r="R379" s="3">
        <f>$D379*TCA!Q379/100</f>
        <v>261</v>
      </c>
      <c r="S379" s="3">
        <f>$D379*TCA!R379/100</f>
        <v>8</v>
      </c>
      <c r="T379" s="3">
        <f>$D379*TCA!S379/100</f>
        <v>0.32</v>
      </c>
      <c r="U379" s="3">
        <f>$D379*TCA!T379/100</f>
        <v>17.899999999999999</v>
      </c>
      <c r="V379" s="3">
        <f>$D379*TCA!U379/100</f>
        <v>10</v>
      </c>
      <c r="W379" s="3">
        <f>$D379*TCA!V379/100</f>
        <v>24</v>
      </c>
      <c r="X379" s="3">
        <f>$D379*TCA!W379/100</f>
        <v>0</v>
      </c>
    </row>
    <row r="380" spans="1:24" x14ac:dyDescent="0.25">
      <c r="A380" s="7"/>
      <c r="B380" s="7"/>
      <c r="C380" s="7"/>
      <c r="D380" s="3">
        <v>100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x14ac:dyDescent="0.25">
      <c r="A381" s="3" t="s">
        <v>2028</v>
      </c>
      <c r="B381" s="3" t="s">
        <v>751</v>
      </c>
      <c r="C381" s="3" t="s">
        <v>752</v>
      </c>
      <c r="D381" s="3">
        <v>100</v>
      </c>
      <c r="E381" s="3">
        <f>$D381*TCA!E381/100</f>
        <v>121.27</v>
      </c>
      <c r="F381" s="3">
        <f>$D381*TCA!F381/100</f>
        <v>8.34</v>
      </c>
      <c r="G381" s="3">
        <f>$D381*TCA!G381/100</f>
        <v>0.39</v>
      </c>
      <c r="H381" s="3">
        <f>$D381*TCA!H381/100</f>
        <v>21.1</v>
      </c>
      <c r="I381" s="3">
        <f>$D381*TCA!I381/100</f>
        <v>8.3000000000000007</v>
      </c>
      <c r="J381" s="3">
        <f>$D381*TCA!J381/100</f>
        <v>0.05</v>
      </c>
      <c r="K381" s="3">
        <f>$D381*TCA!K381/100</f>
        <v>0.08</v>
      </c>
      <c r="L381" s="3">
        <f>$D381*TCA!L381/100</f>
        <v>0.17</v>
      </c>
      <c r="M381" s="3">
        <f>$D381*TCA!M381/100</f>
        <v>0</v>
      </c>
      <c r="N381" s="3">
        <f>$D381*TCA!N381/100</f>
        <v>14</v>
      </c>
      <c r="O381" s="3">
        <f>$D381*TCA!O381/100</f>
        <v>99</v>
      </c>
      <c r="P381" s="3">
        <f t="shared" si="5"/>
        <v>11.870503597122303</v>
      </c>
      <c r="Q381" s="3">
        <f>$D381*TCA!P381/100</f>
        <v>1.29</v>
      </c>
      <c r="R381" s="3">
        <f>$D381*TCA!Q381/100</f>
        <v>362</v>
      </c>
      <c r="S381" s="3">
        <f>$D381*TCA!R381/100</f>
        <v>2</v>
      </c>
      <c r="T381" s="3">
        <f>$D381*TCA!S381/100</f>
        <v>1</v>
      </c>
      <c r="U381" s="3">
        <f>$D381*TCA!T381/100</f>
        <v>0</v>
      </c>
      <c r="V381" s="3">
        <f>$D381*TCA!U381/100</f>
        <v>0</v>
      </c>
      <c r="W381" s="3">
        <f>$D381*TCA!V381/100</f>
        <v>65</v>
      </c>
      <c r="X381" s="3">
        <f>$D381*TCA!W381/100</f>
        <v>0</v>
      </c>
    </row>
    <row r="382" spans="1:24" x14ac:dyDescent="0.25">
      <c r="A382" s="3" t="s">
        <v>2028</v>
      </c>
      <c r="B382" s="3" t="s">
        <v>753</v>
      </c>
      <c r="C382" s="3" t="s">
        <v>754</v>
      </c>
      <c r="D382" s="3">
        <v>100</v>
      </c>
      <c r="E382" s="3">
        <f>$D382*TCA!E382/100</f>
        <v>350.12</v>
      </c>
      <c r="F382" s="3">
        <f>$D382*TCA!F382/100</f>
        <v>24.55</v>
      </c>
      <c r="G382" s="3">
        <f>$D382*TCA!G382/100</f>
        <v>1.1599999999999999</v>
      </c>
      <c r="H382" s="3">
        <f>$D382*TCA!H382/100</f>
        <v>60.37</v>
      </c>
      <c r="I382" s="3">
        <f>$D382*TCA!I382/100</f>
        <v>25.5</v>
      </c>
      <c r="J382" s="3">
        <f>$D382*TCA!J382/100</f>
        <v>0.16</v>
      </c>
      <c r="K382" s="3">
        <f>$D382*TCA!K382/100</f>
        <v>0.24</v>
      </c>
      <c r="L382" s="3">
        <f>$D382*TCA!L382/100</f>
        <v>0.5</v>
      </c>
      <c r="M382" s="3">
        <f>$D382*TCA!M382/100</f>
        <v>0</v>
      </c>
      <c r="N382" s="3">
        <f>$D382*TCA!N382/100</f>
        <v>55</v>
      </c>
      <c r="O382" s="3">
        <f>$D382*TCA!O382/100</f>
        <v>366</v>
      </c>
      <c r="P382" s="3">
        <f t="shared" si="5"/>
        <v>14.908350305498981</v>
      </c>
      <c r="Q382" s="3">
        <f>$D382*TCA!P382/100</f>
        <v>4.43</v>
      </c>
      <c r="R382" s="3">
        <f>$D382*TCA!Q382/100</f>
        <v>981</v>
      </c>
      <c r="S382" s="3">
        <f>$D382*TCA!R382/100</f>
        <v>15</v>
      </c>
      <c r="T382" s="3">
        <f>$D382*TCA!S382/100</f>
        <v>3.01</v>
      </c>
      <c r="U382" s="3">
        <f>$D382*TCA!T382/100</f>
        <v>2</v>
      </c>
      <c r="V382" s="3">
        <f>$D382*TCA!U382/100</f>
        <v>7</v>
      </c>
      <c r="W382" s="3">
        <f>$D382*TCA!V382/100</f>
        <v>274</v>
      </c>
      <c r="X382" s="3">
        <f>$D382*TCA!W382/100</f>
        <v>0</v>
      </c>
    </row>
    <row r="383" spans="1:24" x14ac:dyDescent="0.25">
      <c r="A383" s="3" t="s">
        <v>2028</v>
      </c>
      <c r="B383" s="3" t="s">
        <v>755</v>
      </c>
      <c r="C383" s="3" t="s">
        <v>756</v>
      </c>
      <c r="D383" s="3">
        <v>100</v>
      </c>
      <c r="E383" s="3">
        <f>$D383*TCA!E383/100</f>
        <v>150.94</v>
      </c>
      <c r="F383" s="3">
        <f>$D383*TCA!F383/100</f>
        <v>13.09</v>
      </c>
      <c r="G383" s="3">
        <f>$D383*TCA!G383/100</f>
        <v>6.7</v>
      </c>
      <c r="H383" s="3">
        <f>$D383*TCA!H383/100</f>
        <v>9.57</v>
      </c>
      <c r="I383" s="3">
        <f>$D383*TCA!I383/100</f>
        <v>1.1000000000000001</v>
      </c>
      <c r="J383" s="3">
        <f>$D383*TCA!J383/100</f>
        <v>0.93</v>
      </c>
      <c r="K383" s="3">
        <f>$D383*TCA!K383/100</f>
        <v>1.52</v>
      </c>
      <c r="L383" s="3">
        <f>$D383*TCA!L383/100</f>
        <v>3.78</v>
      </c>
      <c r="M383" s="3">
        <f>$D383*TCA!M383/100</f>
        <v>0</v>
      </c>
      <c r="N383" s="3">
        <f>$D383*TCA!N383/100</f>
        <v>67</v>
      </c>
      <c r="O383" s="3">
        <f>$D383*TCA!O383/100</f>
        <v>164</v>
      </c>
      <c r="P383" s="3">
        <f t="shared" si="5"/>
        <v>12.528647822765469</v>
      </c>
      <c r="Q383" s="3">
        <f>$D383*TCA!P383/100</f>
        <v>2.1</v>
      </c>
      <c r="R383" s="3">
        <f>$D383*TCA!Q383/100</f>
        <v>484</v>
      </c>
      <c r="S383" s="3">
        <f>$D383*TCA!R383/100</f>
        <v>14</v>
      </c>
      <c r="T383" s="3">
        <f>$D383*TCA!S383/100</f>
        <v>1.17</v>
      </c>
      <c r="U383" s="3">
        <f>$D383*TCA!T383/100</f>
        <v>15</v>
      </c>
      <c r="V383" s="3">
        <f>$D383*TCA!U383/100</f>
        <v>1</v>
      </c>
      <c r="W383" s="3">
        <f>$D383*TCA!V383/100</f>
        <v>172</v>
      </c>
      <c r="X383" s="3">
        <f>$D383*TCA!W383/100</f>
        <v>0</v>
      </c>
    </row>
    <row r="384" spans="1:24" x14ac:dyDescent="0.25">
      <c r="A384" s="3" t="s">
        <v>2028</v>
      </c>
      <c r="B384" s="3" t="s">
        <v>757</v>
      </c>
      <c r="C384" s="3" t="s">
        <v>758</v>
      </c>
      <c r="D384" s="3">
        <v>100</v>
      </c>
      <c r="E384" s="3">
        <f>$D384*TCA!E384/100</f>
        <v>128.08000000000001</v>
      </c>
      <c r="F384" s="3">
        <f>$D384*TCA!F384/100</f>
        <v>15.57</v>
      </c>
      <c r="G384" s="3">
        <f>$D384*TCA!G384/100</f>
        <v>2.92</v>
      </c>
      <c r="H384" s="3">
        <f>$D384*TCA!H384/100</f>
        <v>9.8800000000000008</v>
      </c>
      <c r="I384" s="3">
        <f>$D384*TCA!I384/100</f>
        <v>2.8</v>
      </c>
      <c r="J384" s="3">
        <f>$D384*TCA!J384/100</f>
        <v>0.35</v>
      </c>
      <c r="K384" s="3">
        <f>$D384*TCA!K384/100</f>
        <v>1.1200000000000001</v>
      </c>
      <c r="L384" s="3">
        <f>$D384*TCA!L384/100</f>
        <v>0.73</v>
      </c>
      <c r="M384" s="3">
        <f>$D384*TCA!M384/100</f>
        <v>0</v>
      </c>
      <c r="N384" s="3">
        <f>$D384*TCA!N384/100</f>
        <v>51</v>
      </c>
      <c r="O384" s="3">
        <f>$D384*TCA!O384/100</f>
        <v>128</v>
      </c>
      <c r="P384" s="3">
        <f t="shared" si="5"/>
        <v>8.2209377007064859</v>
      </c>
      <c r="Q384" s="3">
        <f>$D384*TCA!P384/100</f>
        <v>1.2</v>
      </c>
      <c r="R384" s="3">
        <f>$D384*TCA!Q384/100</f>
        <v>245</v>
      </c>
      <c r="S384" s="3">
        <f>$D384*TCA!R384/100</f>
        <v>4</v>
      </c>
      <c r="T384" s="3">
        <f>$D384*TCA!S384/100</f>
        <v>1.35</v>
      </c>
      <c r="U384" s="3">
        <f>$D384*TCA!T384/100</f>
        <v>1.1000000000000001</v>
      </c>
      <c r="V384" s="3">
        <f>$D384*TCA!U384/100</f>
        <v>0</v>
      </c>
      <c r="W384" s="3">
        <f>$D384*TCA!V384/100</f>
        <v>59</v>
      </c>
      <c r="X384" s="3">
        <f>$D384*TCA!W384/100</f>
        <v>0</v>
      </c>
    </row>
    <row r="385" spans="1:24" x14ac:dyDescent="0.25">
      <c r="A385" s="3" t="s">
        <v>2028</v>
      </c>
      <c r="B385" s="3" t="s">
        <v>759</v>
      </c>
      <c r="C385" s="3" t="s">
        <v>760</v>
      </c>
      <c r="D385" s="3">
        <v>100</v>
      </c>
      <c r="E385" s="3">
        <f>$D385*TCA!E385/100</f>
        <v>128.08000000000001</v>
      </c>
      <c r="F385" s="3">
        <f>$D385*TCA!F385/100</f>
        <v>15.57</v>
      </c>
      <c r="G385" s="3">
        <f>$D385*TCA!G385/100</f>
        <v>2.92</v>
      </c>
      <c r="H385" s="3">
        <f>$D385*TCA!H385/100</f>
        <v>9.8800000000000008</v>
      </c>
      <c r="I385" s="3">
        <f>$D385*TCA!I385/100</f>
        <v>2.8</v>
      </c>
      <c r="J385" s="3">
        <f>$D385*TCA!J385/100</f>
        <v>0.35</v>
      </c>
      <c r="K385" s="3">
        <f>$D385*TCA!K385/100</f>
        <v>1.18</v>
      </c>
      <c r="L385" s="3">
        <f>$D385*TCA!L385/100</f>
        <v>0.73</v>
      </c>
      <c r="M385" s="3">
        <f>$D385*TCA!M385/100</f>
        <v>0</v>
      </c>
      <c r="N385" s="3">
        <f>$D385*TCA!N385/100</f>
        <v>51</v>
      </c>
      <c r="O385" s="3">
        <f>$D385*TCA!O385/100</f>
        <v>128</v>
      </c>
      <c r="P385" s="3">
        <f t="shared" si="5"/>
        <v>8.2209377007064859</v>
      </c>
      <c r="Q385" s="3">
        <f>$D385*TCA!P385/100</f>
        <v>1.2</v>
      </c>
      <c r="R385" s="3">
        <f>$D385*TCA!Q385/100</f>
        <v>245</v>
      </c>
      <c r="S385" s="3">
        <f>$D385*TCA!R385/100</f>
        <v>4</v>
      </c>
      <c r="T385" s="3">
        <f>$D385*TCA!S385/100</f>
        <v>1.38</v>
      </c>
      <c r="U385" s="3">
        <f>$D385*TCA!T385/100</f>
        <v>1.1000000000000001</v>
      </c>
      <c r="V385" s="3">
        <f>$D385*TCA!U385/100</f>
        <v>0</v>
      </c>
      <c r="W385" s="3">
        <f>$D385*TCA!V385/100</f>
        <v>59</v>
      </c>
      <c r="X385" s="3">
        <f>$D385*TCA!W385/100</f>
        <v>0</v>
      </c>
    </row>
    <row r="386" spans="1:24" x14ac:dyDescent="0.25">
      <c r="A386" s="3" t="s">
        <v>2028</v>
      </c>
      <c r="B386" s="3" t="s">
        <v>761</v>
      </c>
      <c r="C386" s="3" t="s">
        <v>762</v>
      </c>
      <c r="D386" s="3">
        <v>100</v>
      </c>
      <c r="E386" s="3">
        <f>$D386*TCA!E386/100</f>
        <v>393.82</v>
      </c>
      <c r="F386" s="3">
        <f>$D386*TCA!F386/100</f>
        <v>36.17</v>
      </c>
      <c r="G386" s="3">
        <f>$D386*TCA!G386/100</f>
        <v>9.74</v>
      </c>
      <c r="H386" s="3">
        <f>$D386*TCA!H386/100</f>
        <v>40.369999999999997</v>
      </c>
      <c r="I386" s="3">
        <f>$D386*TCA!I386/100</f>
        <v>18.899999999999999</v>
      </c>
      <c r="J386" s="3">
        <f>$D386*TCA!J386/100</f>
        <v>1.1599999999999999</v>
      </c>
      <c r="K386" s="3">
        <f>$D386*TCA!K386/100</f>
        <v>3.94</v>
      </c>
      <c r="L386" s="3">
        <f>$D386*TCA!L386/100</f>
        <v>2.44</v>
      </c>
      <c r="M386" s="3">
        <f>$D386*TCA!M386/100</f>
        <v>0</v>
      </c>
      <c r="N386" s="3">
        <f>$D386*TCA!N386/100</f>
        <v>176</v>
      </c>
      <c r="O386" s="3">
        <f>$D386*TCA!O386/100</f>
        <v>440</v>
      </c>
      <c r="P386" s="3">
        <f t="shared" si="5"/>
        <v>12.164777439867294</v>
      </c>
      <c r="Q386" s="3">
        <f>$D386*TCA!P386/100</f>
        <v>4.3600000000000003</v>
      </c>
      <c r="R386" s="3">
        <f>$D386*TCA!Q386/100</f>
        <v>1013</v>
      </c>
      <c r="S386" s="3">
        <f>$D386*TCA!R386/100</f>
        <v>15</v>
      </c>
      <c r="T386" s="3">
        <f>$D386*TCA!S386/100</f>
        <v>4.75</v>
      </c>
      <c r="U386" s="3">
        <f>$D386*TCA!T386/100</f>
        <v>4.8</v>
      </c>
      <c r="V386" s="3">
        <f>$D386*TCA!U386/100</f>
        <v>0</v>
      </c>
      <c r="W386" s="3">
        <f>$D386*TCA!V386/100</f>
        <v>355</v>
      </c>
      <c r="X386" s="3">
        <f>$D386*TCA!W386/100</f>
        <v>0</v>
      </c>
    </row>
    <row r="387" spans="1:24" x14ac:dyDescent="0.25">
      <c r="A387" s="3" t="s">
        <v>2028</v>
      </c>
      <c r="B387" s="3" t="s">
        <v>763</v>
      </c>
      <c r="C387" s="3" t="s">
        <v>764</v>
      </c>
      <c r="D387" s="3">
        <v>100</v>
      </c>
      <c r="E387" s="3">
        <f>$D387*TCA!E387/100</f>
        <v>347.18</v>
      </c>
      <c r="F387" s="3">
        <f>$D387*TCA!F387/100</f>
        <v>21.86</v>
      </c>
      <c r="G387" s="3">
        <f>$D387*TCA!G387/100</f>
        <v>1.1399999999999999</v>
      </c>
      <c r="H387" s="3">
        <f>$D387*TCA!H387/100</f>
        <v>62.37</v>
      </c>
      <c r="I387" s="3">
        <f>$D387*TCA!I387/100</f>
        <v>20.2</v>
      </c>
      <c r="J387" s="3">
        <f>$D387*TCA!J387/100</f>
        <v>0.36</v>
      </c>
      <c r="K387" s="3">
        <f>$D387*TCA!K387/100</f>
        <v>0.05</v>
      </c>
      <c r="L387" s="3">
        <f>$D387*TCA!L387/100</f>
        <v>0.48</v>
      </c>
      <c r="M387" s="3">
        <f>$D387*TCA!M387/100</f>
        <v>0</v>
      </c>
      <c r="N387" s="3">
        <f>$D387*TCA!N387/100</f>
        <v>175</v>
      </c>
      <c r="O387" s="3">
        <f>$D387*TCA!O387/100</f>
        <v>447</v>
      </c>
      <c r="P387" s="3">
        <f t="shared" si="5"/>
        <v>20.448307410795977</v>
      </c>
      <c r="Q387" s="3">
        <f>$D387*TCA!P387/100</f>
        <v>5.47</v>
      </c>
      <c r="R387" s="3">
        <f>$D387*TCA!Q387/100</f>
        <v>1387</v>
      </c>
      <c r="S387" s="3">
        <f>$D387*TCA!R387/100</f>
        <v>14</v>
      </c>
      <c r="T387" s="3">
        <f>$D387*TCA!S387/100</f>
        <v>2.31</v>
      </c>
      <c r="U387" s="3">
        <f>$D387*TCA!T387/100</f>
        <v>5.3</v>
      </c>
      <c r="V387" s="3">
        <f>$D387*TCA!U387/100</f>
        <v>0</v>
      </c>
      <c r="W387" s="3">
        <f>$D387*TCA!V387/100</f>
        <v>482</v>
      </c>
      <c r="X387" s="3">
        <f>$D387*TCA!W387/100</f>
        <v>0</v>
      </c>
    </row>
    <row r="388" spans="1:24" x14ac:dyDescent="0.25">
      <c r="A388" s="3" t="s">
        <v>2028</v>
      </c>
      <c r="B388" s="3" t="s">
        <v>765</v>
      </c>
      <c r="C388" s="3" t="s">
        <v>766</v>
      </c>
      <c r="D388" s="3">
        <v>100</v>
      </c>
      <c r="E388" s="3">
        <f>$D388*TCA!E388/100</f>
        <v>142.43</v>
      </c>
      <c r="F388" s="3">
        <f>$D388*TCA!F388/100</f>
        <v>9.73</v>
      </c>
      <c r="G388" s="3">
        <f>$D388*TCA!G388/100</f>
        <v>0.35</v>
      </c>
      <c r="H388" s="3">
        <f>$D388*TCA!H388/100</f>
        <v>25.09</v>
      </c>
      <c r="I388" s="3">
        <f>$D388*TCA!I388/100</f>
        <v>6.3</v>
      </c>
      <c r="J388" s="3">
        <f>$D388*TCA!J388/100</f>
        <v>0.09</v>
      </c>
      <c r="K388" s="3">
        <f>$D388*TCA!K388/100</f>
        <v>0.03</v>
      </c>
      <c r="L388" s="3">
        <f>$D388*TCA!L388/100</f>
        <v>0.15</v>
      </c>
      <c r="M388" s="3">
        <f>$D388*TCA!M388/100</f>
        <v>0</v>
      </c>
      <c r="N388" s="3">
        <f>$D388*TCA!N388/100</f>
        <v>90</v>
      </c>
      <c r="O388" s="3">
        <f>$D388*TCA!O388/100</f>
        <v>113</v>
      </c>
      <c r="P388" s="3">
        <f t="shared" ref="P388:P451" si="6">O388/F388</f>
        <v>11.613566289825282</v>
      </c>
      <c r="Q388" s="3">
        <f>$D388*TCA!P388/100</f>
        <v>3.7</v>
      </c>
      <c r="R388" s="3">
        <f>$D388*TCA!Q388/100</f>
        <v>561</v>
      </c>
      <c r="S388" s="3">
        <f>$D388*TCA!R388/100</f>
        <v>6</v>
      </c>
      <c r="T388" s="3">
        <f>$D388*TCA!S388/100</f>
        <v>1.38</v>
      </c>
      <c r="U388" s="3">
        <f>$D388*TCA!T388/100</f>
        <v>0</v>
      </c>
      <c r="V388" s="3">
        <f>$D388*TCA!U388/100</f>
        <v>0</v>
      </c>
      <c r="W388" s="3">
        <f>$D388*TCA!V388/100</f>
        <v>81</v>
      </c>
      <c r="X388" s="3">
        <f>$D388*TCA!W388/100</f>
        <v>0</v>
      </c>
    </row>
    <row r="389" spans="1:24" x14ac:dyDescent="0.25">
      <c r="A389" s="3" t="s">
        <v>2028</v>
      </c>
      <c r="B389" s="3" t="s">
        <v>767</v>
      </c>
      <c r="C389" s="3" t="s">
        <v>768</v>
      </c>
      <c r="D389" s="3">
        <v>100</v>
      </c>
      <c r="E389" s="3">
        <f>$D389*TCA!E389/100</f>
        <v>342.17</v>
      </c>
      <c r="F389" s="3">
        <f>$D389*TCA!F389/100</f>
        <v>23.36</v>
      </c>
      <c r="G389" s="3">
        <f>$D389*TCA!G389/100</f>
        <v>0.85</v>
      </c>
      <c r="H389" s="3">
        <f>$D389*TCA!H389/100</f>
        <v>60.27</v>
      </c>
      <c r="I389" s="3">
        <f>$D389*TCA!I389/100</f>
        <v>15.2</v>
      </c>
      <c r="J389" s="3">
        <f>$D389*TCA!J389/100</f>
        <v>0.22</v>
      </c>
      <c r="K389" s="3">
        <f>$D389*TCA!K389/100</f>
        <v>7.0000000000000007E-2</v>
      </c>
      <c r="L389" s="3">
        <f>$D389*TCA!L389/100</f>
        <v>0.36</v>
      </c>
      <c r="M389" s="3">
        <f>$D389*TCA!M389/100</f>
        <v>0</v>
      </c>
      <c r="N389" s="3">
        <f>$D389*TCA!N389/100</f>
        <v>240</v>
      </c>
      <c r="O389" s="3">
        <f>$D389*TCA!O389/100</f>
        <v>301</v>
      </c>
      <c r="P389" s="3">
        <f t="shared" si="6"/>
        <v>12.885273972602739</v>
      </c>
      <c r="Q389" s="3">
        <f>$D389*TCA!P389/100</f>
        <v>10.44</v>
      </c>
      <c r="R389" s="3">
        <f>$D389*TCA!Q389/100</f>
        <v>1795</v>
      </c>
      <c r="S389" s="3">
        <f>$D389*TCA!R389/100</f>
        <v>16</v>
      </c>
      <c r="T389" s="3">
        <f>$D389*TCA!S389/100</f>
        <v>3.67</v>
      </c>
      <c r="U389" s="3">
        <f>$D389*TCA!T389/100</f>
        <v>0</v>
      </c>
      <c r="V389" s="3">
        <f>$D389*TCA!U389/100</f>
        <v>0</v>
      </c>
      <c r="W389" s="3">
        <f>$D389*TCA!V389/100</f>
        <v>388</v>
      </c>
      <c r="X389" s="3">
        <f>$D389*TCA!W389/100</f>
        <v>0</v>
      </c>
    </row>
    <row r="390" spans="1:24" x14ac:dyDescent="0.25">
      <c r="A390" s="3" t="s">
        <v>2028</v>
      </c>
      <c r="B390" s="3" t="s">
        <v>769</v>
      </c>
      <c r="C390" s="3" t="s">
        <v>770</v>
      </c>
      <c r="D390" s="3">
        <v>100</v>
      </c>
      <c r="E390" s="3">
        <f>$D390*TCA!E390/100</f>
        <v>87.3</v>
      </c>
      <c r="F390" s="3">
        <f>$D390*TCA!F390/100</f>
        <v>5.2</v>
      </c>
      <c r="G390" s="3">
        <f>$D390*TCA!G390/100</f>
        <v>0.5</v>
      </c>
      <c r="H390" s="3">
        <f>$D390*TCA!H390/100</f>
        <v>15.5</v>
      </c>
      <c r="I390" s="3">
        <f>$D390*TCA!I390/100</f>
        <v>10.4</v>
      </c>
      <c r="J390" s="3">
        <f>$D390*TCA!J390/100</f>
        <v>0</v>
      </c>
      <c r="K390" s="3">
        <f>$D390*TCA!K390/100</f>
        <v>0</v>
      </c>
      <c r="L390" s="3">
        <f>$D390*TCA!L390/100</f>
        <v>0</v>
      </c>
      <c r="M390" s="3">
        <f>$D390*TCA!M390/100</f>
        <v>0</v>
      </c>
      <c r="N390" s="3">
        <f>$D390*TCA!N390/100</f>
        <v>45</v>
      </c>
      <c r="O390" s="3">
        <f>$D390*TCA!O390/100</f>
        <v>85</v>
      </c>
      <c r="P390" s="3">
        <f t="shared" si="6"/>
        <v>16.346153846153847</v>
      </c>
      <c r="Q390" s="3">
        <f>$D390*TCA!P390/100</f>
        <v>1.6</v>
      </c>
      <c r="R390" s="3">
        <f>$D390*TCA!Q390/100</f>
        <v>0</v>
      </c>
      <c r="S390" s="3">
        <f>$D390*TCA!R390/100</f>
        <v>0</v>
      </c>
      <c r="T390" s="3">
        <f>$D390*TCA!S390/100</f>
        <v>1.06</v>
      </c>
      <c r="U390" s="3">
        <f>$D390*TCA!T390/100</f>
        <v>0</v>
      </c>
      <c r="V390" s="3">
        <f>$D390*TCA!U390/100</f>
        <v>0</v>
      </c>
      <c r="W390" s="3">
        <f>$D390*TCA!V390/100</f>
        <v>0</v>
      </c>
      <c r="X390" s="3">
        <f>$D390*TCA!W390/100</f>
        <v>0</v>
      </c>
    </row>
    <row r="391" spans="1:24" x14ac:dyDescent="0.25">
      <c r="A391" s="3" t="s">
        <v>2028</v>
      </c>
      <c r="B391" s="3" t="s">
        <v>771</v>
      </c>
      <c r="C391" s="3" t="s">
        <v>772</v>
      </c>
      <c r="D391" s="3">
        <v>100</v>
      </c>
      <c r="E391" s="3">
        <f>$D391*TCA!E391/100</f>
        <v>346.9</v>
      </c>
      <c r="F391" s="3">
        <f>$D391*TCA!F391/100</f>
        <v>21.9</v>
      </c>
      <c r="G391" s="3">
        <f>$D391*TCA!G391/100</f>
        <v>2.1</v>
      </c>
      <c r="H391" s="3">
        <f>$D391*TCA!H391/100</f>
        <v>60.1</v>
      </c>
      <c r="I391" s="3">
        <f>$D391*TCA!I391/100</f>
        <v>25.1</v>
      </c>
      <c r="J391" s="3">
        <f>$D391*TCA!J391/100</f>
        <v>0</v>
      </c>
      <c r="K391" s="3">
        <f>$D391*TCA!K391/100</f>
        <v>0</v>
      </c>
      <c r="L391" s="3">
        <f>$D391*TCA!L391/100</f>
        <v>0</v>
      </c>
      <c r="M391" s="3">
        <f>$D391*TCA!M391/100</f>
        <v>0</v>
      </c>
      <c r="N391" s="3">
        <f>$D391*TCA!N391/100</f>
        <v>138</v>
      </c>
      <c r="O391" s="3">
        <f>$D391*TCA!O391/100</f>
        <v>351</v>
      </c>
      <c r="P391" s="3">
        <f t="shared" si="6"/>
        <v>16.027397260273975</v>
      </c>
      <c r="Q391" s="3">
        <f>$D391*TCA!P391/100</f>
        <v>6.6</v>
      </c>
      <c r="R391" s="3">
        <f>$D391*TCA!Q391/100</f>
        <v>1212</v>
      </c>
      <c r="S391" s="3">
        <f>$D391*TCA!R391/100</f>
        <v>43</v>
      </c>
      <c r="T391" s="3">
        <f>$D391*TCA!S391/100</f>
        <v>2.83</v>
      </c>
      <c r="U391" s="3">
        <f>$D391*TCA!T391/100</f>
        <v>6.3</v>
      </c>
      <c r="V391" s="3">
        <f>$D391*TCA!U391/100</f>
        <v>0</v>
      </c>
      <c r="W391" s="3">
        <f>$D391*TCA!V391/100</f>
        <v>0</v>
      </c>
      <c r="X391" s="3">
        <f>$D391*TCA!W391/100</f>
        <v>0</v>
      </c>
    </row>
    <row r="392" spans="1:24" x14ac:dyDescent="0.25">
      <c r="A392" s="3" t="s">
        <v>2028</v>
      </c>
      <c r="B392" s="3" t="s">
        <v>773</v>
      </c>
      <c r="C392" s="3" t="s">
        <v>774</v>
      </c>
      <c r="D392" s="3">
        <v>100</v>
      </c>
      <c r="E392" s="3">
        <f>$D392*TCA!E392/100</f>
        <v>346.2</v>
      </c>
      <c r="F392" s="3">
        <f>$D392*TCA!F392/100</f>
        <v>19.2</v>
      </c>
      <c r="G392" s="3">
        <f>$D392*TCA!G392/100</f>
        <v>1.8</v>
      </c>
      <c r="H392" s="3">
        <f>$D392*TCA!H392/100</f>
        <v>63.3</v>
      </c>
      <c r="I392" s="3">
        <f>$D392*TCA!I392/100</f>
        <v>24.9</v>
      </c>
      <c r="J392" s="3">
        <f>$D392*TCA!J392/100</f>
        <v>0</v>
      </c>
      <c r="K392" s="3">
        <f>$D392*TCA!K392/100</f>
        <v>0</v>
      </c>
      <c r="L392" s="3">
        <f>$D392*TCA!L392/100</f>
        <v>0</v>
      </c>
      <c r="M392" s="3">
        <f>$D392*TCA!M392/100</f>
        <v>0</v>
      </c>
      <c r="N392" s="3">
        <f>$D392*TCA!N392/100</f>
        <v>149</v>
      </c>
      <c r="O392" s="3">
        <f>$D392*TCA!O392/100</f>
        <v>362</v>
      </c>
      <c r="P392" s="3">
        <f t="shared" si="6"/>
        <v>18.854166666666668</v>
      </c>
      <c r="Q392" s="3">
        <f>$D392*TCA!P392/100</f>
        <v>4</v>
      </c>
      <c r="R392" s="3">
        <f>$D392*TCA!Q392/100</f>
        <v>1212</v>
      </c>
      <c r="S392" s="3">
        <f>$D392*TCA!R392/100</f>
        <v>43</v>
      </c>
      <c r="T392" s="3">
        <f>$D392*TCA!S392/100</f>
        <v>2.79</v>
      </c>
      <c r="U392" s="3">
        <f>$D392*TCA!T392/100</f>
        <v>4.5</v>
      </c>
      <c r="V392" s="3">
        <f>$D392*TCA!U392/100</f>
        <v>0</v>
      </c>
      <c r="W392" s="3">
        <f>$D392*TCA!V392/100</f>
        <v>0</v>
      </c>
      <c r="X392" s="3">
        <f>$D392*TCA!W392/100</f>
        <v>0</v>
      </c>
    </row>
    <row r="393" spans="1:24" x14ac:dyDescent="0.25">
      <c r="A393" s="3" t="s">
        <v>2028</v>
      </c>
      <c r="B393" s="3" t="s">
        <v>775</v>
      </c>
      <c r="C393" s="3" t="s">
        <v>776</v>
      </c>
      <c r="D393" s="3">
        <v>100</v>
      </c>
      <c r="E393" s="3">
        <f>$D393*TCA!E393/100</f>
        <v>337.4</v>
      </c>
      <c r="F393" s="3">
        <f>$D393*TCA!F393/100</f>
        <v>21.2</v>
      </c>
      <c r="G393" s="3">
        <f>$D393*TCA!G393/100</f>
        <v>1.4</v>
      </c>
      <c r="H393" s="3">
        <f>$D393*TCA!H393/100</f>
        <v>60</v>
      </c>
      <c r="I393" s="3">
        <f>$D393*TCA!I393/100</f>
        <v>24.9</v>
      </c>
      <c r="J393" s="3">
        <f>$D393*TCA!J393/100</f>
        <v>0</v>
      </c>
      <c r="K393" s="3">
        <f>$D393*TCA!K393/100</f>
        <v>0</v>
      </c>
      <c r="L393" s="3">
        <f>$D393*TCA!L393/100</f>
        <v>0</v>
      </c>
      <c r="M393" s="3">
        <f>$D393*TCA!M393/100</f>
        <v>0</v>
      </c>
      <c r="N393" s="3">
        <f>$D393*TCA!N393/100</f>
        <v>129</v>
      </c>
      <c r="O393" s="3">
        <f>$D393*TCA!O393/100</f>
        <v>413</v>
      </c>
      <c r="P393" s="3">
        <f t="shared" si="6"/>
        <v>19.481132075471699</v>
      </c>
      <c r="Q393" s="3">
        <f>$D393*TCA!P393/100</f>
        <v>9.9</v>
      </c>
      <c r="R393" s="3">
        <f>$D393*TCA!Q393/100</f>
        <v>0</v>
      </c>
      <c r="S393" s="3">
        <f>$D393*TCA!R393/100</f>
        <v>0</v>
      </c>
      <c r="T393" s="3">
        <f>$D393*TCA!S393/100</f>
        <v>2.79</v>
      </c>
      <c r="U393" s="3">
        <f>$D393*TCA!T393/100</f>
        <v>4.5</v>
      </c>
      <c r="V393" s="3">
        <f>$D393*TCA!U393/100</f>
        <v>0</v>
      </c>
      <c r="W393" s="3">
        <f>$D393*TCA!V393/100</f>
        <v>0</v>
      </c>
      <c r="X393" s="3">
        <f>$D393*TCA!W393/100</f>
        <v>0</v>
      </c>
    </row>
    <row r="394" spans="1:24" x14ac:dyDescent="0.25">
      <c r="A394" s="3" t="s">
        <v>2028</v>
      </c>
      <c r="B394" s="3" t="s">
        <v>777</v>
      </c>
      <c r="C394" s="3" t="s">
        <v>778</v>
      </c>
      <c r="D394" s="3">
        <v>100</v>
      </c>
      <c r="E394" s="3">
        <f>$D394*TCA!E394/100</f>
        <v>135.13999999999999</v>
      </c>
      <c r="F394" s="3">
        <f>$D394*TCA!F394/100</f>
        <v>8.86</v>
      </c>
      <c r="G394" s="3">
        <f>$D394*TCA!G394/100</f>
        <v>0.54</v>
      </c>
      <c r="H394" s="3">
        <f>$D394*TCA!H394/100</f>
        <v>23.71</v>
      </c>
      <c r="I394" s="3">
        <f>$D394*TCA!I394/100</f>
        <v>8.6999999999999993</v>
      </c>
      <c r="J394" s="3">
        <f>$D394*TCA!J394/100</f>
        <v>0.14000000000000001</v>
      </c>
      <c r="K394" s="3">
        <f>$D394*TCA!K394/100</f>
        <v>0.05</v>
      </c>
      <c r="L394" s="3">
        <f>$D394*TCA!L394/100</f>
        <v>0.23</v>
      </c>
      <c r="M394" s="3">
        <f>$D394*TCA!M394/100</f>
        <v>0</v>
      </c>
      <c r="N394" s="3">
        <f>$D394*TCA!N394/100</f>
        <v>27</v>
      </c>
      <c r="O394" s="3">
        <f>$D394*TCA!O394/100</f>
        <v>140</v>
      </c>
      <c r="P394" s="3">
        <f t="shared" si="6"/>
        <v>15.80135440180587</v>
      </c>
      <c r="Q394" s="3">
        <f>$D394*TCA!P394/100</f>
        <v>2.1</v>
      </c>
      <c r="R394" s="3">
        <f>$D394*TCA!Q394/100</f>
        <v>355</v>
      </c>
      <c r="S394" s="3">
        <f>$D394*TCA!R394/100</f>
        <v>1</v>
      </c>
      <c r="T394" s="3">
        <f>$D394*TCA!S394/100</f>
        <v>1.1200000000000001</v>
      </c>
      <c r="U394" s="3">
        <f>$D394*TCA!T394/100</f>
        <v>0</v>
      </c>
      <c r="V394" s="3">
        <f>$D394*TCA!U394/100</f>
        <v>0</v>
      </c>
      <c r="W394" s="3">
        <f>$D394*TCA!V394/100</f>
        <v>149</v>
      </c>
      <c r="X394" s="3">
        <f>$D394*TCA!W394/100</f>
        <v>0</v>
      </c>
    </row>
    <row r="395" spans="1:24" x14ac:dyDescent="0.25">
      <c r="A395" s="3" t="s">
        <v>2028</v>
      </c>
      <c r="B395" s="3" t="s">
        <v>779</v>
      </c>
      <c r="C395" s="3" t="s">
        <v>780</v>
      </c>
      <c r="D395" s="3">
        <v>100</v>
      </c>
      <c r="E395" s="3">
        <f>$D395*TCA!E395/100</f>
        <v>351.6</v>
      </c>
      <c r="F395" s="3">
        <f>$D395*TCA!F395/100</f>
        <v>22.7</v>
      </c>
      <c r="G395" s="3">
        <f>$D395*TCA!G395/100</f>
        <v>1.6</v>
      </c>
      <c r="H395" s="3">
        <f>$D395*TCA!H395/100</f>
        <v>61.6</v>
      </c>
      <c r="I395" s="3">
        <f>$D395*TCA!I395/100</f>
        <v>18.37</v>
      </c>
      <c r="J395" s="3">
        <f>$D395*TCA!J395/100</f>
        <v>0.28999999999999998</v>
      </c>
      <c r="K395" s="3">
        <f>$D395*TCA!K395/100</f>
        <v>0.1</v>
      </c>
      <c r="L395" s="3">
        <f>$D395*TCA!L395/100</f>
        <v>0.27</v>
      </c>
      <c r="M395" s="3">
        <f>$D395*TCA!M395/100</f>
        <v>0</v>
      </c>
      <c r="N395" s="3">
        <f>$D395*TCA!N395/100</f>
        <v>134</v>
      </c>
      <c r="O395" s="3">
        <f>$D395*TCA!O395/100</f>
        <v>415</v>
      </c>
      <c r="P395" s="3">
        <f t="shared" si="6"/>
        <v>18.281938325991192</v>
      </c>
      <c r="Q395" s="3">
        <f>$D395*TCA!P395/100</f>
        <v>7.1</v>
      </c>
      <c r="R395" s="3">
        <f>$D395*TCA!Q395/100</f>
        <v>1464</v>
      </c>
      <c r="S395" s="3">
        <f>$D395*TCA!R395/100</f>
        <v>8</v>
      </c>
      <c r="T395" s="3">
        <f>$D395*TCA!S395/100</f>
        <v>2.5499999999999998</v>
      </c>
      <c r="U395" s="3">
        <f>$D395*TCA!T395/100</f>
        <v>1</v>
      </c>
      <c r="V395" s="3">
        <f>$D395*TCA!U395/100</f>
        <v>0</v>
      </c>
      <c r="W395" s="3">
        <f>$D395*TCA!V395/100</f>
        <v>0</v>
      </c>
      <c r="X395" s="3">
        <f>$D395*TCA!W395/100</f>
        <v>0</v>
      </c>
    </row>
    <row r="396" spans="1:24" x14ac:dyDescent="0.25">
      <c r="A396" s="3" t="s">
        <v>2028</v>
      </c>
      <c r="B396" s="3" t="s">
        <v>779</v>
      </c>
      <c r="C396" s="3" t="s">
        <v>780</v>
      </c>
      <c r="D396" s="3">
        <v>100</v>
      </c>
      <c r="E396" s="3">
        <f>$D396*TCA!E396/100</f>
        <v>348.62</v>
      </c>
      <c r="F396" s="3">
        <f>$D396*TCA!F396/100</f>
        <v>21.6</v>
      </c>
      <c r="G396" s="3">
        <f>$D396*TCA!G396/100</f>
        <v>1.42</v>
      </c>
      <c r="H396" s="3">
        <f>$D396*TCA!H396/100</f>
        <v>62.36</v>
      </c>
      <c r="I396" s="3">
        <f>$D396*TCA!I396/100</f>
        <v>15.5</v>
      </c>
      <c r="J396" s="3">
        <f>$D396*TCA!J396/100</f>
        <v>0.37</v>
      </c>
      <c r="K396" s="3">
        <f>$D396*TCA!K396/100</f>
        <v>0.12</v>
      </c>
      <c r="L396" s="3">
        <f>$D396*TCA!L396/100</f>
        <v>0.61</v>
      </c>
      <c r="M396" s="3">
        <f>$D396*TCA!M396/100</f>
        <v>0</v>
      </c>
      <c r="N396" s="3">
        <f>$D396*TCA!N396/100</f>
        <v>123</v>
      </c>
      <c r="O396" s="3">
        <f>$D396*TCA!O396/100</f>
        <v>352</v>
      </c>
      <c r="P396" s="3">
        <f t="shared" si="6"/>
        <v>16.296296296296294</v>
      </c>
      <c r="Q396" s="3">
        <f>$D396*TCA!P396/100</f>
        <v>5.0199999999999996</v>
      </c>
      <c r="R396" s="3">
        <f>$D396*TCA!Q396/100</f>
        <v>1483</v>
      </c>
      <c r="S396" s="3">
        <f>$D396*TCA!R396/100</f>
        <v>5</v>
      </c>
      <c r="T396" s="3">
        <f>$D396*TCA!S396/100</f>
        <v>3.65</v>
      </c>
      <c r="U396" s="3">
        <f>$D396*TCA!T396/100</f>
        <v>0</v>
      </c>
      <c r="V396" s="3">
        <f>$D396*TCA!U396/100</f>
        <v>0</v>
      </c>
      <c r="W396" s="3">
        <f>$D396*TCA!V396/100</f>
        <v>444</v>
      </c>
      <c r="X396" s="3">
        <f>$D396*TCA!W396/100</f>
        <v>0</v>
      </c>
    </row>
    <row r="397" spans="1:24" x14ac:dyDescent="0.25">
      <c r="A397" s="3" t="s">
        <v>2028</v>
      </c>
      <c r="B397" s="3" t="s">
        <v>781</v>
      </c>
      <c r="C397" s="3" t="s">
        <v>782</v>
      </c>
      <c r="D397" s="3">
        <v>100</v>
      </c>
      <c r="E397" s="3">
        <f>$D397*TCA!E397/100</f>
        <v>178.27</v>
      </c>
      <c r="F397" s="3">
        <f>$D397*TCA!F397/100</f>
        <v>4.3499999999999996</v>
      </c>
      <c r="G397" s="3">
        <f>$D397*TCA!G397/100</f>
        <v>4.3499999999999996</v>
      </c>
      <c r="H397" s="3">
        <f>$D397*TCA!H397/100</f>
        <v>30.43</v>
      </c>
      <c r="I397" s="3">
        <f>$D397*TCA!I397/100</f>
        <v>0</v>
      </c>
      <c r="J397" s="3">
        <f>$D397*TCA!J397/100</f>
        <v>0</v>
      </c>
      <c r="K397" s="3">
        <f>$D397*TCA!K397/100</f>
        <v>2.17</v>
      </c>
      <c r="L397" s="3">
        <f>$D397*TCA!L397/100</f>
        <v>0</v>
      </c>
      <c r="M397" s="3">
        <f>$D397*TCA!M397/100</f>
        <v>0</v>
      </c>
      <c r="N397" s="3">
        <f>$D397*TCA!N397/100</f>
        <v>0</v>
      </c>
      <c r="O397" s="3">
        <f>$D397*TCA!O397/100</f>
        <v>0</v>
      </c>
      <c r="P397" s="3">
        <f t="shared" si="6"/>
        <v>0</v>
      </c>
      <c r="Q397" s="3">
        <f>$D397*TCA!P397/100</f>
        <v>0</v>
      </c>
      <c r="R397" s="3">
        <f>$D397*TCA!Q397/100</f>
        <v>347.83</v>
      </c>
      <c r="S397" s="3">
        <f>$D397*TCA!R397/100</f>
        <v>347.83</v>
      </c>
      <c r="T397" s="3">
        <f>$D397*TCA!S397/100</f>
        <v>0</v>
      </c>
      <c r="U397" s="3">
        <f>$D397*TCA!T397/100</f>
        <v>0</v>
      </c>
      <c r="V397" s="3">
        <f>$D397*TCA!U397/100</f>
        <v>0</v>
      </c>
      <c r="W397" s="3">
        <f>$D397*TCA!V397/100</f>
        <v>0</v>
      </c>
      <c r="X397" s="3">
        <f>$D397*TCA!W397/100</f>
        <v>0</v>
      </c>
    </row>
    <row r="398" spans="1:24" x14ac:dyDescent="0.25">
      <c r="A398" s="3" t="s">
        <v>2028</v>
      </c>
      <c r="B398" s="3" t="s">
        <v>783</v>
      </c>
      <c r="C398" s="3" t="s">
        <v>784</v>
      </c>
      <c r="D398" s="3">
        <v>100</v>
      </c>
      <c r="E398" s="3">
        <f>$D398*TCA!E398/100</f>
        <v>130.38</v>
      </c>
      <c r="F398" s="3">
        <f>$D398*TCA!F398/100</f>
        <v>8.67</v>
      </c>
      <c r="G398" s="3">
        <f>$D398*TCA!G398/100</f>
        <v>0.5</v>
      </c>
      <c r="H398" s="3">
        <f>$D398*TCA!H398/100</f>
        <v>22.8</v>
      </c>
      <c r="I398" s="3">
        <f>$D398*TCA!I398/100</f>
        <v>7.4</v>
      </c>
      <c r="J398" s="3">
        <f>$D398*TCA!J398/100</f>
        <v>7.0000000000000007E-2</v>
      </c>
      <c r="K398" s="3">
        <f>$D398*TCA!K398/100</f>
        <v>0.04</v>
      </c>
      <c r="L398" s="3">
        <f>$D398*TCA!L398/100</f>
        <v>0.28000000000000003</v>
      </c>
      <c r="M398" s="3">
        <f>$D398*TCA!M398/100</f>
        <v>0</v>
      </c>
      <c r="N398" s="3">
        <f>$D398*TCA!N398/100</f>
        <v>28</v>
      </c>
      <c r="O398" s="3">
        <f>$D398*TCA!O398/100</f>
        <v>142</v>
      </c>
      <c r="P398" s="3">
        <f t="shared" si="6"/>
        <v>16.37831603229527</v>
      </c>
      <c r="Q398" s="3">
        <f>$D398*TCA!P398/100</f>
        <v>2.94</v>
      </c>
      <c r="R398" s="3">
        <f>$D398*TCA!Q398/100</f>
        <v>403</v>
      </c>
      <c r="S398" s="3">
        <f>$D398*TCA!R398/100</f>
        <v>2</v>
      </c>
      <c r="T398" s="3">
        <f>$D398*TCA!S398/100</f>
        <v>1.07</v>
      </c>
      <c r="U398" s="3">
        <f>$D398*TCA!T398/100</f>
        <v>1</v>
      </c>
      <c r="V398" s="3">
        <f>$D398*TCA!U398/100</f>
        <v>0</v>
      </c>
      <c r="W398" s="3">
        <f>$D398*TCA!V398/100</f>
        <v>130</v>
      </c>
      <c r="X398" s="3">
        <f>$D398*TCA!W398/100</f>
        <v>0</v>
      </c>
    </row>
    <row r="399" spans="1:24" x14ac:dyDescent="0.25">
      <c r="A399" s="3" t="s">
        <v>2028</v>
      </c>
      <c r="B399" s="3" t="s">
        <v>785</v>
      </c>
      <c r="C399" s="3" t="s">
        <v>786</v>
      </c>
      <c r="D399" s="3">
        <v>100</v>
      </c>
      <c r="E399" s="3">
        <f>$D399*TCA!E399/100</f>
        <v>344.82</v>
      </c>
      <c r="F399" s="3">
        <f>$D399*TCA!F399/100</f>
        <v>22.53</v>
      </c>
      <c r="G399" s="3">
        <f>$D399*TCA!G399/100</f>
        <v>1.06</v>
      </c>
      <c r="H399" s="3">
        <f>$D399*TCA!H399/100</f>
        <v>61.29</v>
      </c>
      <c r="I399" s="3">
        <f>$D399*TCA!I399/100</f>
        <v>15.2</v>
      </c>
      <c r="J399" s="3">
        <f>$D399*TCA!J399/100</f>
        <v>0.15</v>
      </c>
      <c r="K399" s="3">
        <f>$D399*TCA!K399/100</f>
        <v>0.08</v>
      </c>
      <c r="L399" s="3">
        <f>$D399*TCA!L399/100</f>
        <v>0.59</v>
      </c>
      <c r="M399" s="3">
        <f>$D399*TCA!M399/100</f>
        <v>0</v>
      </c>
      <c r="N399" s="3">
        <f>$D399*TCA!N399/100</f>
        <v>83</v>
      </c>
      <c r="O399" s="3">
        <f>$D399*TCA!O399/100</f>
        <v>406</v>
      </c>
      <c r="P399" s="3">
        <f t="shared" si="6"/>
        <v>18.020417221482468</v>
      </c>
      <c r="Q399" s="3">
        <f>$D399*TCA!P399/100</f>
        <v>6.69</v>
      </c>
      <c r="R399" s="3">
        <f>$D399*TCA!Q399/100</f>
        <v>1359</v>
      </c>
      <c r="S399" s="3">
        <f>$D399*TCA!R399/100</f>
        <v>12</v>
      </c>
      <c r="T399" s="3">
        <f>$D399*TCA!S399/100</f>
        <v>2.79</v>
      </c>
      <c r="U399" s="3">
        <f>$D399*TCA!T399/100</f>
        <v>5</v>
      </c>
      <c r="V399" s="3">
        <f>$D399*TCA!U399/100</f>
        <v>0</v>
      </c>
      <c r="W399" s="3">
        <f>$D399*TCA!V399/100</f>
        <v>394</v>
      </c>
      <c r="X399" s="3">
        <f>$D399*TCA!W399/100</f>
        <v>0</v>
      </c>
    </row>
    <row r="400" spans="1:24" x14ac:dyDescent="0.25">
      <c r="A400" s="3" t="s">
        <v>2028</v>
      </c>
      <c r="B400" s="3" t="s">
        <v>787</v>
      </c>
      <c r="C400" s="3" t="s">
        <v>788</v>
      </c>
      <c r="D400" s="3">
        <v>100</v>
      </c>
      <c r="E400" s="3">
        <f>$D400*TCA!E400/100</f>
        <v>168.43</v>
      </c>
      <c r="F400" s="3">
        <f>$D400*TCA!F400/100</f>
        <v>8.86</v>
      </c>
      <c r="G400" s="3">
        <f>$D400*TCA!G400/100</f>
        <v>2.59</v>
      </c>
      <c r="H400" s="3">
        <f>$D400*TCA!H400/100</f>
        <v>27.42</v>
      </c>
      <c r="I400" s="3">
        <f>$D400*TCA!I400/100</f>
        <v>7.6</v>
      </c>
      <c r="J400" s="3">
        <f>$D400*TCA!J400/100</f>
        <v>0.27</v>
      </c>
      <c r="K400" s="3">
        <f>$D400*TCA!K400/100</f>
        <v>0.57999999999999996</v>
      </c>
      <c r="L400" s="3">
        <f>$D400*TCA!L400/100</f>
        <v>1.1599999999999999</v>
      </c>
      <c r="M400" s="3">
        <f>$D400*TCA!M400/100</f>
        <v>0</v>
      </c>
      <c r="N400" s="3">
        <f>$D400*TCA!N400/100</f>
        <v>49</v>
      </c>
      <c r="O400" s="3">
        <f>$D400*TCA!O400/100</f>
        <v>168</v>
      </c>
      <c r="P400" s="3">
        <f t="shared" si="6"/>
        <v>18.961625282167045</v>
      </c>
      <c r="Q400" s="3">
        <f>$D400*TCA!P400/100</f>
        <v>2.89</v>
      </c>
      <c r="R400" s="3">
        <f>$D400*TCA!Q400/100</f>
        <v>291</v>
      </c>
      <c r="S400" s="3">
        <f>$D400*TCA!R400/100</f>
        <v>7</v>
      </c>
      <c r="T400" s="3">
        <f>$D400*TCA!S400/100</f>
        <v>153</v>
      </c>
      <c r="U400" s="3">
        <f>$D400*TCA!T400/100</f>
        <v>1.3</v>
      </c>
      <c r="V400" s="3">
        <f>$D400*TCA!U400/100</f>
        <v>1</v>
      </c>
      <c r="W400" s="3">
        <f>$D400*TCA!V400/100</f>
        <v>172</v>
      </c>
      <c r="X400" s="3">
        <f>$D400*TCA!W400/100</f>
        <v>0</v>
      </c>
    </row>
    <row r="401" spans="1:24" x14ac:dyDescent="0.25">
      <c r="A401" s="3" t="s">
        <v>2028</v>
      </c>
      <c r="B401" s="3" t="s">
        <v>789</v>
      </c>
      <c r="C401" s="3" t="s">
        <v>790</v>
      </c>
      <c r="D401" s="3">
        <v>100</v>
      </c>
      <c r="E401" s="3">
        <f>$D401*TCA!E401/100</f>
        <v>374.16</v>
      </c>
      <c r="F401" s="3">
        <f>$D401*TCA!F401/100</f>
        <v>19.3</v>
      </c>
      <c r="G401" s="3">
        <f>$D401*TCA!G401/100</f>
        <v>6.04</v>
      </c>
      <c r="H401" s="3">
        <f>$D401*TCA!H401/100</f>
        <v>60.65</v>
      </c>
      <c r="I401" s="3">
        <f>$D401*TCA!I401/100</f>
        <v>17.399999999999999</v>
      </c>
      <c r="J401" s="3">
        <f>$D401*TCA!J401/100</f>
        <v>0.63</v>
      </c>
      <c r="K401" s="3">
        <f>$D401*TCA!K401/100</f>
        <v>1.36</v>
      </c>
      <c r="L401" s="3">
        <f>$D401*TCA!L401/100</f>
        <v>2.69</v>
      </c>
      <c r="M401" s="3">
        <f>$D401*TCA!M401/100</f>
        <v>0</v>
      </c>
      <c r="N401" s="3">
        <f>$D401*TCA!N401/100</f>
        <v>105</v>
      </c>
      <c r="O401" s="3">
        <f>$D401*TCA!O401/100</f>
        <v>366</v>
      </c>
      <c r="P401" s="3">
        <f t="shared" si="6"/>
        <v>18.963730569948186</v>
      </c>
      <c r="Q401" s="3">
        <f>$D401*TCA!P401/100</f>
        <v>6.24</v>
      </c>
      <c r="R401" s="3">
        <f>$D401*TCA!Q401/100</f>
        <v>875</v>
      </c>
      <c r="S401" s="3">
        <f>$D401*TCA!R401/100</f>
        <v>24</v>
      </c>
      <c r="T401" s="3">
        <f>$D401*TCA!S401/100</f>
        <v>3.43</v>
      </c>
      <c r="U401" s="3">
        <f>$D401*TCA!T401/100</f>
        <v>4</v>
      </c>
      <c r="V401" s="3">
        <f>$D401*TCA!U401/100</f>
        <v>3</v>
      </c>
      <c r="W401" s="3">
        <f>$D401*TCA!V401/100</f>
        <v>557</v>
      </c>
      <c r="X401" s="3">
        <f>$D401*TCA!W401/100</f>
        <v>0</v>
      </c>
    </row>
    <row r="402" spans="1:24" x14ac:dyDescent="0.25">
      <c r="A402" s="3" t="s">
        <v>2028</v>
      </c>
      <c r="B402" s="3" t="s">
        <v>791</v>
      </c>
      <c r="C402" s="3" t="s">
        <v>792</v>
      </c>
      <c r="D402" s="3">
        <v>100</v>
      </c>
      <c r="E402" s="3">
        <f>$D402*TCA!E402/100</f>
        <v>221.72</v>
      </c>
      <c r="F402" s="3">
        <f>$D402*TCA!F402/100</f>
        <v>4.3499999999999996</v>
      </c>
      <c r="G402" s="3">
        <f>$D402*TCA!G402/100</f>
        <v>13.04</v>
      </c>
      <c r="H402" s="3">
        <f>$D402*TCA!H402/100</f>
        <v>21.74</v>
      </c>
      <c r="I402" s="3">
        <f>$D402*TCA!I402/100</f>
        <v>0</v>
      </c>
      <c r="J402" s="3">
        <f>$D402*TCA!J402/100</f>
        <v>0</v>
      </c>
      <c r="K402" s="3">
        <f>$D402*TCA!K402/100</f>
        <v>6.52</v>
      </c>
      <c r="L402" s="3">
        <f>$D402*TCA!L402/100</f>
        <v>2.17</v>
      </c>
      <c r="M402" s="3">
        <f>$D402*TCA!M402/100</f>
        <v>0</v>
      </c>
      <c r="N402" s="3">
        <f>$D402*TCA!N402/100</f>
        <v>0</v>
      </c>
      <c r="O402" s="3">
        <f>$D402*TCA!O402/100</f>
        <v>0</v>
      </c>
      <c r="P402" s="3">
        <f t="shared" si="6"/>
        <v>0</v>
      </c>
      <c r="Q402" s="3">
        <f>$D402*TCA!P402/100</f>
        <v>0</v>
      </c>
      <c r="R402" s="3">
        <f>$D402*TCA!Q402/100</f>
        <v>608.70000000000005</v>
      </c>
      <c r="S402" s="3">
        <f>$D402*TCA!R402/100</f>
        <v>608.70000000000005</v>
      </c>
      <c r="T402" s="3">
        <f>$D402*TCA!S402/100</f>
        <v>0</v>
      </c>
      <c r="U402" s="3">
        <f>$D402*TCA!T402/100</f>
        <v>0</v>
      </c>
      <c r="V402" s="3">
        <f>$D402*TCA!U402/100</f>
        <v>4.3499999999999996</v>
      </c>
      <c r="W402" s="3">
        <f>$D402*TCA!V402/100</f>
        <v>0</v>
      </c>
      <c r="X402" s="3">
        <f>$D402*TCA!W402/100</f>
        <v>0</v>
      </c>
    </row>
    <row r="403" spans="1:24" x14ac:dyDescent="0.25">
      <c r="A403" s="3" t="s">
        <v>2028</v>
      </c>
      <c r="B403" s="3" t="s">
        <v>793</v>
      </c>
      <c r="C403" s="3" t="s">
        <v>794</v>
      </c>
      <c r="D403" s="3">
        <v>100</v>
      </c>
      <c r="E403" s="3">
        <f>$D403*TCA!E403/100</f>
        <v>351.41</v>
      </c>
      <c r="F403" s="3">
        <f>$D403*TCA!F403/100</f>
        <v>26.12</v>
      </c>
      <c r="G403" s="3">
        <f>$D403*TCA!G403/100</f>
        <v>1.53</v>
      </c>
      <c r="H403" s="3">
        <f>$D403*TCA!H403/100</f>
        <v>58.29</v>
      </c>
      <c r="I403" s="3">
        <f>$D403*TCA!I403/100</f>
        <v>25</v>
      </c>
      <c r="J403" s="3">
        <f>$D403*TCA!J403/100</f>
        <v>0.25</v>
      </c>
      <c r="K403" s="3">
        <f>$D403*TCA!K403/100</f>
        <v>0.3</v>
      </c>
      <c r="L403" s="3">
        <f>$D403*TCA!L403/100</f>
        <v>0.63</v>
      </c>
      <c r="M403" s="3">
        <f>$D403*TCA!M403/100</f>
        <v>0</v>
      </c>
      <c r="N403" s="3">
        <f>$D403*TCA!N403/100</f>
        <v>103</v>
      </c>
      <c r="O403" s="3">
        <f>$D403*TCA!O403/100</f>
        <v>421</v>
      </c>
      <c r="P403" s="3">
        <f t="shared" si="6"/>
        <v>16.117917304747319</v>
      </c>
      <c r="Q403" s="3">
        <f>$D403*TCA!P403/100</f>
        <v>6.7</v>
      </c>
      <c r="R403" s="3">
        <f>$D403*TCA!Q403/100</f>
        <v>1062</v>
      </c>
      <c r="S403" s="3">
        <f>$D403*TCA!R403/100</f>
        <v>13</v>
      </c>
      <c r="T403" s="3">
        <f>$D403*TCA!S403/100</f>
        <v>3.14</v>
      </c>
      <c r="U403" s="3">
        <f>$D403*TCA!T403/100</f>
        <v>1</v>
      </c>
      <c r="V403" s="3">
        <f>$D403*TCA!U403/100</f>
        <v>3</v>
      </c>
      <c r="W403" s="3">
        <f>$D403*TCA!V403/100</f>
        <v>423</v>
      </c>
      <c r="X403" s="3">
        <f>$D403*TCA!W403/100</f>
        <v>0</v>
      </c>
    </row>
    <row r="404" spans="1:24" x14ac:dyDescent="0.25">
      <c r="A404" s="3" t="s">
        <v>2028</v>
      </c>
      <c r="B404" s="3" t="s">
        <v>795</v>
      </c>
      <c r="C404" s="3" t="s">
        <v>796</v>
      </c>
      <c r="D404" s="3">
        <v>100</v>
      </c>
      <c r="E404" s="3">
        <f>$D404*TCA!E404/100</f>
        <v>107.7</v>
      </c>
      <c r="F404" s="3">
        <f>$D404*TCA!F404/100</f>
        <v>7.3</v>
      </c>
      <c r="G404" s="3">
        <f>$D404*TCA!G404/100</f>
        <v>0.5</v>
      </c>
      <c r="H404" s="3">
        <f>$D404*TCA!H404/100</f>
        <v>18.5</v>
      </c>
      <c r="I404" s="3">
        <f>$D404*TCA!I404/100</f>
        <v>5.4</v>
      </c>
      <c r="J404" s="3">
        <f>$D404*TCA!J404/100</f>
        <v>0</v>
      </c>
      <c r="K404" s="3">
        <f>$D404*TCA!K404/100</f>
        <v>0</v>
      </c>
      <c r="L404" s="3">
        <f>$D404*TCA!L404/100</f>
        <v>0</v>
      </c>
      <c r="M404" s="3">
        <f>$D404*TCA!M404/100</f>
        <v>0</v>
      </c>
      <c r="N404" s="3">
        <f>$D404*TCA!N404/100</f>
        <v>64</v>
      </c>
      <c r="O404" s="3">
        <f>$D404*TCA!O404/100</f>
        <v>53</v>
      </c>
      <c r="P404" s="3">
        <f t="shared" si="6"/>
        <v>7.2602739726027403</v>
      </c>
      <c r="Q404" s="3">
        <f>$D404*TCA!P404/100</f>
        <v>0.9</v>
      </c>
      <c r="R404" s="3">
        <f>$D404*TCA!Q404/100</f>
        <v>0</v>
      </c>
      <c r="S404" s="3">
        <f>$D404*TCA!R404/100</f>
        <v>0</v>
      </c>
      <c r="T404" s="3">
        <f>$D404*TCA!S404/100</f>
        <v>1.01</v>
      </c>
      <c r="U404" s="3">
        <f>$D404*TCA!T404/100</f>
        <v>0.9</v>
      </c>
      <c r="V404" s="3">
        <f>$D404*TCA!U404/100</f>
        <v>1</v>
      </c>
      <c r="W404" s="3">
        <f>$D404*TCA!V404/100</f>
        <v>0</v>
      </c>
      <c r="X404" s="3">
        <f>$D404*TCA!W404/100</f>
        <v>0</v>
      </c>
    </row>
    <row r="405" spans="1:24" x14ac:dyDescent="0.25">
      <c r="A405" s="3" t="s">
        <v>2028</v>
      </c>
      <c r="B405" s="3" t="s">
        <v>797</v>
      </c>
      <c r="C405" s="3" t="s">
        <v>798</v>
      </c>
      <c r="D405" s="3">
        <v>100</v>
      </c>
      <c r="E405" s="3">
        <f>$D405*TCA!E405/100</f>
        <v>376.8</v>
      </c>
      <c r="F405" s="3">
        <f>$D405*TCA!F405/100</f>
        <v>26.4</v>
      </c>
      <c r="G405" s="3">
        <f>$D405*TCA!G405/100</f>
        <v>2</v>
      </c>
      <c r="H405" s="3">
        <f>$D405*TCA!H405/100</f>
        <v>63.3</v>
      </c>
      <c r="I405" s="3">
        <f>$D405*TCA!I405/100</f>
        <v>0</v>
      </c>
      <c r="J405" s="3">
        <f>$D405*TCA!J405/100</f>
        <v>0</v>
      </c>
      <c r="K405" s="3">
        <f>$D405*TCA!K405/100</f>
        <v>0</v>
      </c>
      <c r="L405" s="3">
        <f>$D405*TCA!L405/100</f>
        <v>0</v>
      </c>
      <c r="M405" s="3">
        <f>$D405*TCA!M405/100</f>
        <v>0</v>
      </c>
      <c r="N405" s="3">
        <f>$D405*TCA!N405/100</f>
        <v>60</v>
      </c>
      <c r="O405" s="3">
        <f>$D405*TCA!O405/100</f>
        <v>479</v>
      </c>
      <c r="P405" s="3">
        <f t="shared" si="6"/>
        <v>18.143939393939394</v>
      </c>
      <c r="Q405" s="3">
        <f>$D405*TCA!P405/100</f>
        <v>6.8</v>
      </c>
      <c r="R405" s="3">
        <f>$D405*TCA!Q405/100</f>
        <v>0</v>
      </c>
      <c r="S405" s="3">
        <f>$D405*TCA!R405/100</f>
        <v>0</v>
      </c>
      <c r="T405" s="3">
        <f>$D405*TCA!S405/100</f>
        <v>0</v>
      </c>
      <c r="U405" s="3">
        <f>$D405*TCA!T405/100</f>
        <v>2</v>
      </c>
      <c r="V405" s="3">
        <f>$D405*TCA!U405/100</f>
        <v>0</v>
      </c>
      <c r="W405" s="3">
        <f>$D405*TCA!V405/100</f>
        <v>0</v>
      </c>
      <c r="X405" s="3">
        <f>$D405*TCA!W405/100</f>
        <v>0</v>
      </c>
    </row>
    <row r="406" spans="1:24" x14ac:dyDescent="0.25">
      <c r="A406" s="3" t="s">
        <v>2028</v>
      </c>
      <c r="B406" s="3" t="s">
        <v>799</v>
      </c>
      <c r="C406" s="3" t="s">
        <v>800</v>
      </c>
      <c r="D406" s="3">
        <v>100</v>
      </c>
      <c r="E406" s="3">
        <f>$D406*TCA!E406/100</f>
        <v>360.5</v>
      </c>
      <c r="F406" s="3">
        <f>$D406*TCA!F406/100</f>
        <v>23.4</v>
      </c>
      <c r="G406" s="3">
        <f>$D406*TCA!G406/100</f>
        <v>2.1</v>
      </c>
      <c r="H406" s="3">
        <f>$D406*TCA!H406/100</f>
        <v>62</v>
      </c>
      <c r="I406" s="3">
        <f>$D406*TCA!I406/100</f>
        <v>0</v>
      </c>
      <c r="J406" s="3">
        <f>$D406*TCA!J406/100</f>
        <v>0</v>
      </c>
      <c r="K406" s="3">
        <f>$D406*TCA!K406/100</f>
        <v>0</v>
      </c>
      <c r="L406" s="3">
        <f>$D406*TCA!L406/100</f>
        <v>0</v>
      </c>
      <c r="M406" s="3">
        <f>$D406*TCA!M406/100</f>
        <v>0</v>
      </c>
      <c r="N406" s="3">
        <f>$D406*TCA!N406/100</f>
        <v>81</v>
      </c>
      <c r="O406" s="3">
        <f>$D406*TCA!O406/100</f>
        <v>297</v>
      </c>
      <c r="P406" s="3">
        <f t="shared" si="6"/>
        <v>12.692307692307693</v>
      </c>
      <c r="Q406" s="3">
        <f>$D406*TCA!P406/100</f>
        <v>6</v>
      </c>
      <c r="R406" s="3">
        <f>$D406*TCA!Q406/100</f>
        <v>0</v>
      </c>
      <c r="S406" s="3">
        <f>$D406*TCA!R406/100</f>
        <v>0</v>
      </c>
      <c r="T406" s="3">
        <f>$D406*TCA!S406/100</f>
        <v>0</v>
      </c>
      <c r="U406" s="3">
        <f>$D406*TCA!T406/100</f>
        <v>1</v>
      </c>
      <c r="V406" s="3">
        <f>$D406*TCA!U406/100</f>
        <v>0</v>
      </c>
      <c r="W406" s="3">
        <f>$D406*TCA!V406/100</f>
        <v>0</v>
      </c>
      <c r="X406" s="3">
        <f>$D406*TCA!W406/100</f>
        <v>0</v>
      </c>
    </row>
    <row r="407" spans="1:24" x14ac:dyDescent="0.25">
      <c r="A407" s="3" t="s">
        <v>2028</v>
      </c>
      <c r="B407" s="3" t="s">
        <v>801</v>
      </c>
      <c r="C407" s="3" t="s">
        <v>802</v>
      </c>
      <c r="D407" s="3">
        <v>100</v>
      </c>
      <c r="E407" s="3">
        <f>$D407*TCA!E407/100</f>
        <v>381.05</v>
      </c>
      <c r="F407" s="3">
        <f>$D407*TCA!F407/100</f>
        <v>22.39</v>
      </c>
      <c r="G407" s="3">
        <f>$D407*TCA!G407/100</f>
        <v>6.69</v>
      </c>
      <c r="H407" s="3">
        <f>$D407*TCA!H407/100</f>
        <v>57.82</v>
      </c>
      <c r="I407" s="3">
        <f>$D407*TCA!I407/100</f>
        <v>10.8</v>
      </c>
      <c r="J407" s="3">
        <f>$D407*TCA!J407/100</f>
        <v>0.69</v>
      </c>
      <c r="K407" s="3">
        <f>$D407*TCA!K407/100</f>
        <v>1.5</v>
      </c>
      <c r="L407" s="3">
        <f>$D407*TCA!L407/100</f>
        <v>2.98</v>
      </c>
      <c r="M407" s="3">
        <f>$D407*TCA!M407/100</f>
        <v>0</v>
      </c>
      <c r="N407" s="3">
        <f>$D407*TCA!N407/100</f>
        <v>45</v>
      </c>
      <c r="O407" s="3">
        <f>$D407*TCA!O407/100</f>
        <v>318</v>
      </c>
      <c r="P407" s="3">
        <f t="shared" si="6"/>
        <v>14.202769093345243</v>
      </c>
      <c r="Q407" s="3">
        <f>$D407*TCA!P407/100</f>
        <v>4.8600000000000003</v>
      </c>
      <c r="R407" s="3">
        <f>$D407*TCA!Q407/100</f>
        <v>846</v>
      </c>
      <c r="S407" s="3">
        <f>$D407*TCA!R407/100</f>
        <v>64</v>
      </c>
      <c r="T407" s="3">
        <f>$D407*TCA!S407/100</f>
        <v>2.81</v>
      </c>
      <c r="U407" s="3">
        <f>$D407*TCA!T407/100</f>
        <v>0</v>
      </c>
      <c r="V407" s="3">
        <f>$D407*TCA!U407/100</f>
        <v>2</v>
      </c>
      <c r="W407" s="3">
        <f>$D407*TCA!V407/100</f>
        <v>437</v>
      </c>
      <c r="X407" s="3">
        <f>$D407*TCA!W407/100</f>
        <v>0</v>
      </c>
    </row>
    <row r="408" spans="1:24" x14ac:dyDescent="0.25">
      <c r="A408" s="3" t="s">
        <v>2028</v>
      </c>
      <c r="B408" s="3" t="s">
        <v>803</v>
      </c>
      <c r="C408" s="3" t="s">
        <v>804</v>
      </c>
      <c r="D408" s="3">
        <v>100</v>
      </c>
      <c r="E408" s="3">
        <f>$D408*TCA!E408/100</f>
        <v>359.9</v>
      </c>
      <c r="F408" s="3">
        <f>$D408*TCA!F408/100</f>
        <v>27.6</v>
      </c>
      <c r="G408" s="3">
        <f>$D408*TCA!G408/100</f>
        <v>1.9</v>
      </c>
      <c r="H408" s="3">
        <f>$D408*TCA!H408/100</f>
        <v>58.1</v>
      </c>
      <c r="I408" s="3">
        <f>$D408*TCA!I408/100</f>
        <v>0</v>
      </c>
      <c r="J408" s="3">
        <f>$D408*TCA!J408/100</f>
        <v>0.22</v>
      </c>
      <c r="K408" s="3">
        <f>$D408*TCA!K408/100</f>
        <v>0.26</v>
      </c>
      <c r="L408" s="3">
        <f>$D408*TCA!L408/100</f>
        <v>0.5</v>
      </c>
      <c r="M408" s="3">
        <f>$D408*TCA!M408/100</f>
        <v>0</v>
      </c>
      <c r="N408" s="3">
        <f>$D408*TCA!N408/100</f>
        <v>78</v>
      </c>
      <c r="O408" s="3">
        <f>$D408*TCA!O408/100</f>
        <v>0</v>
      </c>
      <c r="P408" s="3">
        <f t="shared" si="6"/>
        <v>0</v>
      </c>
      <c r="Q408" s="3">
        <f>$D408*TCA!P408/100</f>
        <v>18.2</v>
      </c>
      <c r="R408" s="3">
        <f>$D408*TCA!Q408/100</f>
        <v>1062</v>
      </c>
      <c r="S408" s="3">
        <f>$D408*TCA!R408/100</f>
        <v>13</v>
      </c>
      <c r="T408" s="3">
        <f>$D408*TCA!S408/100</f>
        <v>3.14</v>
      </c>
      <c r="U408" s="3">
        <f>$D408*TCA!T408/100</f>
        <v>0</v>
      </c>
      <c r="V408" s="3">
        <f>$D408*TCA!U408/100</f>
        <v>5</v>
      </c>
      <c r="W408" s="3">
        <f>$D408*TCA!V408/100</f>
        <v>0</v>
      </c>
      <c r="X408" s="3">
        <f>$D408*TCA!W408/100</f>
        <v>0</v>
      </c>
    </row>
    <row r="409" spans="1:24" x14ac:dyDescent="0.25">
      <c r="A409" s="3" t="s">
        <v>2028</v>
      </c>
      <c r="B409" s="3" t="s">
        <v>805</v>
      </c>
      <c r="C409" s="3" t="s">
        <v>806</v>
      </c>
      <c r="D409" s="3">
        <v>100</v>
      </c>
      <c r="E409" s="3">
        <f>$D409*TCA!E409/100</f>
        <v>398.34</v>
      </c>
      <c r="F409" s="3">
        <f>$D409*TCA!F409/100</f>
        <v>46.53</v>
      </c>
      <c r="G409" s="3">
        <f>$D409*TCA!G409/100</f>
        <v>6.7</v>
      </c>
      <c r="H409" s="3">
        <f>$D409*TCA!H409/100</f>
        <v>37.979999999999997</v>
      </c>
      <c r="I409" s="3">
        <f>$D409*TCA!I409/100</f>
        <v>10.199999999999999</v>
      </c>
      <c r="J409" s="3">
        <f>$D409*TCA!J409/100</f>
        <v>0.97</v>
      </c>
      <c r="K409" s="3">
        <f>$D409*TCA!K409/100</f>
        <v>1.48</v>
      </c>
      <c r="L409" s="3">
        <f>$D409*TCA!L409/100</f>
        <v>3.78</v>
      </c>
      <c r="M409" s="3">
        <f>$D409*TCA!M409/100</f>
        <v>0</v>
      </c>
      <c r="N409" s="3">
        <f>$D409*TCA!N409/100</f>
        <v>188</v>
      </c>
      <c r="O409" s="3">
        <f>$D409*TCA!O409/100</f>
        <v>593</v>
      </c>
      <c r="P409" s="3">
        <f t="shared" si="6"/>
        <v>12.744465935955297</v>
      </c>
      <c r="Q409" s="3">
        <f>$D409*TCA!P409/100</f>
        <v>5.99</v>
      </c>
      <c r="R409" s="3">
        <f>$D409*TCA!Q409/100</f>
        <v>2570</v>
      </c>
      <c r="S409" s="3">
        <f>$D409*TCA!R409/100</f>
        <v>18</v>
      </c>
      <c r="T409" s="3">
        <f>$D409*TCA!S409/100</f>
        <v>1.18</v>
      </c>
      <c r="U409" s="3">
        <f>$D409*TCA!T409/100</f>
        <v>0</v>
      </c>
      <c r="V409" s="3">
        <f>$D409*TCA!U409/100</f>
        <v>2</v>
      </c>
      <c r="W409" s="3">
        <f>$D409*TCA!V409/100</f>
        <v>410</v>
      </c>
      <c r="X409" s="3">
        <f>$D409*TCA!W409/100</f>
        <v>0</v>
      </c>
    </row>
    <row r="410" spans="1:24" x14ac:dyDescent="0.25">
      <c r="A410" s="3" t="s">
        <v>2028</v>
      </c>
      <c r="B410" s="3" t="s">
        <v>807</v>
      </c>
      <c r="C410" s="3" t="s">
        <v>808</v>
      </c>
      <c r="D410" s="3">
        <v>100</v>
      </c>
      <c r="E410" s="3">
        <f>$D410*TCA!E410/100</f>
        <v>124.25</v>
      </c>
      <c r="F410" s="3">
        <f>$D410*TCA!F410/100</f>
        <v>8.8000000000000007</v>
      </c>
      <c r="G410" s="3">
        <f>$D410*TCA!G410/100</f>
        <v>0.45</v>
      </c>
      <c r="H410" s="3">
        <f>$D410*TCA!H410/100</f>
        <v>21.25</v>
      </c>
      <c r="I410" s="3">
        <f>$D410*TCA!I410/100</f>
        <v>0</v>
      </c>
      <c r="J410" s="3">
        <f>$D410*TCA!J410/100</f>
        <v>0.05</v>
      </c>
      <c r="K410" s="3">
        <f>$D410*TCA!K410/100</f>
        <v>0.1</v>
      </c>
      <c r="L410" s="3">
        <f>$D410*TCA!L410/100</f>
        <v>0.2</v>
      </c>
      <c r="M410" s="3">
        <f>$D410*TCA!M410/100</f>
        <v>0</v>
      </c>
      <c r="N410" s="3">
        <f>$D410*TCA!N410/100</f>
        <v>14</v>
      </c>
      <c r="O410" s="3">
        <f>$D410*TCA!O410/100</f>
        <v>153</v>
      </c>
      <c r="P410" s="3">
        <f t="shared" si="6"/>
        <v>17.386363636363637</v>
      </c>
      <c r="Q410" s="3">
        <f>$D410*TCA!P410/100</f>
        <v>3.1</v>
      </c>
      <c r="R410" s="3">
        <f>$D410*TCA!Q410/100</f>
        <v>284</v>
      </c>
      <c r="S410" s="3">
        <f>$D410*TCA!R410/100</f>
        <v>10</v>
      </c>
      <c r="T410" s="3">
        <f>$D410*TCA!S410/100</f>
        <v>1.6</v>
      </c>
      <c r="U410" s="3">
        <f>$D410*TCA!T410/100</f>
        <v>12.6</v>
      </c>
      <c r="V410" s="3">
        <f>$D410*TCA!U410/100</f>
        <v>2</v>
      </c>
      <c r="W410" s="3">
        <f>$D410*TCA!V410/100</f>
        <v>67</v>
      </c>
      <c r="X410" s="3">
        <f>$D410*TCA!W410/100</f>
        <v>0</v>
      </c>
    </row>
    <row r="411" spans="1:24" x14ac:dyDescent="0.25">
      <c r="A411" s="3" t="s">
        <v>2028</v>
      </c>
      <c r="B411" s="3" t="s">
        <v>809</v>
      </c>
      <c r="C411" s="3" t="s">
        <v>810</v>
      </c>
      <c r="D411" s="3">
        <v>100</v>
      </c>
      <c r="E411" s="3">
        <f>$D411*TCA!E411/100</f>
        <v>129.35</v>
      </c>
      <c r="F411" s="3">
        <f>$D411*TCA!F411/100</f>
        <v>8.9600000000000009</v>
      </c>
      <c r="G411" s="3">
        <f>$D411*TCA!G411/100</f>
        <v>0.55000000000000004</v>
      </c>
      <c r="H411" s="3">
        <f>$D411*TCA!H411/100</f>
        <v>22.14</v>
      </c>
      <c r="I411" s="3">
        <f>$D411*TCA!I411/100</f>
        <v>0</v>
      </c>
      <c r="J411" s="3">
        <f>$D411*TCA!J411/100</f>
        <v>0.06</v>
      </c>
      <c r="K411" s="3">
        <f>$D411*TCA!K411/100</f>
        <v>0.1</v>
      </c>
      <c r="L411" s="3">
        <f>$D411*TCA!L411/100</f>
        <v>0.22</v>
      </c>
      <c r="M411" s="3">
        <f>$D411*TCA!M411/100</f>
        <v>0</v>
      </c>
      <c r="N411" s="3">
        <f>$D411*TCA!N411/100</f>
        <v>25</v>
      </c>
      <c r="O411" s="3">
        <f>$D411*TCA!O411/100</f>
        <v>173</v>
      </c>
      <c r="P411" s="3">
        <f t="shared" si="6"/>
        <v>19.308035714285712</v>
      </c>
      <c r="Q411" s="3">
        <f>$D411*TCA!P411/100</f>
        <v>3.21</v>
      </c>
      <c r="R411" s="3">
        <f>$D411*TCA!Q411/100</f>
        <v>322</v>
      </c>
      <c r="S411" s="3">
        <f>$D411*TCA!R411/100</f>
        <v>11</v>
      </c>
      <c r="T411" s="3">
        <f>$D411*TCA!S411/100</f>
        <v>1.51</v>
      </c>
      <c r="U411" s="3">
        <f>$D411*TCA!T411/100</f>
        <v>16.5</v>
      </c>
      <c r="V411" s="3">
        <f>$D411*TCA!U411/100</f>
        <v>2</v>
      </c>
      <c r="W411" s="3">
        <f>$D411*TCA!V411/100</f>
        <v>100</v>
      </c>
      <c r="X411" s="3">
        <f>$D411*TCA!W411/100</f>
        <v>0</v>
      </c>
    </row>
    <row r="412" spans="1:24" x14ac:dyDescent="0.25">
      <c r="A412" s="3" t="s">
        <v>2028</v>
      </c>
      <c r="B412" s="3" t="s">
        <v>811</v>
      </c>
      <c r="C412" s="3" t="s">
        <v>812</v>
      </c>
      <c r="D412" s="3">
        <v>100</v>
      </c>
      <c r="E412" s="3">
        <f>$D412*TCA!E412/100</f>
        <v>120.02</v>
      </c>
      <c r="F412" s="3">
        <f>$D412*TCA!F412/100</f>
        <v>9.02</v>
      </c>
      <c r="G412" s="3">
        <f>$D412*TCA!G412/100</f>
        <v>0.38</v>
      </c>
      <c r="H412" s="3">
        <f>$D412*TCA!H412/100</f>
        <v>20.13</v>
      </c>
      <c r="I412" s="3">
        <f>$D412*TCA!I412/100</f>
        <v>7.9</v>
      </c>
      <c r="J412" s="3">
        <f>$D412*TCA!J412/100</f>
        <v>0.05</v>
      </c>
      <c r="K412" s="3">
        <f>$D412*TCA!K412/100</f>
        <v>0.06</v>
      </c>
      <c r="L412" s="3">
        <f>$D412*TCA!L412/100</f>
        <v>0.18</v>
      </c>
      <c r="M412" s="3">
        <f>$D412*TCA!M412/100</f>
        <v>0</v>
      </c>
      <c r="N412" s="3">
        <f>$D412*TCA!N412/100</f>
        <v>19</v>
      </c>
      <c r="O412" s="3">
        <f>$D412*TCA!O412/100</f>
        <v>180</v>
      </c>
      <c r="P412" s="3">
        <f t="shared" si="6"/>
        <v>19.955654101995567</v>
      </c>
      <c r="Q412" s="3">
        <f>$D412*TCA!P412/100</f>
        <v>3.33</v>
      </c>
      <c r="R412" s="3">
        <f>$D412*TCA!Q412/100</f>
        <v>369</v>
      </c>
      <c r="S412" s="3">
        <f>$D412*TCA!R412/100</f>
        <v>2</v>
      </c>
      <c r="T412" s="3">
        <f>$D412*TCA!S412/100</f>
        <v>1.27</v>
      </c>
      <c r="U412" s="3">
        <f>$D412*TCA!T412/100</f>
        <v>1.5</v>
      </c>
      <c r="V412" s="3">
        <f>$D412*TCA!U412/100</f>
        <v>0</v>
      </c>
      <c r="W412" s="3">
        <f>$D412*TCA!V412/100</f>
        <v>181</v>
      </c>
      <c r="X412" s="3">
        <f>$D412*TCA!W412/100</f>
        <v>0</v>
      </c>
    </row>
    <row r="413" spans="1:24" x14ac:dyDescent="0.25">
      <c r="A413" s="3" t="s">
        <v>2028</v>
      </c>
      <c r="B413" s="3" t="s">
        <v>813</v>
      </c>
      <c r="C413" s="3" t="s">
        <v>814</v>
      </c>
      <c r="D413" s="3">
        <v>100</v>
      </c>
      <c r="E413" s="3">
        <f>$D413*TCA!E413/100</f>
        <v>353.06</v>
      </c>
      <c r="F413" s="3">
        <f>$D413*TCA!F413/100</f>
        <v>25.8</v>
      </c>
      <c r="G413" s="3">
        <f>$D413*TCA!G413/100</f>
        <v>1.06</v>
      </c>
      <c r="H413" s="3">
        <f>$D413*TCA!H413/100</f>
        <v>60.08</v>
      </c>
      <c r="I413" s="3">
        <f>$D413*TCA!I413/100</f>
        <v>30.5</v>
      </c>
      <c r="J413" s="3">
        <f>$D413*TCA!J413/100</f>
        <v>0.16</v>
      </c>
      <c r="K413" s="3">
        <f>$D413*TCA!K413/100</f>
        <v>0.19</v>
      </c>
      <c r="L413" s="3">
        <f>$D413*TCA!L413/100</f>
        <v>0.52</v>
      </c>
      <c r="M413" s="3">
        <f>$D413*TCA!M413/100</f>
        <v>0</v>
      </c>
      <c r="N413" s="3">
        <f>$D413*TCA!N413/100</f>
        <v>56</v>
      </c>
      <c r="O413" s="3">
        <f>$D413*TCA!O413/100</f>
        <v>451</v>
      </c>
      <c r="P413" s="3">
        <f t="shared" si="6"/>
        <v>17.480620155038761</v>
      </c>
      <c r="Q413" s="3">
        <f>$D413*TCA!P413/100</f>
        <v>7.54</v>
      </c>
      <c r="R413" s="3">
        <f>$D413*TCA!Q413/100</f>
        <v>955</v>
      </c>
      <c r="S413" s="3">
        <f>$D413*TCA!R413/100</f>
        <v>6</v>
      </c>
      <c r="T413" s="3">
        <f>$D413*TCA!S413/100</f>
        <v>4.78</v>
      </c>
      <c r="U413" s="3">
        <f>$D413*TCA!T413/100</f>
        <v>4</v>
      </c>
      <c r="V413" s="3">
        <f>$D413*TCA!U413/100</f>
        <v>2</v>
      </c>
      <c r="W413" s="3">
        <f>$D413*TCA!V413/100</f>
        <v>479</v>
      </c>
      <c r="X413" s="3">
        <f>$D413*TCA!W413/100</f>
        <v>0</v>
      </c>
    </row>
    <row r="414" spans="1:24" x14ac:dyDescent="0.25">
      <c r="A414" s="3" t="s">
        <v>2028</v>
      </c>
      <c r="B414" s="3" t="s">
        <v>815</v>
      </c>
      <c r="C414" s="3" t="s">
        <v>816</v>
      </c>
      <c r="D414" s="3">
        <v>100</v>
      </c>
      <c r="E414" s="3">
        <f>$D414*TCA!E414/100</f>
        <v>54.92</v>
      </c>
      <c r="F414" s="3">
        <f>$D414*TCA!F414/100</f>
        <v>4.4800000000000004</v>
      </c>
      <c r="G414" s="3">
        <f>$D414*TCA!G414/100</f>
        <v>1.92</v>
      </c>
      <c r="H414" s="3">
        <f>$D414*TCA!H414/100</f>
        <v>4.93</v>
      </c>
      <c r="I414" s="3">
        <f>$D414*TCA!I414/100</f>
        <v>1.3</v>
      </c>
      <c r="J414" s="3">
        <f>$D414*TCA!J414/100</f>
        <v>0.23</v>
      </c>
      <c r="K414" s="3">
        <f>$D414*TCA!K414/100</f>
        <v>0.38</v>
      </c>
      <c r="L414" s="3">
        <f>$D414*TCA!L414/100</f>
        <v>0.77</v>
      </c>
      <c r="M414" s="3">
        <f>$D414*TCA!M414/100</f>
        <v>0</v>
      </c>
      <c r="N414" s="3">
        <f>$D414*TCA!N414/100</f>
        <v>38</v>
      </c>
      <c r="O414" s="3">
        <f>$D414*TCA!O414/100</f>
        <v>55</v>
      </c>
      <c r="P414" s="3">
        <f t="shared" si="6"/>
        <v>12.276785714285714</v>
      </c>
      <c r="Q414" s="3">
        <f>$D414*TCA!P414/100</f>
        <v>1.1000000000000001</v>
      </c>
      <c r="R414" s="3">
        <f>$D414*TCA!Q414/100</f>
        <v>124</v>
      </c>
      <c r="S414" s="3">
        <f>$D414*TCA!R414/100</f>
        <v>55</v>
      </c>
      <c r="T414" s="3">
        <f>$D414*TCA!S414/100</f>
        <v>0.44</v>
      </c>
      <c r="U414" s="3">
        <f>$D414*TCA!T414/100</f>
        <v>0</v>
      </c>
      <c r="V414" s="3">
        <f>$D414*TCA!U414/100</f>
        <v>31</v>
      </c>
      <c r="W414" s="3">
        <f>$D414*TCA!V414/100</f>
        <v>16</v>
      </c>
      <c r="X414" s="3">
        <f>$D414*TCA!W414/100</f>
        <v>1.22</v>
      </c>
    </row>
    <row r="415" spans="1:24" x14ac:dyDescent="0.25">
      <c r="A415" s="3" t="s">
        <v>2028</v>
      </c>
      <c r="B415" s="3" t="s">
        <v>817</v>
      </c>
      <c r="C415" s="3" t="s">
        <v>818</v>
      </c>
      <c r="D415" s="3">
        <v>100</v>
      </c>
      <c r="E415" s="3">
        <f>$D415*TCA!E415/100</f>
        <v>446.06</v>
      </c>
      <c r="F415" s="3">
        <f>$D415*TCA!F415/100</f>
        <v>36.49</v>
      </c>
      <c r="G415" s="3">
        <f>$D415*TCA!G415/100</f>
        <v>19.940000000000001</v>
      </c>
      <c r="H415" s="3">
        <f>$D415*TCA!H415/100</f>
        <v>30.16</v>
      </c>
      <c r="I415" s="3">
        <f>$D415*TCA!I415/100</f>
        <v>9.3000000000000007</v>
      </c>
      <c r="J415" s="3">
        <f>$D415*TCA!J415/100</f>
        <v>2.88</v>
      </c>
      <c r="K415" s="3">
        <f>$D415*TCA!K415/100</f>
        <v>4.4000000000000004</v>
      </c>
      <c r="L415" s="3">
        <f>$D415*TCA!L415/100</f>
        <v>11.26</v>
      </c>
      <c r="M415" s="3">
        <f>$D415*TCA!M415/100</f>
        <v>0</v>
      </c>
      <c r="N415" s="3">
        <f>$D415*TCA!N415/100</f>
        <v>277</v>
      </c>
      <c r="O415" s="3">
        <f>$D415*TCA!O415/100</f>
        <v>704</v>
      </c>
      <c r="P415" s="3">
        <f t="shared" si="6"/>
        <v>19.292956974513565</v>
      </c>
      <c r="Q415" s="3" t="e">
        <f>$D415*TCA!P415/100</f>
        <v>#VALUE!</v>
      </c>
      <c r="R415" s="3">
        <f>$D415*TCA!Q415/100</f>
        <v>1797</v>
      </c>
      <c r="S415" s="3">
        <f>$D415*TCA!R415/100</f>
        <v>2</v>
      </c>
      <c r="T415" s="3">
        <f>$D415*TCA!S415/100</f>
        <v>4.8899999999999997</v>
      </c>
      <c r="U415" s="3">
        <f>$D415*TCA!T415/100</f>
        <v>6</v>
      </c>
      <c r="V415" s="3">
        <f>$D415*TCA!U415/100</f>
        <v>1</v>
      </c>
      <c r="W415" s="3">
        <f>$D415*TCA!V415/100</f>
        <v>3.75</v>
      </c>
      <c r="X415" s="3">
        <f>$D415*TCA!W415/100</f>
        <v>0</v>
      </c>
    </row>
    <row r="416" spans="1:24" x14ac:dyDescent="0.25">
      <c r="A416" s="3" t="s">
        <v>2028</v>
      </c>
      <c r="B416" s="3" t="s">
        <v>820</v>
      </c>
      <c r="C416" s="3" t="s">
        <v>821</v>
      </c>
      <c r="D416" s="3">
        <v>100</v>
      </c>
      <c r="E416" s="3">
        <f>$D416*TCA!E416/100</f>
        <v>448.6</v>
      </c>
      <c r="F416" s="3">
        <f>$D416*TCA!F416/100</f>
        <v>28.3</v>
      </c>
      <c r="G416" s="3">
        <f>$D416*TCA!G416/100</f>
        <v>17.8</v>
      </c>
      <c r="H416" s="3">
        <f>$D416*TCA!H416/100</f>
        <v>43.8</v>
      </c>
      <c r="I416" s="3">
        <f>$D416*TCA!I416/100</f>
        <v>0</v>
      </c>
      <c r="J416" s="3">
        <f>$D416*TCA!J416/100</f>
        <v>0</v>
      </c>
      <c r="K416" s="3">
        <f>$D416*TCA!K416/100</f>
        <v>0</v>
      </c>
      <c r="L416" s="3">
        <f>$D416*TCA!L416/100</f>
        <v>0</v>
      </c>
      <c r="M416" s="3">
        <f>$D416*TCA!M416/100</f>
        <v>0</v>
      </c>
      <c r="N416" s="3">
        <f>$D416*TCA!N416/100</f>
        <v>597</v>
      </c>
      <c r="O416" s="3">
        <f>$D416*TCA!O416/100</f>
        <v>717</v>
      </c>
      <c r="P416" s="3">
        <f t="shared" si="6"/>
        <v>25.335689045936395</v>
      </c>
      <c r="Q416" s="3">
        <f>$D416*TCA!P416/100</f>
        <v>10.7</v>
      </c>
      <c r="R416" s="3">
        <f>$D416*TCA!Q416/100</f>
        <v>0</v>
      </c>
      <c r="S416" s="3">
        <f>$D416*TCA!R416/100</f>
        <v>0</v>
      </c>
      <c r="T416" s="3">
        <f>$D416*TCA!S416/100</f>
        <v>0</v>
      </c>
      <c r="U416" s="3">
        <f>$D416*TCA!T416/100</f>
        <v>53</v>
      </c>
      <c r="V416" s="3">
        <f>$D416*TCA!U416/100</f>
        <v>10</v>
      </c>
      <c r="W416" s="3">
        <f>$D416*TCA!V416/100</f>
        <v>0</v>
      </c>
      <c r="X416" s="3">
        <f>$D416*TCA!W416/100</f>
        <v>0</v>
      </c>
    </row>
    <row r="417" spans="1:24" x14ac:dyDescent="0.25">
      <c r="A417" s="8"/>
      <c r="B417" s="8"/>
      <c r="C417" s="8"/>
      <c r="D417" s="3">
        <v>100</v>
      </c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x14ac:dyDescent="0.25">
      <c r="A418" s="3" t="s">
        <v>2029</v>
      </c>
      <c r="B418" s="3" t="s">
        <v>822</v>
      </c>
      <c r="C418" s="3" t="s">
        <v>823</v>
      </c>
      <c r="D418" s="3">
        <v>100</v>
      </c>
      <c r="E418" s="3">
        <f>$D418*TCA!E418/100</f>
        <v>117.84</v>
      </c>
      <c r="F418" s="3">
        <f>$D418*TCA!F418/100</f>
        <v>16.47</v>
      </c>
      <c r="G418" s="3">
        <f>$D418*TCA!G418/100</f>
        <v>5.68</v>
      </c>
      <c r="H418" s="3">
        <f>$D418*TCA!H418/100</f>
        <v>0.21</v>
      </c>
      <c r="I418" s="3">
        <f>$D418*TCA!I418/100</f>
        <v>0</v>
      </c>
      <c r="J418" s="3">
        <f>$D418*TCA!J418/100</f>
        <v>2.25</v>
      </c>
      <c r="K418" s="3">
        <f>$D418*TCA!K418/100</f>
        <v>1.6</v>
      </c>
      <c r="L418" s="3">
        <f>$D418*TCA!L418/100</f>
        <v>0.55000000000000004</v>
      </c>
      <c r="M418" s="3">
        <f>$D418*TCA!M418/100</f>
        <v>135</v>
      </c>
      <c r="N418" s="3">
        <f>$D418*TCA!N418/100</f>
        <v>6</v>
      </c>
      <c r="O418" s="3">
        <f>$D418*TCA!O418/100</f>
        <v>175</v>
      </c>
      <c r="P418" s="3">
        <f t="shared" si="6"/>
        <v>10.625379477838495</v>
      </c>
      <c r="Q418" s="3">
        <f>$D418*TCA!P418/100</f>
        <v>4.5999999999999996</v>
      </c>
      <c r="R418" s="3">
        <f>$D418*TCA!Q418/100</f>
        <v>316</v>
      </c>
      <c r="S418" s="3">
        <f>$D418*TCA!R418/100</f>
        <v>89</v>
      </c>
      <c r="T418" s="3">
        <f>$D418*TCA!S418/100</f>
        <v>1.87</v>
      </c>
      <c r="U418" s="3">
        <f>$D418*TCA!T418/100</f>
        <v>5</v>
      </c>
      <c r="V418" s="3">
        <f>$D418*TCA!U418/100</f>
        <v>0</v>
      </c>
      <c r="W418" s="3">
        <f>$D418*TCA!V418/100</f>
        <v>2</v>
      </c>
      <c r="X418" s="3">
        <f>$D418*TCA!W418/100</f>
        <v>10.25</v>
      </c>
    </row>
    <row r="419" spans="1:24" x14ac:dyDescent="0.25">
      <c r="A419" s="3" t="s">
        <v>2029</v>
      </c>
      <c r="B419" s="3" t="s">
        <v>824</v>
      </c>
      <c r="C419" s="3" t="s">
        <v>825</v>
      </c>
      <c r="D419" s="3">
        <v>100</v>
      </c>
      <c r="E419" s="3">
        <f>$D419*TCA!E419/100</f>
        <v>225.27</v>
      </c>
      <c r="F419" s="3">
        <f>$D419*TCA!F419/100</f>
        <v>17.91</v>
      </c>
      <c r="G419" s="3">
        <f>$D419*TCA!G419/100</f>
        <v>17.07</v>
      </c>
      <c r="H419" s="3">
        <f>$D419*TCA!H419/100</f>
        <v>0</v>
      </c>
      <c r="I419" s="3">
        <f>$D419*TCA!I419/100</f>
        <v>0</v>
      </c>
      <c r="J419" s="3">
        <f>$D419*TCA!J419/100</f>
        <v>7.43</v>
      </c>
      <c r="K419" s="3">
        <f>$D419*TCA!K419/100</f>
        <v>7</v>
      </c>
      <c r="L419" s="3">
        <f>$D419*TCA!L419/100</f>
        <v>1.35</v>
      </c>
      <c r="M419" s="3">
        <f>$D419*TCA!M419/100</f>
        <v>69</v>
      </c>
      <c r="N419" s="3">
        <f>$D419*TCA!N419/100</f>
        <v>9</v>
      </c>
      <c r="O419" s="3">
        <f>$D419*TCA!O419/100</f>
        <v>170</v>
      </c>
      <c r="P419" s="3">
        <f t="shared" si="6"/>
        <v>9.4919039642657737</v>
      </c>
      <c r="Q419" s="3">
        <f>$D419*TCA!P419/100</f>
        <v>1.66</v>
      </c>
      <c r="R419" s="3">
        <f>$D419*TCA!Q419/100</f>
        <v>249</v>
      </c>
      <c r="S419" s="3">
        <f>$D419*TCA!R419/100</f>
        <v>56</v>
      </c>
      <c r="T419" s="3">
        <f>$D419*TCA!S419/100</f>
        <v>3.32</v>
      </c>
      <c r="U419" s="3">
        <f>$D419*TCA!T419/100</f>
        <v>0</v>
      </c>
      <c r="V419" s="3">
        <f>$D419*TCA!U419/100</f>
        <v>0</v>
      </c>
      <c r="W419" s="3">
        <f>$D419*TCA!V419/100</f>
        <v>19</v>
      </c>
      <c r="X419" s="3">
        <f>$D419*TCA!W419/100</f>
        <v>2.5</v>
      </c>
    </row>
    <row r="420" spans="1:24" x14ac:dyDescent="0.25">
      <c r="A420" s="3" t="s">
        <v>2029</v>
      </c>
      <c r="B420" s="3" t="s">
        <v>826</v>
      </c>
      <c r="C420" s="3" t="s">
        <v>827</v>
      </c>
      <c r="D420" s="3">
        <v>100</v>
      </c>
      <c r="E420" s="3">
        <f>$D420*TCA!E420/100</f>
        <v>92.79</v>
      </c>
      <c r="F420" s="3">
        <f>$D420*TCA!F420/100</f>
        <v>15.74</v>
      </c>
      <c r="G420" s="3">
        <f>$D420*TCA!G420/100</f>
        <v>2.95</v>
      </c>
      <c r="H420" s="3">
        <f>$D420*TCA!H420/100</f>
        <v>0.82</v>
      </c>
      <c r="I420" s="3">
        <f>$D420*TCA!I420/100</f>
        <v>0</v>
      </c>
      <c r="J420" s="3">
        <f>$D420*TCA!J420/100</f>
        <v>1</v>
      </c>
      <c r="K420" s="3">
        <f>$D420*TCA!K420/100</f>
        <v>0.63</v>
      </c>
      <c r="L420" s="3">
        <f>$D420*TCA!L420/100</f>
        <v>0.55000000000000004</v>
      </c>
      <c r="M420" s="3">
        <f>$D420*TCA!M420/100</f>
        <v>337</v>
      </c>
      <c r="N420" s="3">
        <f>$D420*TCA!N420/100</f>
        <v>13</v>
      </c>
      <c r="O420" s="3">
        <f>$D420*TCA!O420/100</f>
        <v>246</v>
      </c>
      <c r="P420" s="3">
        <f t="shared" si="6"/>
        <v>15.628970775095299</v>
      </c>
      <c r="Q420" s="3">
        <f>$D420*TCA!P420/100</f>
        <v>6.38</v>
      </c>
      <c r="R420" s="3">
        <f>$D420*TCA!Q420/100</f>
        <v>277</v>
      </c>
      <c r="S420" s="3">
        <f>$D420*TCA!R420/100</f>
        <v>156</v>
      </c>
      <c r="T420" s="3">
        <f>$D420*TCA!S420/100</f>
        <v>2.2400000000000002</v>
      </c>
      <c r="U420" s="3">
        <f>$D420*TCA!T420/100</f>
        <v>11</v>
      </c>
      <c r="V420" s="3">
        <f>$D420*TCA!U420/100</f>
        <v>95</v>
      </c>
      <c r="W420" s="3">
        <f>$D420*TCA!V420/100</f>
        <v>28</v>
      </c>
      <c r="X420" s="3">
        <f>$D420*TCA!W420/100</f>
        <v>52.41</v>
      </c>
    </row>
    <row r="421" spans="1:24" x14ac:dyDescent="0.25">
      <c r="A421" s="3" t="s">
        <v>2029</v>
      </c>
      <c r="B421" s="3" t="s">
        <v>828</v>
      </c>
      <c r="C421" s="3" t="s">
        <v>829</v>
      </c>
      <c r="D421" s="3">
        <v>100</v>
      </c>
      <c r="E421" s="3">
        <f>$D421*TCA!E421/100</f>
        <v>107.2</v>
      </c>
      <c r="F421" s="3">
        <f>$D421*TCA!F421/100</f>
        <v>14.2</v>
      </c>
      <c r="G421" s="3">
        <f>$D421*TCA!G421/100</f>
        <v>5.6</v>
      </c>
      <c r="H421" s="3">
        <f>$D421*TCA!H421/100</f>
        <v>0</v>
      </c>
      <c r="I421" s="3">
        <f>$D421*TCA!I421/100</f>
        <v>0</v>
      </c>
      <c r="J421" s="3">
        <f>$D421*TCA!J421/100</f>
        <v>3</v>
      </c>
      <c r="K421" s="3">
        <f>$D421*TCA!K421/100</f>
        <v>2</v>
      </c>
      <c r="L421" s="3">
        <f>$D421*TCA!L421/100</f>
        <v>0.01</v>
      </c>
      <c r="M421" s="3">
        <f>$D421*TCA!M421/100</f>
        <v>65</v>
      </c>
      <c r="N421" s="3">
        <f>$D421*TCA!N421/100</f>
        <v>17</v>
      </c>
      <c r="O421" s="3">
        <f>$D421*TCA!O421/100</f>
        <v>130</v>
      </c>
      <c r="P421" s="3">
        <f t="shared" si="6"/>
        <v>9.1549295774647899</v>
      </c>
      <c r="Q421" s="3">
        <f>$D421*TCA!P421/100</f>
        <v>2.1</v>
      </c>
      <c r="R421" s="3">
        <f>$D421*TCA!Q421/100</f>
        <v>295</v>
      </c>
      <c r="S421" s="3">
        <f>$D421*TCA!R421/100</f>
        <v>75</v>
      </c>
      <c r="T421" s="3">
        <f>$D421*TCA!S421/100</f>
        <v>0</v>
      </c>
      <c r="U421" s="3">
        <f>$D421*TCA!T421/100</f>
        <v>0</v>
      </c>
      <c r="V421" s="3">
        <f>$D421*TCA!U421/100</f>
        <v>0</v>
      </c>
      <c r="W421" s="3">
        <f>$D421*TCA!V421/100</f>
        <v>0</v>
      </c>
      <c r="X421" s="3">
        <f>$D421*TCA!W421/100</f>
        <v>0</v>
      </c>
    </row>
    <row r="422" spans="1:24" x14ac:dyDescent="0.25">
      <c r="A422" s="3" t="s">
        <v>2029</v>
      </c>
      <c r="B422" s="3" t="s">
        <v>830</v>
      </c>
      <c r="C422" s="3" t="s">
        <v>831</v>
      </c>
      <c r="D422" s="3">
        <v>100</v>
      </c>
      <c r="E422" s="3">
        <f>$D422*TCA!E422/100</f>
        <v>306.48</v>
      </c>
      <c r="F422" s="3">
        <f>$D422*TCA!F422/100</f>
        <v>15.87</v>
      </c>
      <c r="G422" s="3">
        <f>$D422*TCA!G422/100</f>
        <v>27</v>
      </c>
      <c r="H422" s="3">
        <f>$D422*TCA!H422/100</f>
        <v>0</v>
      </c>
      <c r="I422" s="3">
        <f>$D422*TCA!I422/100</f>
        <v>0</v>
      </c>
      <c r="J422" s="3">
        <f>$D422*TCA!J422/100</f>
        <v>13.7</v>
      </c>
      <c r="K422" s="3">
        <f>$D422*TCA!K422/100</f>
        <v>10.35</v>
      </c>
      <c r="L422" s="3">
        <f>$D422*TCA!L422/100</f>
        <v>1.1599999999999999</v>
      </c>
      <c r="M422" s="3">
        <f>$D422*TCA!M422/100</f>
        <v>80</v>
      </c>
      <c r="N422" s="3">
        <f>$D422*TCA!N422/100</f>
        <v>15</v>
      </c>
      <c r="O422" s="3">
        <f>$D422*TCA!O422/100</f>
        <v>153</v>
      </c>
      <c r="P422" s="3">
        <f t="shared" si="6"/>
        <v>9.640831758034027</v>
      </c>
      <c r="Q422" s="3">
        <f>$D422*TCA!P422/100</f>
        <v>1.43</v>
      </c>
      <c r="R422" s="3">
        <f>$D422*TCA!Q422/100</f>
        <v>120</v>
      </c>
      <c r="S422" s="3">
        <f>$D422*TCA!R422/100</f>
        <v>42</v>
      </c>
      <c r="T422" s="3">
        <f>$D422*TCA!S422/100</f>
        <v>2.19</v>
      </c>
      <c r="U422" s="3">
        <f>$D422*TCA!T422/100</f>
        <v>0</v>
      </c>
      <c r="V422" s="3">
        <f>$D422*TCA!U422/100</f>
        <v>0</v>
      </c>
      <c r="W422" s="3">
        <f>$D422*TCA!V422/100</f>
        <v>1</v>
      </c>
      <c r="X422" s="3">
        <f>$D422*TCA!W422/100</f>
        <v>2.2200000000000002</v>
      </c>
    </row>
    <row r="423" spans="1:24" x14ac:dyDescent="0.25">
      <c r="A423" s="3" t="s">
        <v>2029</v>
      </c>
      <c r="B423" s="3" t="s">
        <v>832</v>
      </c>
      <c r="C423" s="3" t="s">
        <v>833</v>
      </c>
      <c r="D423" s="3">
        <v>100</v>
      </c>
      <c r="E423" s="3">
        <f>$D423*TCA!E423/100</f>
        <v>132.68</v>
      </c>
      <c r="F423" s="3">
        <f>$D423*TCA!F423/100</f>
        <v>20.48</v>
      </c>
      <c r="G423" s="3">
        <f>$D423*TCA!G423/100</f>
        <v>5.64</v>
      </c>
      <c r="H423" s="3">
        <f>$D423*TCA!H423/100</f>
        <v>0</v>
      </c>
      <c r="I423" s="3">
        <f>$D423*TCA!I423/100</f>
        <v>0</v>
      </c>
      <c r="J423" s="3">
        <f>$D423*TCA!J423/100</f>
        <v>2.31</v>
      </c>
      <c r="K423" s="3">
        <f>$D423*TCA!K423/100</f>
        <v>2.29</v>
      </c>
      <c r="L423" s="3">
        <f>$D423*TCA!L423/100</f>
        <v>0.27</v>
      </c>
      <c r="M423" s="3">
        <f>$D423*TCA!M423/100</f>
        <v>63</v>
      </c>
      <c r="N423" s="3">
        <f>$D423*TCA!N423/100</f>
        <v>10</v>
      </c>
      <c r="O423" s="3">
        <f>$D423*TCA!O423/100</f>
        <v>195</v>
      </c>
      <c r="P423" s="3">
        <f t="shared" si="6"/>
        <v>9.521484375</v>
      </c>
      <c r="Q423" s="3">
        <f>$D423*TCA!P423/100</f>
        <v>1.75</v>
      </c>
      <c r="R423" s="3">
        <f>$D423*TCA!Q423/100</f>
        <v>328</v>
      </c>
      <c r="S423" s="3">
        <f>$D423*TCA!R423/100</f>
        <v>80</v>
      </c>
      <c r="T423" s="3">
        <f>$D423*TCA!S423/100</f>
        <v>3.5</v>
      </c>
      <c r="U423" s="3">
        <f>$D423*TCA!T423/100</f>
        <v>0</v>
      </c>
      <c r="V423" s="3">
        <f>$D423*TCA!U423/100</f>
        <v>0</v>
      </c>
      <c r="W423" s="3">
        <f>$D423*TCA!V423/100</f>
        <v>0</v>
      </c>
      <c r="X423" s="3">
        <f>$D423*TCA!W423/100</f>
        <v>3.01</v>
      </c>
    </row>
    <row r="424" spans="1:24" x14ac:dyDescent="0.25">
      <c r="A424" s="3" t="s">
        <v>2029</v>
      </c>
      <c r="B424" s="3" t="s">
        <v>834</v>
      </c>
      <c r="C424" s="3" t="s">
        <v>835</v>
      </c>
      <c r="D424" s="3">
        <v>100</v>
      </c>
      <c r="E424" s="3">
        <f>$D424*TCA!E424/100</f>
        <v>304.95</v>
      </c>
      <c r="F424" s="3">
        <f>$D424*TCA!F424/100</f>
        <v>16.32</v>
      </c>
      <c r="G424" s="3">
        <f>$D424*TCA!G424/100</f>
        <v>26.63</v>
      </c>
      <c r="H424" s="3">
        <f>$D424*TCA!H424/100</f>
        <v>0</v>
      </c>
      <c r="I424" s="3">
        <f>$D424*TCA!I424/100</f>
        <v>0</v>
      </c>
      <c r="J424" s="3">
        <f>$D424*TCA!J424/100</f>
        <v>11.76</v>
      </c>
      <c r="K424" s="3">
        <f>$D424*TCA!K424/100</f>
        <v>10.94</v>
      </c>
      <c r="L424" s="3">
        <f>$D424*TCA!L424/100</f>
        <v>2.08</v>
      </c>
      <c r="M424" s="3">
        <f>$D424*TCA!M424/100</f>
        <v>74</v>
      </c>
      <c r="N424" s="3">
        <f>$D424*TCA!N424/100</f>
        <v>15</v>
      </c>
      <c r="O424" s="3">
        <f>$D424*TCA!O424/100</f>
        <v>152</v>
      </c>
      <c r="P424" s="3">
        <f t="shared" si="6"/>
        <v>9.3137254901960791</v>
      </c>
      <c r="Q424" s="3">
        <f>$D424*TCA!P424/100</f>
        <v>1.61</v>
      </c>
      <c r="R424" s="3">
        <f>$D424*TCA!Q424/100</f>
        <v>214</v>
      </c>
      <c r="S424" s="3">
        <f>$D424*TCA!R424/100</f>
        <v>56</v>
      </c>
      <c r="T424" s="3">
        <f>$D424*TCA!S424/100</f>
        <v>2.5299999999999998</v>
      </c>
      <c r="U424" s="3">
        <f>$D424*TCA!T424/100</f>
        <v>0</v>
      </c>
      <c r="V424" s="3">
        <f>$D424*TCA!U424/100</f>
        <v>0</v>
      </c>
      <c r="W424" s="3">
        <f>$D424*TCA!V424/100</f>
        <v>17</v>
      </c>
      <c r="X424" s="3">
        <f>$D424*TCA!W424/100</f>
        <v>2.04</v>
      </c>
    </row>
    <row r="425" spans="1:24" x14ac:dyDescent="0.25">
      <c r="A425" s="3" t="s">
        <v>2029</v>
      </c>
      <c r="B425" s="3" t="s">
        <v>836</v>
      </c>
      <c r="C425" s="3" t="s">
        <v>837</v>
      </c>
      <c r="D425" s="3">
        <v>100</v>
      </c>
      <c r="E425" s="3">
        <f>$D425*TCA!E425/100</f>
        <v>122.6</v>
      </c>
      <c r="F425" s="3">
        <f>$D425*TCA!F425/100</f>
        <v>20.3</v>
      </c>
      <c r="G425" s="3">
        <f>$D425*TCA!G425/100</f>
        <v>4.2</v>
      </c>
      <c r="H425" s="3">
        <f>$D425*TCA!H425/100</f>
        <v>0.9</v>
      </c>
      <c r="I425" s="3">
        <f>$D425*TCA!I425/100</f>
        <v>0</v>
      </c>
      <c r="J425" s="3">
        <f>$D425*TCA!J425/100</f>
        <v>1.94</v>
      </c>
      <c r="K425" s="3">
        <f>$D425*TCA!K425/100</f>
        <v>1.05</v>
      </c>
      <c r="L425" s="3">
        <f>$D425*TCA!L425/100</f>
        <v>0.75</v>
      </c>
      <c r="M425" s="3">
        <f>$D425*TCA!M425/100</f>
        <v>371</v>
      </c>
      <c r="N425" s="3">
        <f>$D425*TCA!N425/100</f>
        <v>14</v>
      </c>
      <c r="O425" s="3">
        <f>$D425*TCA!O425/100</f>
        <v>287</v>
      </c>
      <c r="P425" s="3">
        <f t="shared" si="6"/>
        <v>14.137931034482758</v>
      </c>
      <c r="Q425" s="3">
        <f>$D425*TCA!P425/100</f>
        <v>6.6</v>
      </c>
      <c r="R425" s="3">
        <f>$D425*TCA!Q425/100</f>
        <v>313</v>
      </c>
      <c r="S425" s="3">
        <f>$D425*TCA!R425/100</f>
        <v>70</v>
      </c>
      <c r="T425" s="3">
        <f>$D425*TCA!S425/100</f>
        <v>4.66</v>
      </c>
      <c r="U425" s="3">
        <f>$D425*TCA!T425/100</f>
        <v>18</v>
      </c>
      <c r="V425" s="3">
        <f>$D425*TCA!U425/100</f>
        <v>7391</v>
      </c>
      <c r="W425" s="3">
        <f>$D425*TCA!V425/100</f>
        <v>230</v>
      </c>
      <c r="X425" s="3">
        <f>$D425*TCA!W425/100</f>
        <v>90.05</v>
      </c>
    </row>
    <row r="426" spans="1:24" x14ac:dyDescent="0.25">
      <c r="A426" s="3" t="s">
        <v>2029</v>
      </c>
      <c r="B426" s="3" t="s">
        <v>838</v>
      </c>
      <c r="C426" s="3" t="s">
        <v>839</v>
      </c>
      <c r="D426" s="3">
        <v>100</v>
      </c>
      <c r="E426" s="3">
        <f>$D426*TCA!E426/100</f>
        <v>102.9</v>
      </c>
      <c r="F426" s="3">
        <f>$D426*TCA!F426/100</f>
        <v>21</v>
      </c>
      <c r="G426" s="3">
        <f>$D426*TCA!G426/100</f>
        <v>2.1</v>
      </c>
      <c r="H426" s="3">
        <f>$D426*TCA!H426/100</f>
        <v>0</v>
      </c>
      <c r="I426" s="3">
        <f>$D426*TCA!I426/100</f>
        <v>0</v>
      </c>
      <c r="J426" s="3">
        <f>$D426*TCA!J426/100</f>
        <v>0</v>
      </c>
      <c r="K426" s="3">
        <f>$D426*TCA!K426/100</f>
        <v>0</v>
      </c>
      <c r="L426" s="3">
        <f>$D426*TCA!L426/100</f>
        <v>0</v>
      </c>
      <c r="M426" s="3">
        <f>$D426*TCA!M426/100</f>
        <v>0</v>
      </c>
      <c r="N426" s="3">
        <f>$D426*TCA!N426/100</f>
        <v>52</v>
      </c>
      <c r="O426" s="3">
        <f>$D426*TCA!O426/100</f>
        <v>26</v>
      </c>
      <c r="P426" s="3">
        <f t="shared" si="6"/>
        <v>1.2380952380952381</v>
      </c>
      <c r="Q426" s="3">
        <f>$D426*TCA!P426/100</f>
        <v>1</v>
      </c>
      <c r="R426" s="3">
        <f>$D426*TCA!Q426/100</f>
        <v>0</v>
      </c>
      <c r="S426" s="3">
        <f>$D426*TCA!R426/100</f>
        <v>0</v>
      </c>
      <c r="T426" s="3">
        <f>$D426*TCA!S426/100</f>
        <v>0</v>
      </c>
      <c r="U426" s="3">
        <f>$D426*TCA!T426/100</f>
        <v>0</v>
      </c>
      <c r="V426" s="3">
        <f>$D426*TCA!U426/100</f>
        <v>0</v>
      </c>
      <c r="W426" s="3">
        <f>$D426*TCA!V426/100</f>
        <v>0</v>
      </c>
      <c r="X426" s="3">
        <f>$D426*TCA!W426/100</f>
        <v>0</v>
      </c>
    </row>
    <row r="427" spans="1:24" x14ac:dyDescent="0.25">
      <c r="A427" s="3" t="s">
        <v>2029</v>
      </c>
      <c r="B427" s="3" t="s">
        <v>840</v>
      </c>
      <c r="C427" s="3" t="s">
        <v>841</v>
      </c>
      <c r="D427" s="3">
        <v>100</v>
      </c>
      <c r="E427" s="3">
        <f>$D427*TCA!E427/100</f>
        <v>380.6</v>
      </c>
      <c r="F427" s="3">
        <f>$D427*TCA!F427/100</f>
        <v>29.8</v>
      </c>
      <c r="G427" s="3">
        <f>$D427*TCA!G427/100</f>
        <v>26.2</v>
      </c>
      <c r="H427" s="3">
        <f>$D427*TCA!H427/100</f>
        <v>6.4</v>
      </c>
      <c r="I427" s="3">
        <f>$D427*TCA!I427/100</f>
        <v>0</v>
      </c>
      <c r="J427" s="3">
        <f>$D427*TCA!J427/100</f>
        <v>0</v>
      </c>
      <c r="K427" s="3">
        <f>$D427*TCA!K427/100</f>
        <v>0</v>
      </c>
      <c r="L427" s="3">
        <f>$D427*TCA!L427/100</f>
        <v>0</v>
      </c>
      <c r="M427" s="3">
        <f>$D427*TCA!M427/100</f>
        <v>0</v>
      </c>
      <c r="N427" s="3">
        <f>$D427*TCA!N427/100</f>
        <v>23</v>
      </c>
      <c r="O427" s="3">
        <f>$D427*TCA!O427/100</f>
        <v>180</v>
      </c>
      <c r="P427" s="3">
        <f t="shared" si="6"/>
        <v>6.0402684563758386</v>
      </c>
      <c r="Q427" s="3">
        <f>$D427*TCA!P427/100</f>
        <v>1.71</v>
      </c>
      <c r="R427" s="3">
        <f>$D427*TCA!Q427/100</f>
        <v>477</v>
      </c>
      <c r="S427" s="3">
        <f>$D427*TCA!R427/100</f>
        <v>1330</v>
      </c>
      <c r="T427" s="3">
        <f>$D427*TCA!S427/100</f>
        <v>3.05</v>
      </c>
      <c r="U427" s="3">
        <f>$D427*TCA!T427/100</f>
        <v>0</v>
      </c>
      <c r="V427" s="3">
        <f>$D427*TCA!U427/100</f>
        <v>0</v>
      </c>
      <c r="W427" s="3">
        <f>$D427*TCA!V427/100</f>
        <v>0</v>
      </c>
      <c r="X427" s="3">
        <f>$D427*TCA!W427/100</f>
        <v>0</v>
      </c>
    </row>
    <row r="428" spans="1:24" x14ac:dyDescent="0.25">
      <c r="A428" s="3" t="s">
        <v>2029</v>
      </c>
      <c r="B428" s="3" t="s">
        <v>842</v>
      </c>
      <c r="C428" s="3" t="s">
        <v>843</v>
      </c>
      <c r="D428" s="3">
        <v>100</v>
      </c>
      <c r="E428" s="3">
        <f>$D428*TCA!E428/100</f>
        <v>228.49</v>
      </c>
      <c r="F428" s="3">
        <f>$D428*TCA!F428/100</f>
        <v>26.14</v>
      </c>
      <c r="G428" s="3">
        <f>$D428*TCA!G428/100</f>
        <v>13.77</v>
      </c>
      <c r="H428" s="3">
        <f>$D428*TCA!H428/100</f>
        <v>0</v>
      </c>
      <c r="I428" s="3">
        <f>$D428*TCA!I428/100</f>
        <v>0</v>
      </c>
      <c r="J428" s="3">
        <f>$D428*TCA!J428/100</f>
        <v>4.8499999999999996</v>
      </c>
      <c r="K428" s="3">
        <f>$D428*TCA!K428/100</f>
        <v>5.93</v>
      </c>
      <c r="L428" s="3">
        <f>$D428*TCA!L428/100</f>
        <v>1.51</v>
      </c>
      <c r="M428" s="3">
        <f>$D428*TCA!M428/100</f>
        <v>87</v>
      </c>
      <c r="N428" s="3">
        <f>$D428*TCA!N428/100</f>
        <v>20</v>
      </c>
      <c r="O428" s="3">
        <f>$D428*TCA!O428/100</f>
        <v>219</v>
      </c>
      <c r="P428" s="3">
        <f t="shared" si="6"/>
        <v>8.3779648048967097</v>
      </c>
      <c r="Q428" s="3">
        <f>$D428*TCA!P428/100</f>
        <v>1.1000000000000001</v>
      </c>
      <c r="R428" s="3">
        <f>$D428*TCA!Q428/100</f>
        <v>338</v>
      </c>
      <c r="S428" s="3">
        <f>$D428*TCA!R428/100</f>
        <v>379</v>
      </c>
      <c r="T428" s="3">
        <f>$D428*TCA!S428/100</f>
        <v>3.04</v>
      </c>
      <c r="U428" s="3">
        <f>$D428*TCA!T428/100</f>
        <v>0.1</v>
      </c>
      <c r="V428" s="3">
        <f>$D428*TCA!U428/100</f>
        <v>2</v>
      </c>
      <c r="W428" s="3">
        <f>$D428*TCA!V428/100</f>
        <v>2</v>
      </c>
      <c r="X428" s="3">
        <f>$D428*TCA!W428/100</f>
        <v>0.69</v>
      </c>
    </row>
    <row r="429" spans="1:24" x14ac:dyDescent="0.25">
      <c r="A429" s="3" t="s">
        <v>2029</v>
      </c>
      <c r="B429" s="3" t="s">
        <v>844</v>
      </c>
      <c r="C429" s="3" t="s">
        <v>845</v>
      </c>
      <c r="D429" s="3">
        <v>100</v>
      </c>
      <c r="E429" s="3">
        <f>$D429*TCA!E429/100</f>
        <v>363.26</v>
      </c>
      <c r="F429" s="3">
        <f>$D429*TCA!F429/100</f>
        <v>24.26</v>
      </c>
      <c r="G429" s="3">
        <f>$D429*TCA!G429/100</f>
        <v>29.58</v>
      </c>
      <c r="H429" s="3">
        <f>$D429*TCA!H429/100</f>
        <v>0</v>
      </c>
      <c r="I429" s="3">
        <f>$D429*TCA!I429/100</f>
        <v>0</v>
      </c>
      <c r="J429" s="3">
        <f>$D429*TCA!J429/100</f>
        <v>10.99</v>
      </c>
      <c r="K429" s="3">
        <f>$D429*TCA!K429/100</f>
        <v>13.46</v>
      </c>
      <c r="L429" s="3">
        <f>$D429*TCA!L429/100</f>
        <v>2.3199999999999998</v>
      </c>
      <c r="M429" s="3">
        <f>$D429*TCA!M429/100</f>
        <v>118</v>
      </c>
      <c r="N429" s="3">
        <f>$D429*TCA!N429/100</f>
        <v>45</v>
      </c>
      <c r="O429" s="3">
        <f>$D429*TCA!O429/100</f>
        <v>195</v>
      </c>
      <c r="P429" s="3">
        <f t="shared" si="6"/>
        <v>8.0379225061830173</v>
      </c>
      <c r="Q429" s="3">
        <f>$D429*TCA!P429/100</f>
        <v>1.38</v>
      </c>
      <c r="R429" s="3">
        <f>$D429*TCA!Q429/100</f>
        <v>315</v>
      </c>
      <c r="S429" s="3">
        <f>$D429*TCA!R429/100</f>
        <v>101</v>
      </c>
      <c r="T429" s="3">
        <f>$D429*TCA!S429/100</f>
        <v>3.37</v>
      </c>
      <c r="U429" s="3">
        <f>$D429*TCA!T429/100</f>
        <v>0</v>
      </c>
      <c r="V429" s="3">
        <f>$D429*TCA!U429/100</f>
        <v>3</v>
      </c>
      <c r="W429" s="3">
        <f>$D429*TCA!V429/100</f>
        <v>3</v>
      </c>
      <c r="X429" s="3">
        <f>$D429*TCA!W429/100</f>
        <v>0.64</v>
      </c>
    </row>
    <row r="430" spans="1:24" x14ac:dyDescent="0.25">
      <c r="A430" s="3" t="s">
        <v>2029</v>
      </c>
      <c r="B430" s="3" t="s">
        <v>846</v>
      </c>
      <c r="C430" s="3" t="s">
        <v>847</v>
      </c>
      <c r="D430" s="3">
        <v>100</v>
      </c>
      <c r="E430" s="3">
        <f>$D430*TCA!E430/100</f>
        <v>276.7</v>
      </c>
      <c r="F430" s="3">
        <f>$D430*TCA!F430/100</f>
        <v>16.12</v>
      </c>
      <c r="G430" s="3">
        <f>$D430*TCA!G430/100</f>
        <v>23.58</v>
      </c>
      <c r="H430" s="3">
        <f>$D430*TCA!H430/100</f>
        <v>0</v>
      </c>
      <c r="I430" s="3">
        <f>$D430*TCA!I430/100</f>
        <v>0</v>
      </c>
      <c r="J430" s="3">
        <f>$D430*TCA!J430/100</f>
        <v>8.73</v>
      </c>
      <c r="K430" s="3">
        <f>$D430*TCA!K430/100</f>
        <v>10.65</v>
      </c>
      <c r="L430" s="3">
        <f>$D430*TCA!L430/100</f>
        <v>1.96</v>
      </c>
      <c r="M430" s="3">
        <f>$D430*TCA!M430/100</f>
        <v>81</v>
      </c>
      <c r="N430" s="3">
        <f>$D430*TCA!N430/100</f>
        <v>32</v>
      </c>
      <c r="O430" s="3">
        <f>$D430*TCA!O430/100</f>
        <v>143</v>
      </c>
      <c r="P430" s="3">
        <f t="shared" si="6"/>
        <v>8.870967741935484</v>
      </c>
      <c r="Q430" s="3">
        <f>$D430*TCA!P430/100</f>
        <v>0.91</v>
      </c>
      <c r="R430" s="3">
        <f>$D430*TCA!Q430/100</f>
        <v>233</v>
      </c>
      <c r="S430" s="3">
        <f>$D430*TCA!R430/100</f>
        <v>75</v>
      </c>
      <c r="T430" s="3">
        <f>$D430*TCA!S430/100</f>
        <v>2.31</v>
      </c>
      <c r="U430" s="3">
        <f>$D430*TCA!T430/100</f>
        <v>0</v>
      </c>
      <c r="V430" s="3">
        <f>$D430*TCA!U430/100</f>
        <v>3</v>
      </c>
      <c r="W430" s="3">
        <f>$D430*TCA!V430/100</f>
        <v>4</v>
      </c>
      <c r="X430" s="3">
        <f>$D430*TCA!W430/100</f>
        <v>0.82</v>
      </c>
    </row>
    <row r="431" spans="1:24" x14ac:dyDescent="0.25">
      <c r="A431" s="3" t="s">
        <v>2029</v>
      </c>
      <c r="B431" s="3" t="s">
        <v>848</v>
      </c>
      <c r="C431" s="3" t="s">
        <v>849</v>
      </c>
      <c r="D431" s="3">
        <v>100</v>
      </c>
      <c r="E431" s="3">
        <f>$D431*TCA!E431/100</f>
        <v>378.57</v>
      </c>
      <c r="F431" s="3">
        <f>$D431*TCA!F431/100</f>
        <v>78.569999999999993</v>
      </c>
      <c r="G431" s="3">
        <f>$D431*TCA!G431/100</f>
        <v>7.14</v>
      </c>
      <c r="H431" s="3">
        <f>$D431*TCA!H431/100</f>
        <v>0</v>
      </c>
      <c r="I431" s="3">
        <f>$D431*TCA!I431/100</f>
        <v>0</v>
      </c>
      <c r="J431" s="3">
        <f>$D431*TCA!J431/100</f>
        <v>3.57</v>
      </c>
      <c r="K431" s="3">
        <f>$D431*TCA!K431/100</f>
        <v>3.57</v>
      </c>
      <c r="L431" s="3">
        <f>$D431*TCA!L431/100</f>
        <v>0</v>
      </c>
      <c r="M431" s="3">
        <f>$D431*TCA!M431/100</f>
        <v>103.57</v>
      </c>
      <c r="N431" s="3">
        <f>$D431*TCA!N431/100</f>
        <v>0</v>
      </c>
      <c r="O431" s="3">
        <f>$D431*TCA!O431/100</f>
        <v>0</v>
      </c>
      <c r="P431" s="3">
        <f t="shared" si="6"/>
        <v>0</v>
      </c>
      <c r="Q431" s="3">
        <f>$D431*TCA!P431/100</f>
        <v>0</v>
      </c>
      <c r="R431" s="3">
        <f>$D431*TCA!Q431/100</f>
        <v>0</v>
      </c>
      <c r="S431" s="3">
        <f>$D431*TCA!R431/100</f>
        <v>1071.43</v>
      </c>
      <c r="T431" s="3">
        <f>$D431*TCA!S431/100</f>
        <v>0</v>
      </c>
      <c r="U431" s="3">
        <f>$D431*TCA!T431/100</f>
        <v>0</v>
      </c>
      <c r="V431" s="3">
        <f>$D431*TCA!U431/100</f>
        <v>0</v>
      </c>
      <c r="W431" s="3">
        <f>$D431*TCA!V431/100</f>
        <v>0</v>
      </c>
      <c r="X431" s="3">
        <f>$D431*TCA!W431/100</f>
        <v>0</v>
      </c>
    </row>
    <row r="432" spans="1:24" x14ac:dyDescent="0.25">
      <c r="A432" s="3" t="s">
        <v>2029</v>
      </c>
      <c r="B432" s="3" t="s">
        <v>850</v>
      </c>
      <c r="C432" s="3" t="s">
        <v>851</v>
      </c>
      <c r="D432" s="3">
        <v>100</v>
      </c>
      <c r="E432" s="3">
        <f>$D432*TCA!E432/100</f>
        <v>201.15</v>
      </c>
      <c r="F432" s="3">
        <f>$D432*TCA!F432/100</f>
        <v>28.62</v>
      </c>
      <c r="G432" s="3">
        <f>$D432*TCA!G432/100</f>
        <v>9.6300000000000008</v>
      </c>
      <c r="H432" s="3">
        <f>$D432*TCA!H432/100</f>
        <v>0</v>
      </c>
      <c r="I432" s="3">
        <f>$D432*TCA!I432/100</f>
        <v>0</v>
      </c>
      <c r="J432" s="3">
        <f>$D432*TCA!J432/100</f>
        <v>3.51</v>
      </c>
      <c r="K432" s="3">
        <f>$D432*TCA!K432/100</f>
        <v>4.32</v>
      </c>
      <c r="L432" s="3">
        <f>$D432*TCA!L432/100</f>
        <v>0.76</v>
      </c>
      <c r="M432" s="3">
        <f>$D432*TCA!M432/100</f>
        <v>81</v>
      </c>
      <c r="N432" s="3">
        <f>$D432*TCA!N432/100</f>
        <v>18</v>
      </c>
      <c r="O432" s="3">
        <f>$D432*TCA!O432/100</f>
        <v>249</v>
      </c>
      <c r="P432" s="3">
        <f t="shared" si="6"/>
        <v>8.70020964360587</v>
      </c>
      <c r="Q432" s="3">
        <f>$D432*TCA!P432/100</f>
        <v>1.0900000000000001</v>
      </c>
      <c r="R432" s="3">
        <f>$D432*TCA!Q432/100</f>
        <v>425</v>
      </c>
      <c r="S432" s="3">
        <f>$D432*TCA!R432/100</f>
        <v>58</v>
      </c>
      <c r="T432" s="3">
        <f>$D432*TCA!S432/100</f>
        <v>2.5299999999999998</v>
      </c>
      <c r="U432" s="3">
        <f>$D432*TCA!T432/100</f>
        <v>1</v>
      </c>
      <c r="V432" s="3">
        <f>$D432*TCA!U432/100</f>
        <v>2</v>
      </c>
      <c r="W432" s="3">
        <f>$D432*TCA!V432/100</f>
        <v>1</v>
      </c>
      <c r="X432" s="3">
        <f>$D432*TCA!W432/100</f>
        <v>0.73</v>
      </c>
    </row>
    <row r="433" spans="1:24" x14ac:dyDescent="0.25">
      <c r="A433" s="3" t="s">
        <v>2029</v>
      </c>
      <c r="B433" s="3" t="s">
        <v>852</v>
      </c>
      <c r="C433" s="3" t="s">
        <v>853</v>
      </c>
      <c r="D433" s="3">
        <v>100</v>
      </c>
      <c r="E433" s="3">
        <f>$D433*TCA!E433/100</f>
        <v>136.66</v>
      </c>
      <c r="F433" s="3">
        <f>$D433*TCA!F433/100</f>
        <v>21.43</v>
      </c>
      <c r="G433" s="3">
        <f>$D433*TCA!G433/100</f>
        <v>5.66</v>
      </c>
      <c r="H433" s="3">
        <f>$D433*TCA!H433/100</f>
        <v>0</v>
      </c>
      <c r="I433" s="3">
        <f>$D433*TCA!I433/100</f>
        <v>0</v>
      </c>
      <c r="J433" s="3">
        <f>$D433*TCA!J433/100</f>
        <v>1.95</v>
      </c>
      <c r="K433" s="3">
        <f>$D433*TCA!K433/100</f>
        <v>2.56</v>
      </c>
      <c r="L433" s="3">
        <f>$D433*TCA!L433/100</f>
        <v>0.61</v>
      </c>
      <c r="M433" s="3">
        <f>$D433*TCA!M433/100</f>
        <v>59</v>
      </c>
      <c r="N433" s="3">
        <f>$D433*TCA!N433/100</f>
        <v>17</v>
      </c>
      <c r="O433" s="3">
        <f>$D433*TCA!O433/100</f>
        <v>211</v>
      </c>
      <c r="P433" s="3">
        <f t="shared" si="6"/>
        <v>9.8460102659822688</v>
      </c>
      <c r="Q433" s="3">
        <f>$D433*TCA!P433/100</f>
        <v>0.84</v>
      </c>
      <c r="R433" s="3">
        <f>$D433*TCA!Q433/100</f>
        <v>389</v>
      </c>
      <c r="S433" s="3">
        <f>$D433*TCA!R433/100</f>
        <v>52</v>
      </c>
      <c r="T433" s="3">
        <f>$D433*TCA!S433/100</f>
        <v>1.84</v>
      </c>
      <c r="U433" s="3">
        <f>$D433*TCA!T433/100</f>
        <v>1</v>
      </c>
      <c r="V433" s="3">
        <f>$D433*TCA!U433/100</f>
        <v>2</v>
      </c>
      <c r="W433" s="3">
        <f>$D433*TCA!V433/100</f>
        <v>5</v>
      </c>
      <c r="X433" s="3">
        <f>$D433*TCA!W433/100</f>
        <v>0.63</v>
      </c>
    </row>
    <row r="434" spans="1:24" x14ac:dyDescent="0.25">
      <c r="A434" s="3" t="s">
        <v>2029</v>
      </c>
      <c r="B434" s="3" t="s">
        <v>854</v>
      </c>
      <c r="C434" s="3" t="s">
        <v>855</v>
      </c>
      <c r="D434" s="3">
        <v>100</v>
      </c>
      <c r="E434" s="3">
        <f>$D434*TCA!E434/100</f>
        <v>264.89999999999998</v>
      </c>
      <c r="F434" s="3">
        <f>$D434*TCA!F434/100</f>
        <v>27.57</v>
      </c>
      <c r="G434" s="3">
        <f>$D434*TCA!G434/100</f>
        <v>17.18</v>
      </c>
      <c r="H434" s="3">
        <f>$D434*TCA!H434/100</f>
        <v>0</v>
      </c>
      <c r="I434" s="3">
        <f>$D434*TCA!I434/100</f>
        <v>0</v>
      </c>
      <c r="J434" s="3">
        <f>$D434*TCA!J434/100</f>
        <v>6.22</v>
      </c>
      <c r="K434" s="3">
        <f>$D434*TCA!K434/100</f>
        <v>7.64</v>
      </c>
      <c r="L434" s="3">
        <f>$D434*TCA!L434/100</f>
        <v>1.45</v>
      </c>
      <c r="M434" s="3">
        <f>$D434*TCA!M434/100</f>
        <v>21</v>
      </c>
      <c r="N434" s="3">
        <f>$D434*TCA!N434/100</f>
        <v>25</v>
      </c>
      <c r="O434" s="3">
        <f>$D434*TCA!O434/100</f>
        <v>232</v>
      </c>
      <c r="P434" s="3">
        <f t="shared" si="6"/>
        <v>8.4149437794704394</v>
      </c>
      <c r="Q434" s="3">
        <f>$D434*TCA!P434/100</f>
        <v>1.1000000000000001</v>
      </c>
      <c r="R434" s="3">
        <f>$D434*TCA!Q434/100</f>
        <v>354</v>
      </c>
      <c r="S434" s="3">
        <f>$D434*TCA!R434/100</f>
        <v>62</v>
      </c>
      <c r="T434" s="3">
        <f>$D434*TCA!S434/100</f>
        <v>2.9</v>
      </c>
      <c r="U434" s="3">
        <f>$D434*TCA!T434/100</f>
        <v>0</v>
      </c>
      <c r="V434" s="3">
        <f>$D434*TCA!U434/100</f>
        <v>2</v>
      </c>
      <c r="W434" s="3">
        <f>$D434*TCA!V434/100</f>
        <v>6</v>
      </c>
      <c r="X434" s="3">
        <f>$D434*TCA!W434/100</f>
        <v>0.77</v>
      </c>
    </row>
    <row r="435" spans="1:24" x14ac:dyDescent="0.25">
      <c r="A435" s="3" t="s">
        <v>2029</v>
      </c>
      <c r="B435" s="3" t="s">
        <v>856</v>
      </c>
      <c r="C435" s="3" t="s">
        <v>857</v>
      </c>
      <c r="D435" s="3">
        <v>100</v>
      </c>
      <c r="E435" s="3">
        <f>$D435*TCA!E435/100</f>
        <v>205.69</v>
      </c>
      <c r="F435" s="3">
        <f>$D435*TCA!F435/100</f>
        <v>19.899999999999999</v>
      </c>
      <c r="G435" s="3">
        <f>$D435*TCA!G435/100</f>
        <v>14.01</v>
      </c>
      <c r="H435" s="3">
        <f>$D435*TCA!H435/100</f>
        <v>0</v>
      </c>
      <c r="I435" s="3">
        <f>$D435*TCA!I435/100</f>
        <v>0</v>
      </c>
      <c r="J435" s="3">
        <f>$D435*TCA!J435/100</f>
        <v>4.8600000000000003</v>
      </c>
      <c r="K435" s="3">
        <f>$D435*TCA!K435/100</f>
        <v>6.25</v>
      </c>
      <c r="L435" s="3">
        <f>$D435*TCA!L435/100</f>
        <v>1.5</v>
      </c>
      <c r="M435" s="3">
        <f>$D435*TCA!M435/100</f>
        <v>60</v>
      </c>
      <c r="N435" s="3">
        <f>$D435*TCA!N435/100</f>
        <v>5</v>
      </c>
      <c r="O435" s="3">
        <f>$D435*TCA!O435/100</f>
        <v>193</v>
      </c>
      <c r="P435" s="3">
        <f t="shared" si="6"/>
        <v>9.6984924623115578</v>
      </c>
      <c r="Q435" s="3">
        <f>$D435*TCA!P435/100</f>
        <v>0.71</v>
      </c>
      <c r="R435" s="3">
        <f>$D435*TCA!Q435/100</f>
        <v>384</v>
      </c>
      <c r="S435" s="3">
        <f>$D435*TCA!R435/100</f>
        <v>42</v>
      </c>
      <c r="T435" s="3">
        <f>$D435*TCA!S435/100</f>
        <v>1.57</v>
      </c>
      <c r="U435" s="3">
        <f>$D435*TCA!T435/100</f>
        <v>0</v>
      </c>
      <c r="V435" s="3">
        <f>$D435*TCA!U435/100</f>
        <v>2</v>
      </c>
      <c r="W435" s="3">
        <f>$D435*TCA!V435/100</f>
        <v>6</v>
      </c>
      <c r="X435" s="3">
        <f>$D435*TCA!W435/100</f>
        <v>0.5</v>
      </c>
    </row>
    <row r="436" spans="1:24" x14ac:dyDescent="0.25">
      <c r="A436" s="3" t="s">
        <v>2029</v>
      </c>
      <c r="B436" s="3" t="s">
        <v>858</v>
      </c>
      <c r="C436" s="3" t="s">
        <v>859</v>
      </c>
      <c r="D436" s="3">
        <v>100</v>
      </c>
      <c r="E436" s="3">
        <f>$D436*TCA!E436/100</f>
        <v>239.55</v>
      </c>
      <c r="F436" s="3">
        <f>$D436*TCA!F436/100</f>
        <v>17.43</v>
      </c>
      <c r="G436" s="3">
        <f>$D436*TCA!G436/100</f>
        <v>18.87</v>
      </c>
      <c r="H436" s="3">
        <f>$D436*TCA!H436/100</f>
        <v>0</v>
      </c>
      <c r="I436" s="3">
        <f>$D436*TCA!I436/100</f>
        <v>0</v>
      </c>
      <c r="J436" s="3">
        <f>$D436*TCA!J436/100</f>
        <v>6.54</v>
      </c>
      <c r="K436" s="3">
        <f>$D436*TCA!K436/100</f>
        <v>8.3800000000000008</v>
      </c>
      <c r="L436" s="3">
        <f>$D436*TCA!L436/100</f>
        <v>2.0099999999999998</v>
      </c>
      <c r="M436" s="3">
        <f>$D436*TCA!M436/100</f>
        <v>73</v>
      </c>
      <c r="N436" s="3">
        <f>$D436*TCA!N436/100</f>
        <v>5</v>
      </c>
      <c r="O436" s="3">
        <f>$D436*TCA!O436/100</f>
        <v>199</v>
      </c>
      <c r="P436" s="3">
        <f t="shared" si="6"/>
        <v>11.417096959265635</v>
      </c>
      <c r="Q436" s="3">
        <f>$D436*TCA!P436/100</f>
        <v>0.85</v>
      </c>
      <c r="R436" s="3">
        <f>$D436*TCA!Q436/100</f>
        <v>315</v>
      </c>
      <c r="S436" s="3">
        <f>$D436*TCA!R436/100</f>
        <v>47</v>
      </c>
      <c r="T436" s="3">
        <f>$D436*TCA!S436/100</f>
        <v>1.93</v>
      </c>
      <c r="U436" s="3">
        <f>$D436*TCA!T436/100</f>
        <v>1</v>
      </c>
      <c r="V436" s="3">
        <f>$D436*TCA!U436/100</f>
        <v>2</v>
      </c>
      <c r="W436" s="3">
        <f>$D436*TCA!V436/100</f>
        <v>7</v>
      </c>
      <c r="X436" s="3">
        <f>$D436*TCA!W436/100</f>
        <v>0.63</v>
      </c>
    </row>
    <row r="437" spans="1:24" x14ac:dyDescent="0.25">
      <c r="A437" s="3" t="s">
        <v>2029</v>
      </c>
      <c r="B437" s="3" t="s">
        <v>860</v>
      </c>
      <c r="C437" s="3" t="s">
        <v>861</v>
      </c>
      <c r="D437" s="3">
        <v>100</v>
      </c>
      <c r="E437" s="3">
        <f>$D437*TCA!E437/100</f>
        <v>210.35</v>
      </c>
      <c r="F437" s="3">
        <f>$D437*TCA!F437/100</f>
        <v>18.95</v>
      </c>
      <c r="G437" s="3">
        <f>$D437*TCA!G437/100</f>
        <v>14.95</v>
      </c>
      <c r="H437" s="3">
        <f>$D437*TCA!H437/100</f>
        <v>0</v>
      </c>
      <c r="I437" s="3">
        <f>$D437*TCA!I437/100</f>
        <v>0</v>
      </c>
      <c r="J437" s="3">
        <f>$D437*TCA!J437/100</f>
        <v>5.28</v>
      </c>
      <c r="K437" s="3">
        <f>$D437*TCA!K437/100</f>
        <v>6.63</v>
      </c>
      <c r="L437" s="3">
        <f>$D437*TCA!L437/100</f>
        <v>1.55</v>
      </c>
      <c r="M437" s="3">
        <f>$D437*TCA!M437/100</f>
        <v>67</v>
      </c>
      <c r="N437" s="3">
        <f>$D437*TCA!N437/100</f>
        <v>19</v>
      </c>
      <c r="O437" s="3">
        <f>$D437*TCA!O437/100</f>
        <v>200</v>
      </c>
      <c r="P437" s="3">
        <f t="shared" si="6"/>
        <v>10.554089709762533</v>
      </c>
      <c r="Q437" s="3">
        <f>$D437*TCA!P437/100</f>
        <v>0.86</v>
      </c>
      <c r="R437" s="3">
        <f>$D437*TCA!Q437/100</f>
        <v>335</v>
      </c>
      <c r="S437" s="3">
        <f>$D437*TCA!R437/100</f>
        <v>55</v>
      </c>
      <c r="T437" s="3">
        <f>$D437*TCA!S437/100</f>
        <v>2.0099999999999998</v>
      </c>
      <c r="U437" s="3">
        <f>$D437*TCA!T437/100</f>
        <v>0.5</v>
      </c>
      <c r="V437" s="3">
        <f>$D437*TCA!U437/100</f>
        <v>2</v>
      </c>
      <c r="W437" s="3">
        <f>$D437*TCA!V437/100</f>
        <v>5</v>
      </c>
      <c r="X437" s="3">
        <f>$D437*TCA!W437/100</f>
        <v>0.66</v>
      </c>
    </row>
    <row r="438" spans="1:24" x14ac:dyDescent="0.25">
      <c r="A438" s="3" t="s">
        <v>2029</v>
      </c>
      <c r="B438" s="3" t="s">
        <v>862</v>
      </c>
      <c r="C438" s="3" t="s">
        <v>863</v>
      </c>
      <c r="D438" s="3">
        <v>100</v>
      </c>
      <c r="E438" s="3">
        <f>$D438*TCA!E438/100</f>
        <v>210.35</v>
      </c>
      <c r="F438" s="3">
        <f>$D438*TCA!F438/100</f>
        <v>18.95</v>
      </c>
      <c r="G438" s="3">
        <f>$D438*TCA!G438/100</f>
        <v>14.95</v>
      </c>
      <c r="H438" s="3">
        <f>$D438*TCA!H438/100</f>
        <v>0</v>
      </c>
      <c r="I438" s="3">
        <f>$D438*TCA!I438/100</f>
        <v>0</v>
      </c>
      <c r="J438" s="3">
        <f>$D438*TCA!J438/100</f>
        <v>5.28</v>
      </c>
      <c r="K438" s="3">
        <f>$D438*TCA!K438/100</f>
        <v>6.63</v>
      </c>
      <c r="L438" s="3">
        <f>$D438*TCA!L438/100</f>
        <v>1.55</v>
      </c>
      <c r="M438" s="3">
        <f>$D438*TCA!M438/100</f>
        <v>67</v>
      </c>
      <c r="N438" s="3">
        <f>$D438*TCA!N438/100</f>
        <v>19</v>
      </c>
      <c r="O438" s="3">
        <f>$D438*TCA!O438/100</f>
        <v>200</v>
      </c>
      <c r="P438" s="3">
        <f t="shared" si="6"/>
        <v>10.554089709762533</v>
      </c>
      <c r="Q438" s="3">
        <f>$D438*TCA!P438/100</f>
        <v>0.86</v>
      </c>
      <c r="R438" s="3">
        <f>$D438*TCA!Q438/100</f>
        <v>335</v>
      </c>
      <c r="S438" s="3">
        <f>$D438*TCA!R438/100</f>
        <v>55</v>
      </c>
      <c r="T438" s="3">
        <f>$D438*TCA!S438/100</f>
        <v>2.0099999999999998</v>
      </c>
      <c r="U438" s="3">
        <f>$D438*TCA!T438/100</f>
        <v>0.5</v>
      </c>
      <c r="V438" s="3">
        <f>$D438*TCA!U438/100</f>
        <v>2</v>
      </c>
      <c r="W438" s="3">
        <f>$D438*TCA!V438/100</f>
        <v>5</v>
      </c>
      <c r="X438" s="3">
        <f>$D438*TCA!W438/100</f>
        <v>0.66</v>
      </c>
    </row>
    <row r="439" spans="1:24" x14ac:dyDescent="0.25">
      <c r="A439" s="3" t="s">
        <v>2029</v>
      </c>
      <c r="B439" s="3" t="s">
        <v>864</v>
      </c>
      <c r="C439" s="3" t="s">
        <v>865</v>
      </c>
      <c r="D439" s="3">
        <v>100</v>
      </c>
      <c r="E439" s="3">
        <f>$D439*TCA!E439/100</f>
        <v>655.29999999999995</v>
      </c>
      <c r="F439" s="3">
        <f>$D439*TCA!F439/100</f>
        <v>20.8</v>
      </c>
      <c r="G439" s="3">
        <f>$D439*TCA!G439/100</f>
        <v>56.1</v>
      </c>
      <c r="H439" s="3">
        <f>$D439*TCA!H439/100</f>
        <v>16.8</v>
      </c>
      <c r="I439" s="3">
        <f>$D439*TCA!I439/100</f>
        <v>0</v>
      </c>
      <c r="J439" s="3">
        <f>$D439*TCA!J439/100</f>
        <v>14.32</v>
      </c>
      <c r="K439" s="3">
        <f>$D439*TCA!K439/100</f>
        <v>13.7</v>
      </c>
      <c r="L439" s="3">
        <f>$D439*TCA!L439/100</f>
        <v>3.61</v>
      </c>
      <c r="M439" s="3">
        <f>$D439*TCA!M439/100</f>
        <v>74</v>
      </c>
      <c r="N439" s="3">
        <f>$D439*TCA!N439/100</f>
        <v>61</v>
      </c>
      <c r="O439" s="3">
        <f>$D439*TCA!O439/100</f>
        <v>149</v>
      </c>
      <c r="P439" s="3">
        <f t="shared" si="6"/>
        <v>7.1634615384615383</v>
      </c>
      <c r="Q439" s="3">
        <f>$D439*TCA!P439/100</f>
        <v>2.8</v>
      </c>
      <c r="R439" s="3">
        <f>$D439*TCA!Q439/100</f>
        <v>0</v>
      </c>
      <c r="S439" s="3">
        <f>$D439*TCA!R439/100</f>
        <v>0</v>
      </c>
      <c r="T439" s="3">
        <f>$D439*TCA!S439/100</f>
        <v>0</v>
      </c>
      <c r="U439" s="3">
        <f>$D439*TCA!T439/100</f>
        <v>0</v>
      </c>
      <c r="V439" s="3">
        <f>$D439*TCA!U439/100</f>
        <v>0</v>
      </c>
      <c r="W439" s="3">
        <f>$D439*TCA!V439/100</f>
        <v>0</v>
      </c>
      <c r="X439" s="3">
        <f>$D439*TCA!W439/100</f>
        <v>0</v>
      </c>
    </row>
    <row r="440" spans="1:24" x14ac:dyDescent="0.25">
      <c r="A440" s="3" t="s">
        <v>2029</v>
      </c>
      <c r="B440" s="3" t="s">
        <v>866</v>
      </c>
      <c r="C440" s="3" t="s">
        <v>867</v>
      </c>
      <c r="D440" s="3">
        <v>100</v>
      </c>
      <c r="E440" s="3">
        <f>$D440*TCA!E440/100</f>
        <v>119.65</v>
      </c>
      <c r="F440" s="3">
        <f>$D440*TCA!F440/100</f>
        <v>21.88</v>
      </c>
      <c r="G440" s="3">
        <f>$D440*TCA!G440/100</f>
        <v>3.57</v>
      </c>
      <c r="H440" s="3">
        <f>$D440*TCA!H440/100</f>
        <v>0</v>
      </c>
      <c r="I440" s="3">
        <f>$D440*TCA!I440/100</f>
        <v>0</v>
      </c>
      <c r="J440" s="3">
        <f>$D440*TCA!J440/100</f>
        <v>1.1200000000000001</v>
      </c>
      <c r="K440" s="3">
        <f>$D440*TCA!K440/100</f>
        <v>0</v>
      </c>
      <c r="L440" s="3">
        <f>$D440*TCA!L440/100</f>
        <v>0</v>
      </c>
      <c r="M440" s="3">
        <f>$D440*TCA!M440/100</f>
        <v>69</v>
      </c>
      <c r="N440" s="3">
        <f>$D440*TCA!N440/100</f>
        <v>18</v>
      </c>
      <c r="O440" s="3">
        <f>$D440*TCA!O440/100</f>
        <v>0</v>
      </c>
      <c r="P440" s="3">
        <f t="shared" si="6"/>
        <v>0</v>
      </c>
      <c r="Q440" s="3">
        <f>$D440*TCA!P440/100</f>
        <v>0.64</v>
      </c>
      <c r="R440" s="3">
        <f>$D440*TCA!Q440/100</f>
        <v>0</v>
      </c>
      <c r="S440" s="3">
        <f>$D440*TCA!R440/100</f>
        <v>58</v>
      </c>
      <c r="T440" s="3">
        <f>$D440*TCA!S440/100</f>
        <v>0</v>
      </c>
      <c r="U440" s="3">
        <f>$D440*TCA!T440/100</f>
        <v>0</v>
      </c>
      <c r="V440" s="3">
        <f>$D440*TCA!U440/100</f>
        <v>0</v>
      </c>
      <c r="W440" s="3">
        <f>$D440*TCA!V440/100</f>
        <v>0</v>
      </c>
      <c r="X440" s="3">
        <f>$D440*TCA!W440/100</f>
        <v>0</v>
      </c>
    </row>
    <row r="441" spans="1:24" x14ac:dyDescent="0.25">
      <c r="A441" s="3" t="s">
        <v>2029</v>
      </c>
      <c r="B441" s="3" t="s">
        <v>868</v>
      </c>
      <c r="C441" s="3" t="s">
        <v>869</v>
      </c>
      <c r="D441" s="3">
        <v>100</v>
      </c>
      <c r="E441" s="3">
        <f>$D441*TCA!E441/100</f>
        <v>390.2</v>
      </c>
      <c r="F441" s="3">
        <f>$D441*TCA!F441/100</f>
        <v>17</v>
      </c>
      <c r="G441" s="3">
        <f>$D441*TCA!G441/100</f>
        <v>35.799999999999997</v>
      </c>
      <c r="H441" s="3">
        <f>$D441*TCA!H441/100</f>
        <v>0</v>
      </c>
      <c r="I441" s="3">
        <f>$D441*TCA!I441/100</f>
        <v>0</v>
      </c>
      <c r="J441" s="3">
        <f>$D441*TCA!J441/100</f>
        <v>12.45</v>
      </c>
      <c r="K441" s="3">
        <f>$D441*TCA!K441/100</f>
        <v>16.89</v>
      </c>
      <c r="L441" s="3">
        <f>$D441*TCA!L441/100</f>
        <v>3.94</v>
      </c>
      <c r="M441" s="3">
        <f>$D441*TCA!M441/100</f>
        <v>129</v>
      </c>
      <c r="N441" s="3">
        <f>$D441*TCA!N441/100</f>
        <v>14</v>
      </c>
      <c r="O441" s="3">
        <f>$D441*TCA!O441/100</f>
        <v>47</v>
      </c>
      <c r="P441" s="3">
        <f t="shared" si="6"/>
        <v>2.7647058823529411</v>
      </c>
      <c r="Q441" s="3">
        <f>$D441*TCA!P441/100</f>
        <v>0.79</v>
      </c>
      <c r="R441" s="3">
        <f>$D441*TCA!Q441/100</f>
        <v>157</v>
      </c>
      <c r="S441" s="3">
        <f>$D441*TCA!R441/100</f>
        <v>25</v>
      </c>
      <c r="T441" s="3">
        <f>$D441*TCA!S441/100</f>
        <v>1.64</v>
      </c>
      <c r="U441" s="3">
        <f>$D441*TCA!T441/100</f>
        <v>0</v>
      </c>
      <c r="V441" s="3">
        <f>$D441*TCA!U441/100</f>
        <v>0</v>
      </c>
      <c r="W441" s="3">
        <f>$D441*TCA!V441/100</f>
        <v>4</v>
      </c>
      <c r="X441" s="3">
        <f>$D441*TCA!W441/100</f>
        <v>0.55000000000000004</v>
      </c>
    </row>
    <row r="442" spans="1:24" x14ac:dyDescent="0.25">
      <c r="A442" s="3" t="s">
        <v>2029</v>
      </c>
      <c r="B442" s="3" t="s">
        <v>870</v>
      </c>
      <c r="C442" s="3" t="s">
        <v>871</v>
      </c>
      <c r="D442" s="3">
        <v>100</v>
      </c>
      <c r="E442" s="3">
        <f>$D442*TCA!E442/100</f>
        <v>113.64</v>
      </c>
      <c r="F442" s="3">
        <f>$D442*TCA!F442/100</f>
        <v>17.27</v>
      </c>
      <c r="G442" s="3">
        <f>$D442*TCA!G442/100</f>
        <v>4.3600000000000003</v>
      </c>
      <c r="H442" s="3">
        <f>$D442*TCA!H442/100</f>
        <v>1.33</v>
      </c>
      <c r="I442" s="3">
        <f>$D442*TCA!I442/100</f>
        <v>0</v>
      </c>
      <c r="J442" s="3">
        <f>$D442*TCA!J442/100</f>
        <v>1.1599999999999999</v>
      </c>
      <c r="K442" s="3">
        <f>$D442*TCA!K442/100</f>
        <v>1.02</v>
      </c>
      <c r="L442" s="3">
        <f>$D442*TCA!L442/100</f>
        <v>1.1200000000000001</v>
      </c>
      <c r="M442" s="3">
        <f>$D442*TCA!M442/100</f>
        <v>131</v>
      </c>
      <c r="N442" s="3">
        <f>$D442*TCA!N442/100</f>
        <v>5</v>
      </c>
      <c r="O442" s="3">
        <f>$D442*TCA!O442/100</f>
        <v>169</v>
      </c>
      <c r="P442" s="3">
        <f t="shared" si="6"/>
        <v>9.7857556456282566</v>
      </c>
      <c r="Q442" s="3">
        <f>$D442*TCA!P442/100</f>
        <v>4.68</v>
      </c>
      <c r="R442" s="3">
        <f>$D442*TCA!Q442/100</f>
        <v>294</v>
      </c>
      <c r="S442" s="3">
        <f>$D442*TCA!R442/100</f>
        <v>56</v>
      </c>
      <c r="T442" s="3">
        <f>$D442*TCA!S442/100</f>
        <v>2.8</v>
      </c>
      <c r="U442" s="3">
        <f>$D442*TCA!T442/100</f>
        <v>5</v>
      </c>
      <c r="V442" s="3">
        <f>$D442*TCA!U442/100</f>
        <v>8</v>
      </c>
      <c r="W442" s="3">
        <f>$D442*TCA!V442/100</f>
        <v>4</v>
      </c>
      <c r="X442" s="3">
        <f>$D442*TCA!W442/100</f>
        <v>3.79</v>
      </c>
    </row>
    <row r="443" spans="1:24" x14ac:dyDescent="0.25">
      <c r="A443" s="3" t="s">
        <v>2029</v>
      </c>
      <c r="B443" s="3" t="s">
        <v>872</v>
      </c>
      <c r="C443" s="3" t="s">
        <v>873</v>
      </c>
      <c r="D443" s="3">
        <v>100</v>
      </c>
      <c r="E443" s="3">
        <f>$D443*TCA!E443/100</f>
        <v>213.1</v>
      </c>
      <c r="F443" s="3">
        <f>$D443*TCA!F443/100</f>
        <v>10.6</v>
      </c>
      <c r="G443" s="3">
        <f>$D443*TCA!G443/100</f>
        <v>18.3</v>
      </c>
      <c r="H443" s="3">
        <f>$D443*TCA!H443/100</f>
        <v>1.5</v>
      </c>
      <c r="I443" s="3">
        <f>$D443*TCA!I443/100</f>
        <v>0</v>
      </c>
      <c r="J443" s="3">
        <f>$D443*TCA!J443/100</f>
        <v>0</v>
      </c>
      <c r="K443" s="3">
        <f>$D443*TCA!K443/100</f>
        <v>0</v>
      </c>
      <c r="L443" s="3">
        <f>$D443*TCA!L443/100</f>
        <v>0</v>
      </c>
      <c r="M443" s="3">
        <f>$D443*TCA!M443/100</f>
        <v>0</v>
      </c>
      <c r="N443" s="3">
        <f>$D443*TCA!N443/100</f>
        <v>3</v>
      </c>
      <c r="O443" s="3">
        <f>$D443*TCA!O443/100</f>
        <v>26</v>
      </c>
      <c r="P443" s="3">
        <f t="shared" si="6"/>
        <v>2.4528301886792452</v>
      </c>
      <c r="Q443" s="3">
        <f>$D443*TCA!P443/100</f>
        <v>0.08</v>
      </c>
      <c r="R443" s="3">
        <f>$D443*TCA!Q443/100</f>
        <v>112</v>
      </c>
      <c r="S443" s="3">
        <f>$D443*TCA!R443/100</f>
        <v>467</v>
      </c>
      <c r="T443" s="3">
        <f>$D443*TCA!S443/100</f>
        <v>0.19</v>
      </c>
      <c r="U443" s="3">
        <f>$D443*TCA!T443/100</f>
        <v>0</v>
      </c>
      <c r="V443" s="3">
        <f>$D443*TCA!U443/100</f>
        <v>0</v>
      </c>
      <c r="W443" s="3">
        <f>$D443*TCA!V443/100</f>
        <v>0</v>
      </c>
      <c r="X443" s="3">
        <f>$D443*TCA!W443/100</f>
        <v>0</v>
      </c>
    </row>
    <row r="444" spans="1:24" x14ac:dyDescent="0.25">
      <c r="A444" s="3" t="s">
        <v>2029</v>
      </c>
      <c r="B444" s="3" t="s">
        <v>874</v>
      </c>
      <c r="C444" s="3" t="s">
        <v>875</v>
      </c>
      <c r="D444" s="3">
        <v>100</v>
      </c>
      <c r="E444" s="3">
        <f>$D444*TCA!E444/100</f>
        <v>158.66</v>
      </c>
      <c r="F444" s="3">
        <f>$D444*TCA!F444/100</f>
        <v>16.850000000000001</v>
      </c>
      <c r="G444" s="3">
        <f>$D444*TCA!G444/100</f>
        <v>10.14</v>
      </c>
      <c r="H444" s="3">
        <f>$D444*TCA!H444/100</f>
        <v>0</v>
      </c>
      <c r="I444" s="3">
        <f>$D444*TCA!I444/100</f>
        <v>0</v>
      </c>
      <c r="J444" s="3">
        <f>$D444*TCA!J444/100</f>
        <v>4.03</v>
      </c>
      <c r="K444" s="3">
        <f>$D444*TCA!K444/100</f>
        <v>3.59</v>
      </c>
      <c r="L444" s="3">
        <f>$D444*TCA!L444/100</f>
        <v>0.89</v>
      </c>
      <c r="M444" s="3">
        <f>$D444*TCA!M444/100</f>
        <v>223</v>
      </c>
      <c r="N444" s="3">
        <f>$D444*TCA!N444/100</f>
        <v>11</v>
      </c>
      <c r="O444" s="3">
        <f>$D444*TCA!O444/100</f>
        <v>130</v>
      </c>
      <c r="P444" s="3">
        <f t="shared" si="6"/>
        <v>7.7151335311572691</v>
      </c>
      <c r="Q444" s="3">
        <f>$D444*TCA!P444/100</f>
        <v>1.01</v>
      </c>
      <c r="R444" s="3">
        <f>$D444*TCA!Q444/100</f>
        <v>140</v>
      </c>
      <c r="S444" s="3">
        <f>$D444*TCA!R444/100</f>
        <v>75</v>
      </c>
      <c r="T444" s="3">
        <f>$D444*TCA!S444/100</f>
        <v>1.85</v>
      </c>
      <c r="U444" s="3">
        <f>$D444*TCA!T444/100</f>
        <v>0</v>
      </c>
      <c r="V444" s="3">
        <f>$D444*TCA!U444/100</f>
        <v>0</v>
      </c>
      <c r="W444" s="3">
        <f>$D444*TCA!V444/100</f>
        <v>3</v>
      </c>
      <c r="X444" s="3">
        <f>$D444*TCA!W444/100</f>
        <v>0.3</v>
      </c>
    </row>
    <row r="445" spans="1:24" x14ac:dyDescent="0.25">
      <c r="A445" s="3" t="s">
        <v>2029</v>
      </c>
      <c r="B445" s="3" t="s">
        <v>876</v>
      </c>
      <c r="C445" s="3" t="s">
        <v>877</v>
      </c>
      <c r="D445" s="3">
        <v>100</v>
      </c>
      <c r="E445" s="3">
        <f>$D445*TCA!E445/100</f>
        <v>128.29</v>
      </c>
      <c r="F445" s="3">
        <f>$D445*TCA!F445/100</f>
        <v>21.39</v>
      </c>
      <c r="G445" s="3">
        <f>$D445*TCA!G445/100</f>
        <v>3.65</v>
      </c>
      <c r="H445" s="3">
        <f>$D445*TCA!H445/100</f>
        <v>2.4700000000000002</v>
      </c>
      <c r="I445" s="3">
        <f>$D445*TCA!I445/100</f>
        <v>0</v>
      </c>
      <c r="J445" s="3">
        <f>$D445*TCA!J445/100</f>
        <v>1.17</v>
      </c>
      <c r="K445" s="3">
        <f>$D445*TCA!K445/100</f>
        <v>0.52</v>
      </c>
      <c r="L445" s="3">
        <f>$D445*TCA!L445/100</f>
        <v>0.87</v>
      </c>
      <c r="M445" s="3">
        <f>$D445*TCA!M445/100</f>
        <v>301</v>
      </c>
      <c r="N445" s="3">
        <f>$D445*TCA!N445/100</f>
        <v>9</v>
      </c>
      <c r="O445" s="3">
        <f>$D445*TCA!O445/100</f>
        <v>288</v>
      </c>
      <c r="P445" s="3">
        <f t="shared" si="6"/>
        <v>13.464235624123422</v>
      </c>
      <c r="Q445" s="3">
        <f>$D445*TCA!P445/100</f>
        <v>23.3</v>
      </c>
      <c r="R445" s="3">
        <f>$D445*TCA!Q445/100</f>
        <v>273</v>
      </c>
      <c r="S445" s="3">
        <f>$D445*TCA!R445/100</f>
        <v>87</v>
      </c>
      <c r="T445" s="3">
        <f>$D445*TCA!S445/100</f>
        <v>5.76</v>
      </c>
      <c r="U445" s="3">
        <f>$D445*TCA!T445/100</f>
        <v>25</v>
      </c>
      <c r="V445" s="3">
        <f>$D445*TCA!U445/100</f>
        <v>6502</v>
      </c>
      <c r="W445" s="3">
        <f>$D445*TCA!V445/100</f>
        <v>212</v>
      </c>
      <c r="X445" s="3">
        <f>$D445*TCA!W445/100</f>
        <v>26</v>
      </c>
    </row>
    <row r="446" spans="1:24" x14ac:dyDescent="0.25">
      <c r="A446" s="3" t="s">
        <v>2029</v>
      </c>
      <c r="B446" s="3" t="s">
        <v>878</v>
      </c>
      <c r="C446" s="3" t="s">
        <v>879</v>
      </c>
      <c r="D446" s="3">
        <v>100</v>
      </c>
      <c r="E446" s="3">
        <f>$D446*TCA!E446/100</f>
        <v>220</v>
      </c>
      <c r="F446" s="3">
        <f>$D446*TCA!F446/100</f>
        <v>16.3</v>
      </c>
      <c r="G446" s="3">
        <f>$D446*TCA!G446/100</f>
        <v>17.2</v>
      </c>
      <c r="H446" s="3">
        <f>$D446*TCA!H446/100</f>
        <v>0</v>
      </c>
      <c r="I446" s="3">
        <f>$D446*TCA!I446/100</f>
        <v>0</v>
      </c>
      <c r="J446" s="3">
        <f>$D446*TCA!J446/100</f>
        <v>5.96</v>
      </c>
      <c r="K446" s="3">
        <f>$D446*TCA!K446/100</f>
        <v>8.1300000000000008</v>
      </c>
      <c r="L446" s="3">
        <f>$D446*TCA!L446/100</f>
        <v>1.78</v>
      </c>
      <c r="M446" s="3">
        <f>$D446*TCA!M446/100</f>
        <v>101</v>
      </c>
      <c r="N446" s="3">
        <f>$D446*TCA!N446/100</f>
        <v>16</v>
      </c>
      <c r="O446" s="3">
        <f>$D446*TCA!O446/100</f>
        <v>193</v>
      </c>
      <c r="P446" s="3">
        <f t="shared" si="6"/>
        <v>11.840490797546012</v>
      </c>
      <c r="Q446" s="3">
        <f>$D446*TCA!P446/100</f>
        <v>3.35</v>
      </c>
      <c r="R446" s="3">
        <f>$D446*TCA!Q446/100</f>
        <v>243</v>
      </c>
      <c r="S446" s="3">
        <f>$D446*TCA!R446/100</f>
        <v>110</v>
      </c>
      <c r="T446" s="3">
        <f>$D446*TCA!S446/100</f>
        <v>3.01</v>
      </c>
      <c r="U446" s="3">
        <f>$D446*TCA!T446/100</f>
        <v>4</v>
      </c>
      <c r="V446" s="3">
        <f>$D446*TCA!U446/100</f>
        <v>0</v>
      </c>
      <c r="W446" s="3">
        <f>$D446*TCA!V446/100</f>
        <v>4</v>
      </c>
      <c r="X446" s="3">
        <f>$D446*TCA!W446/100</f>
        <v>2.84</v>
      </c>
    </row>
    <row r="447" spans="1:24" x14ac:dyDescent="0.25">
      <c r="A447" s="3" t="s">
        <v>2029</v>
      </c>
      <c r="B447" s="3" t="s">
        <v>880</v>
      </c>
      <c r="C447" s="3" t="s">
        <v>881</v>
      </c>
      <c r="D447" s="3">
        <v>100</v>
      </c>
      <c r="E447" s="3">
        <f>$D447*TCA!E447/100</f>
        <v>205.95</v>
      </c>
      <c r="F447" s="3">
        <f>$D447*TCA!F447/100</f>
        <v>23.16</v>
      </c>
      <c r="G447" s="3">
        <f>$D447*TCA!G447/100</f>
        <v>12.59</v>
      </c>
      <c r="H447" s="3">
        <f>$D447*TCA!H447/100</f>
        <v>0</v>
      </c>
      <c r="I447" s="3">
        <f>$D447*TCA!I447/100</f>
        <v>0</v>
      </c>
      <c r="J447" s="3">
        <f>$D447*TCA!J447/100</f>
        <v>3.57</v>
      </c>
      <c r="K447" s="3">
        <f>$D447*TCA!K447/100</f>
        <v>6.29</v>
      </c>
      <c r="L447" s="3">
        <f>$D447*TCA!L447/100</f>
        <v>1.0900000000000001</v>
      </c>
      <c r="M447" s="3">
        <f>$D447*TCA!M447/100</f>
        <v>88</v>
      </c>
      <c r="N447" s="3">
        <f>$D447*TCA!N447/100</f>
        <v>70</v>
      </c>
      <c r="O447" s="3">
        <f>$D447*TCA!O447/100</f>
        <v>75</v>
      </c>
      <c r="P447" s="3">
        <f t="shared" si="6"/>
        <v>3.2383419689119171</v>
      </c>
      <c r="Q447" s="3">
        <f>$D447*TCA!P447/100</f>
        <v>0.57999999999999996</v>
      </c>
      <c r="R447" s="3">
        <f>$D447*TCA!Q447/100</f>
        <v>63</v>
      </c>
      <c r="S447" s="3">
        <f>$D447*TCA!R447/100</f>
        <v>132</v>
      </c>
      <c r="T447" s="3">
        <f>$D447*TCA!S447/100</f>
        <v>0.76</v>
      </c>
      <c r="U447" s="3">
        <f>$D447*TCA!T447/100</f>
        <v>0</v>
      </c>
      <c r="V447" s="3">
        <f>$D447*TCA!U447/100</f>
        <v>0</v>
      </c>
      <c r="W447" s="3">
        <f>$D447*TCA!V447/100</f>
        <v>10</v>
      </c>
      <c r="X447" s="3">
        <f>$D447*TCA!W447/100</f>
        <v>0.52</v>
      </c>
    </row>
    <row r="448" spans="1:24" x14ac:dyDescent="0.25">
      <c r="A448" s="3" t="s">
        <v>2029</v>
      </c>
      <c r="B448" s="3" t="s">
        <v>882</v>
      </c>
      <c r="C448" s="3" t="s">
        <v>883</v>
      </c>
      <c r="D448" s="3">
        <v>100</v>
      </c>
      <c r="E448" s="3">
        <f>$D448*TCA!E448/100</f>
        <v>153.41999999999999</v>
      </c>
      <c r="F448" s="3">
        <f>$D448*TCA!F448/100</f>
        <v>13.83</v>
      </c>
      <c r="G448" s="3">
        <f>$D448*TCA!G448/100</f>
        <v>10.9</v>
      </c>
      <c r="H448" s="3">
        <f>$D448*TCA!H448/100</f>
        <v>0</v>
      </c>
      <c r="I448" s="3">
        <f>$D448*TCA!I448/100</f>
        <v>0</v>
      </c>
      <c r="J448" s="3">
        <f>$D448*TCA!J448/100</f>
        <v>3.4</v>
      </c>
      <c r="K448" s="3">
        <f>$D448*TCA!K448/100</f>
        <v>5.6</v>
      </c>
      <c r="L448" s="3">
        <f>$D448*TCA!L448/100</f>
        <v>1.1299999999999999</v>
      </c>
      <c r="M448" s="3">
        <f>$D448*TCA!M448/100</f>
        <v>69</v>
      </c>
      <c r="N448" s="3">
        <f>$D448*TCA!N448/100</f>
        <v>16</v>
      </c>
      <c r="O448" s="3">
        <f>$D448*TCA!O448/100</f>
        <v>56</v>
      </c>
      <c r="P448" s="3">
        <f t="shared" si="6"/>
        <v>4.0491684743311644</v>
      </c>
      <c r="Q448" s="3">
        <f>$D448*TCA!P448/100</f>
        <v>1.5</v>
      </c>
      <c r="R448" s="3">
        <f>$D448*TCA!Q448/100</f>
        <v>31</v>
      </c>
      <c r="S448" s="3">
        <f>$D448*TCA!R448/100</f>
        <v>941</v>
      </c>
      <c r="T448" s="3">
        <f>$D448*TCA!S448/100</f>
        <v>0.97</v>
      </c>
      <c r="U448" s="3">
        <f>$D448*TCA!T448/100</f>
        <v>0</v>
      </c>
      <c r="V448" s="3">
        <f>$D448*TCA!U448/100</f>
        <v>0</v>
      </c>
      <c r="W448" s="3">
        <f>$D448*TCA!V448/100</f>
        <v>2</v>
      </c>
      <c r="X448" s="3">
        <f>$D448*TCA!W448/100</f>
        <v>1.05</v>
      </c>
    </row>
    <row r="449" spans="1:24" x14ac:dyDescent="0.25">
      <c r="A449" s="3" t="s">
        <v>2029</v>
      </c>
      <c r="B449" s="3" t="s">
        <v>884</v>
      </c>
      <c r="C449" s="3" t="s">
        <v>885</v>
      </c>
      <c r="D449" s="3">
        <v>100</v>
      </c>
      <c r="E449" s="3">
        <f>$D449*TCA!E449/100</f>
        <v>95.09</v>
      </c>
      <c r="F449" s="3">
        <f>$D449*TCA!F449/100</f>
        <v>16.46</v>
      </c>
      <c r="G449" s="3">
        <f>$D449*TCA!G449/100</f>
        <v>3.25</v>
      </c>
      <c r="H449" s="3">
        <f>$D449*TCA!H449/100</f>
        <v>0</v>
      </c>
      <c r="I449" s="3">
        <f>$D449*TCA!I449/100</f>
        <v>0</v>
      </c>
      <c r="J449" s="3">
        <f>$D449*TCA!J449/100</f>
        <v>1.04</v>
      </c>
      <c r="K449" s="3">
        <f>$D449*TCA!K449/100</f>
        <v>1.07</v>
      </c>
      <c r="L449" s="3">
        <f>$D449*TCA!L449/100</f>
        <v>0.26</v>
      </c>
      <c r="M449" s="3">
        <f>$D449*TCA!M449/100</f>
        <v>319</v>
      </c>
      <c r="N449" s="3">
        <f>$D449*TCA!N449/100</f>
        <v>9</v>
      </c>
      <c r="O449" s="3">
        <f>$D449*TCA!O449/100</f>
        <v>204</v>
      </c>
      <c r="P449" s="3">
        <f t="shared" si="6"/>
        <v>12.393681652490887</v>
      </c>
      <c r="Q449" s="3">
        <f>$D449*TCA!P449/100</f>
        <v>4.8899999999999997</v>
      </c>
      <c r="R449" s="3">
        <f>$D449*TCA!Q449/100</f>
        <v>229</v>
      </c>
      <c r="S449" s="3">
        <f>$D449*TCA!R449/100</f>
        <v>121</v>
      </c>
      <c r="T449" s="3">
        <f>$D449*TCA!S449/100</f>
        <v>2.75</v>
      </c>
      <c r="U449" s="3">
        <f>$D449*TCA!T449/100</f>
        <v>13</v>
      </c>
      <c r="V449" s="3">
        <f>$D449*TCA!U449/100</f>
        <v>59</v>
      </c>
      <c r="W449" s="3">
        <f>$D449*TCA!V449/100</f>
        <v>42</v>
      </c>
      <c r="X449" s="3">
        <f>$D449*TCA!W449/100</f>
        <v>8.49</v>
      </c>
    </row>
    <row r="450" spans="1:24" x14ac:dyDescent="0.25">
      <c r="A450" s="3" t="s">
        <v>2029</v>
      </c>
      <c r="B450" s="3" t="s">
        <v>886</v>
      </c>
      <c r="C450" s="3" t="s">
        <v>887</v>
      </c>
      <c r="D450" s="3">
        <v>100</v>
      </c>
      <c r="E450" s="3">
        <f>$D450*TCA!E450/100</f>
        <v>529.9</v>
      </c>
      <c r="F450" s="3">
        <f>$D450*TCA!F450/100</f>
        <v>37.04</v>
      </c>
      <c r="G450" s="3">
        <f>$D450*TCA!G450/100</f>
        <v>41.78</v>
      </c>
      <c r="H450" s="3">
        <f>$D450*TCA!H450/100</f>
        <v>1.43</v>
      </c>
      <c r="I450" s="3">
        <f>$D450*TCA!I450/100</f>
        <v>0</v>
      </c>
      <c r="J450" s="3">
        <f>$D450*TCA!J450/100</f>
        <v>13.74</v>
      </c>
      <c r="K450" s="3">
        <f>$D450*TCA!K450/100</f>
        <v>18.52</v>
      </c>
      <c r="L450" s="3">
        <f>$D450*TCA!L450/100</f>
        <v>4.75</v>
      </c>
      <c r="M450" s="3">
        <f>$D450*TCA!M450/100</f>
        <v>110</v>
      </c>
      <c r="N450" s="3">
        <f>$D450*TCA!N450/100</f>
        <v>11</v>
      </c>
      <c r="O450" s="3">
        <f>$D450*TCA!O450/100</f>
        <v>533</v>
      </c>
      <c r="P450" s="3">
        <f t="shared" si="6"/>
        <v>14.389848812095032</v>
      </c>
      <c r="Q450" s="3">
        <f>$D450*TCA!P450/100</f>
        <v>1.44</v>
      </c>
      <c r="R450" s="3">
        <f>$D450*TCA!Q450/100</f>
        <v>565</v>
      </c>
      <c r="S450" s="3">
        <f>$D450*TCA!R450/100</f>
        <v>2310</v>
      </c>
      <c r="T450" s="3">
        <f>$D450*TCA!S450/100</f>
        <v>3.5</v>
      </c>
      <c r="U450" s="3">
        <f>$D450*TCA!T450/100</f>
        <v>0</v>
      </c>
      <c r="V450" s="3">
        <f>$D450*TCA!U450/100</f>
        <v>11</v>
      </c>
      <c r="W450" s="3">
        <f>$D450*TCA!V450/100</f>
        <v>2</v>
      </c>
      <c r="X450" s="3">
        <f>$D450*TCA!W450/100</f>
        <v>1.23</v>
      </c>
    </row>
    <row r="451" spans="1:24" x14ac:dyDescent="0.25">
      <c r="A451" s="3" t="s">
        <v>2029</v>
      </c>
      <c r="B451" s="3" t="s">
        <v>888</v>
      </c>
      <c r="C451" s="3" t="s">
        <v>889</v>
      </c>
      <c r="D451" s="3">
        <v>100</v>
      </c>
      <c r="E451" s="3">
        <f>$D451*TCA!E451/100</f>
        <v>251</v>
      </c>
      <c r="F451" s="3">
        <f>$D451*TCA!F451/100</f>
        <v>9</v>
      </c>
      <c r="G451" s="3">
        <f>$D451*TCA!G451/100</f>
        <v>23</v>
      </c>
      <c r="H451" s="3">
        <f>$D451*TCA!H451/100</f>
        <v>2</v>
      </c>
      <c r="I451" s="3">
        <f>$D451*TCA!I451/100</f>
        <v>0</v>
      </c>
      <c r="J451" s="3">
        <f>$D451*TCA!J451/100</f>
        <v>11</v>
      </c>
      <c r="K451" s="3">
        <f>$D451*TCA!K451/100</f>
        <v>11</v>
      </c>
      <c r="L451" s="3">
        <f>$D451*TCA!L451/100</f>
        <v>1</v>
      </c>
      <c r="M451" s="3">
        <f>$D451*TCA!M451/100</f>
        <v>33</v>
      </c>
      <c r="N451" s="3">
        <f>$D451*TCA!N451/100</f>
        <v>0</v>
      </c>
      <c r="O451" s="3">
        <f>$D451*TCA!O451/100</f>
        <v>0</v>
      </c>
      <c r="P451" s="3">
        <f t="shared" si="6"/>
        <v>0</v>
      </c>
      <c r="Q451" s="3">
        <f>$D451*TCA!P451/100</f>
        <v>0</v>
      </c>
      <c r="R451" s="3">
        <f>$D451*TCA!Q451/100</f>
        <v>0</v>
      </c>
      <c r="S451" s="3">
        <f>$D451*TCA!R451/100</f>
        <v>50</v>
      </c>
      <c r="T451" s="3">
        <f>$D451*TCA!S451/100</f>
        <v>0</v>
      </c>
      <c r="U451" s="3">
        <f>$D451*TCA!T451/100</f>
        <v>0</v>
      </c>
      <c r="V451" s="3">
        <f>$D451*TCA!U451/100</f>
        <v>0</v>
      </c>
      <c r="W451" s="3">
        <f>$D451*TCA!V451/100</f>
        <v>0</v>
      </c>
      <c r="X451" s="3">
        <f>$D451*TCA!W451/100</f>
        <v>0</v>
      </c>
    </row>
    <row r="452" spans="1:24" x14ac:dyDescent="0.25">
      <c r="A452" s="3" t="s">
        <v>2029</v>
      </c>
      <c r="B452" s="3" t="s">
        <v>890</v>
      </c>
      <c r="C452" s="3" t="s">
        <v>891</v>
      </c>
      <c r="D452" s="3">
        <v>100</v>
      </c>
      <c r="E452" s="3">
        <f>$D452*TCA!E452/100</f>
        <v>181.7</v>
      </c>
      <c r="F452" s="3">
        <f>$D452*TCA!F452/100</f>
        <v>16.600000000000001</v>
      </c>
      <c r="G452" s="3">
        <f>$D452*TCA!G452/100</f>
        <v>11.7</v>
      </c>
      <c r="H452" s="3">
        <f>$D452*TCA!H452/100</f>
        <v>2.5</v>
      </c>
      <c r="I452" s="3">
        <f>$D452*TCA!I452/100</f>
        <v>0</v>
      </c>
      <c r="J452" s="3">
        <f>$D452*TCA!J452/100</f>
        <v>0</v>
      </c>
      <c r="K452" s="3">
        <f>$D452*TCA!K452/100</f>
        <v>0</v>
      </c>
      <c r="L452" s="3">
        <f>$D452*TCA!L452/100</f>
        <v>0</v>
      </c>
      <c r="M452" s="3">
        <f>$D452*TCA!M452/100</f>
        <v>0</v>
      </c>
      <c r="N452" s="3">
        <f>$D452*TCA!N452/100</f>
        <v>40</v>
      </c>
      <c r="O452" s="3">
        <f>$D452*TCA!O452/100</f>
        <v>144</v>
      </c>
      <c r="P452" s="3">
        <f t="shared" ref="P452:P515" si="7">O452/F452</f>
        <v>8.6746987951807224</v>
      </c>
      <c r="Q452" s="3">
        <f>$D452*TCA!P452/100</f>
        <v>4.7</v>
      </c>
      <c r="R452" s="3">
        <f>$D452*TCA!Q452/100</f>
        <v>0</v>
      </c>
      <c r="S452" s="3">
        <f>$D452*TCA!R452/100</f>
        <v>0</v>
      </c>
      <c r="T452" s="3">
        <f>$D452*TCA!S452/100</f>
        <v>0</v>
      </c>
      <c r="U452" s="3">
        <f>$D452*TCA!T452/100</f>
        <v>0</v>
      </c>
      <c r="V452" s="3">
        <f>$D452*TCA!U452/100</f>
        <v>0</v>
      </c>
      <c r="W452" s="3">
        <f>$D452*TCA!V452/100</f>
        <v>0</v>
      </c>
      <c r="X452" s="3">
        <f>$D452*TCA!W452/100</f>
        <v>0</v>
      </c>
    </row>
    <row r="453" spans="1:24" x14ac:dyDescent="0.25">
      <c r="A453" s="3" t="s">
        <v>2029</v>
      </c>
      <c r="B453" s="3" t="s">
        <v>892</v>
      </c>
      <c r="C453" s="3" t="s">
        <v>893</v>
      </c>
      <c r="D453" s="3">
        <v>100</v>
      </c>
      <c r="E453" s="3">
        <f>$D453*TCA!E453/100</f>
        <v>198.4</v>
      </c>
      <c r="F453" s="3">
        <f>$D453*TCA!F453/100</f>
        <v>21.1</v>
      </c>
      <c r="G453" s="3">
        <f>$D453*TCA!G453/100</f>
        <v>8.4</v>
      </c>
      <c r="H453" s="3">
        <f>$D453*TCA!H453/100</f>
        <v>9.6</v>
      </c>
      <c r="I453" s="3">
        <f>$D453*TCA!I453/100</f>
        <v>0</v>
      </c>
      <c r="J453" s="3">
        <f>$D453*TCA!J453/100</f>
        <v>0</v>
      </c>
      <c r="K453" s="3">
        <f>$D453*TCA!K453/100</f>
        <v>0</v>
      </c>
      <c r="L453" s="3">
        <f>$D453*TCA!L453/100</f>
        <v>0</v>
      </c>
      <c r="M453" s="3">
        <f>$D453*TCA!M453/100</f>
        <v>0</v>
      </c>
      <c r="N453" s="3">
        <f>$D453*TCA!N453/100</f>
        <v>78</v>
      </c>
      <c r="O453" s="3">
        <f>$D453*TCA!O453/100</f>
        <v>129</v>
      </c>
      <c r="P453" s="3">
        <f t="shared" si="7"/>
        <v>6.1137440758293833</v>
      </c>
      <c r="Q453" s="3">
        <f>$D453*TCA!P453/100</f>
        <v>4.5999999999999996</v>
      </c>
      <c r="R453" s="3">
        <f>$D453*TCA!Q453/100</f>
        <v>0</v>
      </c>
      <c r="S453" s="3">
        <f>$D453*TCA!R453/100</f>
        <v>0</v>
      </c>
      <c r="T453" s="3">
        <f>$D453*TCA!S453/100</f>
        <v>0</v>
      </c>
      <c r="U453" s="3">
        <f>$D453*TCA!T453/100</f>
        <v>0</v>
      </c>
      <c r="V453" s="3">
        <f>$D453*TCA!U453/100</f>
        <v>4</v>
      </c>
      <c r="W453" s="3">
        <f>$D453*TCA!V453/100</f>
        <v>0</v>
      </c>
      <c r="X453" s="3">
        <f>$D453*TCA!W453/100</f>
        <v>0</v>
      </c>
    </row>
    <row r="454" spans="1:24" x14ac:dyDescent="0.25">
      <c r="A454" s="3" t="s">
        <v>2029</v>
      </c>
      <c r="B454" s="3" t="s">
        <v>894</v>
      </c>
      <c r="C454" s="3" t="s">
        <v>895</v>
      </c>
      <c r="D454" s="3">
        <v>100</v>
      </c>
      <c r="E454" s="3">
        <f>$D454*TCA!E454/100</f>
        <v>197.21</v>
      </c>
      <c r="F454" s="3">
        <f>$D454*TCA!F454/100</f>
        <v>30.38</v>
      </c>
      <c r="G454" s="3">
        <f>$D454*TCA!G454/100</f>
        <v>8.41</v>
      </c>
      <c r="H454" s="3">
        <f>$D454*TCA!H454/100</f>
        <v>0</v>
      </c>
      <c r="I454" s="3">
        <f>$D454*TCA!I454/100</f>
        <v>0</v>
      </c>
      <c r="J454" s="3">
        <f>$D454*TCA!J454/100</f>
        <v>2.5099999999999998</v>
      </c>
      <c r="K454" s="3">
        <f>$D454*TCA!K454/100</f>
        <v>2.27</v>
      </c>
      <c r="L454" s="3">
        <f>$D454*TCA!L454/100</f>
        <v>1.63</v>
      </c>
      <c r="M454" s="3">
        <f>$D454*TCA!M454/100</f>
        <v>86</v>
      </c>
      <c r="N454" s="3">
        <f>$D454*TCA!N454/100</f>
        <v>20</v>
      </c>
      <c r="O454" s="3">
        <f>$D454*TCA!O454/100</f>
        <v>226</v>
      </c>
      <c r="P454" s="3">
        <f t="shared" si="7"/>
        <v>7.4391046741277158</v>
      </c>
      <c r="Q454" s="3">
        <f>$D454*TCA!P454/100</f>
        <v>2.37</v>
      </c>
      <c r="R454" s="3">
        <f>$D454*TCA!Q454/100</f>
        <v>300</v>
      </c>
      <c r="S454" s="3">
        <f>$D454*TCA!R454/100</f>
        <v>37</v>
      </c>
      <c r="T454" s="3">
        <f>$D454*TCA!S454/100</f>
        <v>2.37</v>
      </c>
      <c r="U454" s="3">
        <f>$D454*TCA!T454/100</f>
        <v>0</v>
      </c>
      <c r="V454" s="3">
        <f>$D454*TCA!U454/100</f>
        <v>0</v>
      </c>
      <c r="W454" s="3">
        <f>$D454*TCA!V454/100</f>
        <v>9</v>
      </c>
      <c r="X454" s="3">
        <f>$D454*TCA!W454/100</f>
        <v>6.51</v>
      </c>
    </row>
    <row r="455" spans="1:24" x14ac:dyDescent="0.25">
      <c r="A455" s="3" t="s">
        <v>2029</v>
      </c>
      <c r="B455" s="3" t="s">
        <v>896</v>
      </c>
      <c r="C455" s="3" t="s">
        <v>897</v>
      </c>
      <c r="D455" s="3">
        <v>100</v>
      </c>
      <c r="E455" s="3">
        <f>$D455*TCA!E455/100</f>
        <v>130.15</v>
      </c>
      <c r="F455" s="3">
        <f>$D455*TCA!F455/100</f>
        <v>20.05</v>
      </c>
      <c r="G455" s="3">
        <f>$D455*TCA!G455/100</f>
        <v>5.55</v>
      </c>
      <c r="H455" s="3">
        <f>$D455*TCA!H455/100</f>
        <v>0</v>
      </c>
      <c r="I455" s="3">
        <f>$D455*TCA!I455/100</f>
        <v>0</v>
      </c>
      <c r="J455" s="3">
        <f>$D455*TCA!J455/100</f>
        <v>1.66</v>
      </c>
      <c r="K455" s="3">
        <f>$D455*TCA!K455/100</f>
        <v>1.5</v>
      </c>
      <c r="L455" s="3">
        <f>$D455*TCA!L455/100</f>
        <v>1.08</v>
      </c>
      <c r="M455" s="3">
        <f>$D455*TCA!M455/100</f>
        <v>57</v>
      </c>
      <c r="N455" s="3">
        <f>$D455*TCA!N455/100</f>
        <v>13</v>
      </c>
      <c r="O455" s="3">
        <f>$D455*TCA!O455/100</f>
        <v>213</v>
      </c>
      <c r="P455" s="3">
        <f t="shared" si="7"/>
        <v>10.623441396508728</v>
      </c>
      <c r="Q455" s="3">
        <f>$D455*TCA!P455/100</f>
        <v>1.57</v>
      </c>
      <c r="R455" s="3">
        <f>$D455*TCA!Q455/100</f>
        <v>330</v>
      </c>
      <c r="S455" s="3">
        <f>$D455*TCA!R455/100</f>
        <v>41</v>
      </c>
      <c r="T455" s="3">
        <f>$D455*TCA!S455/100</f>
        <v>1.57</v>
      </c>
      <c r="U455" s="3">
        <f>$D455*TCA!T455/100</f>
        <v>0</v>
      </c>
      <c r="V455" s="3">
        <f>$D455*TCA!U455/100</f>
        <v>0</v>
      </c>
      <c r="W455" s="3">
        <f>$D455*TCA!V455/100</f>
        <v>8</v>
      </c>
      <c r="X455" s="3">
        <f>$D455*TCA!W455/100</f>
        <v>7.16</v>
      </c>
    </row>
    <row r="456" spans="1:24" x14ac:dyDescent="0.25">
      <c r="A456" s="3" t="s">
        <v>2029</v>
      </c>
      <c r="B456" s="3" t="s">
        <v>898</v>
      </c>
      <c r="C456" s="3" t="s">
        <v>899</v>
      </c>
      <c r="D456" s="3">
        <v>100</v>
      </c>
      <c r="E456" s="3">
        <f>$D456*TCA!E456/100</f>
        <v>125.86</v>
      </c>
      <c r="F456" s="3">
        <f>$D456*TCA!F456/100</f>
        <v>21.43</v>
      </c>
      <c r="G456" s="3">
        <f>$D456*TCA!G456/100</f>
        <v>4.46</v>
      </c>
      <c r="H456" s="3">
        <f>$D456*TCA!H456/100</f>
        <v>0</v>
      </c>
      <c r="I456" s="3">
        <f>$D456*TCA!I456/100</f>
        <v>0</v>
      </c>
      <c r="J456" s="3">
        <f>$D456*TCA!J456/100</f>
        <v>1.34</v>
      </c>
      <c r="K456" s="3">
        <f>$D456*TCA!K456/100</f>
        <v>0</v>
      </c>
      <c r="L456" s="3">
        <f>$D456*TCA!L456/100</f>
        <v>0</v>
      </c>
      <c r="M456" s="3">
        <f>$D456*TCA!M456/100</f>
        <v>67</v>
      </c>
      <c r="N456" s="3">
        <f>$D456*TCA!N456/100</f>
        <v>11</v>
      </c>
      <c r="O456" s="3">
        <f>$D456*TCA!O456/100</f>
        <v>0</v>
      </c>
      <c r="P456" s="3">
        <f t="shared" si="7"/>
        <v>0</v>
      </c>
      <c r="Q456" s="3">
        <f>$D456*TCA!P456/100</f>
        <v>1.65</v>
      </c>
      <c r="R456" s="3">
        <f>$D456*TCA!Q456/100</f>
        <v>348</v>
      </c>
      <c r="S456" s="3">
        <f>$D456*TCA!R456/100</f>
        <v>62</v>
      </c>
      <c r="T456" s="3">
        <f>$D456*TCA!S456/100</f>
        <v>0</v>
      </c>
      <c r="U456" s="3">
        <f>$D456*TCA!T456/100</f>
        <v>0</v>
      </c>
      <c r="V456" s="3">
        <f>$D456*TCA!U456/100</f>
        <v>0</v>
      </c>
      <c r="W456" s="3">
        <f>$D456*TCA!V456/100</f>
        <v>0</v>
      </c>
      <c r="X456" s="3">
        <f>$D456*TCA!W456/100</f>
        <v>0</v>
      </c>
    </row>
    <row r="457" spans="1:24" x14ac:dyDescent="0.25">
      <c r="A457" s="3" t="s">
        <v>2029</v>
      </c>
      <c r="B457" s="3" t="s">
        <v>900</v>
      </c>
      <c r="C457" s="3" t="s">
        <v>901</v>
      </c>
      <c r="D457" s="3">
        <v>100</v>
      </c>
      <c r="E457" s="3">
        <f>$D457*TCA!E457/100</f>
        <v>182.86</v>
      </c>
      <c r="F457" s="3">
        <f>$D457*TCA!F457/100</f>
        <v>28.3</v>
      </c>
      <c r="G457" s="3">
        <f>$D457*TCA!G457/100</f>
        <v>7.74</v>
      </c>
      <c r="H457" s="3">
        <f>$D457*TCA!H457/100</f>
        <v>0</v>
      </c>
      <c r="I457" s="3">
        <f>$D457*TCA!I457/100</f>
        <v>0</v>
      </c>
      <c r="J457" s="3">
        <f>$D457*TCA!J457/100</f>
        <v>2.76</v>
      </c>
      <c r="K457" s="3">
        <f>$D457*TCA!K457/100</f>
        <v>3.39</v>
      </c>
      <c r="L457" s="3">
        <f>$D457*TCA!L457/100</f>
        <v>0.51</v>
      </c>
      <c r="M457" s="3">
        <f>$D457*TCA!M457/100</f>
        <v>89</v>
      </c>
      <c r="N457" s="3">
        <f>$D457*TCA!N457/100</f>
        <v>8</v>
      </c>
      <c r="O457" s="3">
        <f>$D457*TCA!O457/100</f>
        <v>206</v>
      </c>
      <c r="P457" s="3">
        <f t="shared" si="7"/>
        <v>7.2791519434628977</v>
      </c>
      <c r="Q457" s="3">
        <f>$D457*TCA!P457/100</f>
        <v>2.12</v>
      </c>
      <c r="R457" s="3">
        <f>$D457*TCA!Q457/100</f>
        <v>338</v>
      </c>
      <c r="S457" s="3">
        <f>$D457*TCA!R457/100</f>
        <v>68</v>
      </c>
      <c r="T457" s="3">
        <f>$D457*TCA!S457/100</f>
        <v>4.9400000000000004</v>
      </c>
      <c r="U457" s="3">
        <f>$D457*TCA!T457/100</f>
        <v>0</v>
      </c>
      <c r="V457" s="3">
        <f>$D457*TCA!U457/100</f>
        <v>0</v>
      </c>
      <c r="W457" s="3">
        <f>$D457*TCA!V457/100</f>
        <v>23</v>
      </c>
      <c r="X457" s="3">
        <f>$D457*TCA!W457/100</f>
        <v>2.64</v>
      </c>
    </row>
    <row r="458" spans="1:24" x14ac:dyDescent="0.25">
      <c r="A458" s="3" t="s">
        <v>2029</v>
      </c>
      <c r="B458" s="3" t="s">
        <v>902</v>
      </c>
      <c r="C458" s="3" t="s">
        <v>825</v>
      </c>
      <c r="D458" s="3">
        <v>100</v>
      </c>
      <c r="E458" s="3">
        <f>$D458*TCA!E458/100</f>
        <v>122.83</v>
      </c>
      <c r="F458" s="3">
        <f>$D458*TCA!F458/100</f>
        <v>20.56</v>
      </c>
      <c r="G458" s="3">
        <f>$D458*TCA!G458/100</f>
        <v>4.51</v>
      </c>
      <c r="H458" s="3">
        <f>$D458*TCA!H458/100</f>
        <v>0</v>
      </c>
      <c r="I458" s="3">
        <f>$D458*TCA!I458/100</f>
        <v>0</v>
      </c>
      <c r="J458" s="3">
        <f>$D458*TCA!J458/100</f>
        <v>1.61</v>
      </c>
      <c r="K458" s="3">
        <f>$D458*TCA!K458/100</f>
        <v>1.81</v>
      </c>
      <c r="L458" s="3">
        <f>$D458*TCA!L458/100</f>
        <v>0.41</v>
      </c>
      <c r="M458" s="3">
        <f>$D458*TCA!M458/100</f>
        <v>64</v>
      </c>
      <c r="N458" s="3">
        <f>$D458*TCA!N458/100</f>
        <v>6</v>
      </c>
      <c r="O458" s="3">
        <f>$D458*TCA!O458/100</f>
        <v>193</v>
      </c>
      <c r="P458" s="3">
        <f t="shared" si="7"/>
        <v>9.3871595330739304</v>
      </c>
      <c r="Q458" s="3">
        <f>$D458*TCA!P458/100</f>
        <v>1.82</v>
      </c>
      <c r="R458" s="3">
        <f>$D458*TCA!Q458/100</f>
        <v>289</v>
      </c>
      <c r="S458" s="3">
        <f>$D458*TCA!R458/100</f>
        <v>62</v>
      </c>
      <c r="T458" s="3">
        <f>$D458*TCA!S458/100</f>
        <v>3.84</v>
      </c>
      <c r="U458" s="3">
        <f>$D458*TCA!T458/100</f>
        <v>0</v>
      </c>
      <c r="V458" s="3">
        <f>$D458*TCA!U458/100</f>
        <v>0</v>
      </c>
      <c r="W458" s="3">
        <f>$D458*TCA!V458/100</f>
        <v>23</v>
      </c>
      <c r="X458" s="3">
        <f>$D458*TCA!W458/100</f>
        <v>2.7</v>
      </c>
    </row>
    <row r="459" spans="1:24" x14ac:dyDescent="0.25">
      <c r="A459" s="3" t="s">
        <v>2029</v>
      </c>
      <c r="B459" s="3" t="s">
        <v>903</v>
      </c>
      <c r="C459" s="3" t="s">
        <v>904</v>
      </c>
      <c r="D459" s="3">
        <v>100</v>
      </c>
      <c r="E459" s="3">
        <f>$D459*TCA!E459/100</f>
        <v>271.60000000000002</v>
      </c>
      <c r="F459" s="3">
        <f>$D459*TCA!F459/100</f>
        <v>25.3</v>
      </c>
      <c r="G459" s="3">
        <f>$D459*TCA!G459/100</f>
        <v>12.8</v>
      </c>
      <c r="H459" s="3">
        <f>$D459*TCA!H459/100</f>
        <v>13.8</v>
      </c>
      <c r="I459" s="3">
        <f>$D459*TCA!I459/100</f>
        <v>0</v>
      </c>
      <c r="J459" s="3">
        <f>$D459*TCA!J459/100</f>
        <v>0</v>
      </c>
      <c r="K459" s="3">
        <f>$D459*TCA!K459/100</f>
        <v>0</v>
      </c>
      <c r="L459" s="3">
        <f>$D459*TCA!L459/100</f>
        <v>0</v>
      </c>
      <c r="M459" s="3">
        <f>$D459*TCA!M459/100</f>
        <v>0</v>
      </c>
      <c r="N459" s="3">
        <f>$D459*TCA!N459/100</f>
        <v>8</v>
      </c>
      <c r="O459" s="3">
        <f>$D459*TCA!O459/100</f>
        <v>134</v>
      </c>
      <c r="P459" s="3">
        <f t="shared" si="7"/>
        <v>5.2964426877470352</v>
      </c>
      <c r="Q459" s="3">
        <f>$D459*TCA!P459/100</f>
        <v>5.36</v>
      </c>
      <c r="R459" s="3">
        <f>$D459*TCA!Q459/100</f>
        <v>216</v>
      </c>
      <c r="S459" s="3">
        <f>$D459*TCA!R459/100</f>
        <v>686</v>
      </c>
      <c r="T459" s="3">
        <f>$D459*TCA!S459/100</f>
        <v>4.3600000000000003</v>
      </c>
      <c r="U459" s="3">
        <f>$D459*TCA!T459/100</f>
        <v>0</v>
      </c>
      <c r="V459" s="3">
        <f>$D459*TCA!U459/100</f>
        <v>0</v>
      </c>
      <c r="W459" s="3">
        <f>$D459*TCA!V459/100</f>
        <v>0</v>
      </c>
      <c r="X459" s="3">
        <f>$D459*TCA!W459/100</f>
        <v>0</v>
      </c>
    </row>
    <row r="460" spans="1:24" x14ac:dyDescent="0.25">
      <c r="A460" s="3" t="s">
        <v>2029</v>
      </c>
      <c r="B460" s="3" t="s">
        <v>905</v>
      </c>
      <c r="C460" s="3" t="s">
        <v>906</v>
      </c>
      <c r="D460" s="3">
        <v>100</v>
      </c>
      <c r="E460" s="3">
        <f>$D460*TCA!E460/100</f>
        <v>90.4</v>
      </c>
      <c r="F460" s="3">
        <f>$D460*TCA!F460/100</f>
        <v>19</v>
      </c>
      <c r="G460" s="3">
        <f>$D460*TCA!G460/100</f>
        <v>1.6</v>
      </c>
      <c r="H460" s="3">
        <f>$D460*TCA!H460/100</f>
        <v>0</v>
      </c>
      <c r="I460" s="3">
        <f>$D460*TCA!I460/100</f>
        <v>0</v>
      </c>
      <c r="J460" s="3">
        <f>$D460*TCA!J460/100</f>
        <v>0</v>
      </c>
      <c r="K460" s="3">
        <f>$D460*TCA!K460/100</f>
        <v>0</v>
      </c>
      <c r="L460" s="3">
        <f>$D460*TCA!L460/100</f>
        <v>0</v>
      </c>
      <c r="M460" s="3">
        <f>$D460*TCA!M460/100</f>
        <v>0</v>
      </c>
      <c r="N460" s="3">
        <f>$D460*TCA!N460/100</f>
        <v>29</v>
      </c>
      <c r="O460" s="3">
        <f>$D460*TCA!O460/100</f>
        <v>253</v>
      </c>
      <c r="P460" s="3">
        <f t="shared" si="7"/>
        <v>13.315789473684211</v>
      </c>
      <c r="Q460" s="3">
        <f>$D460*TCA!P460/100</f>
        <v>1.9</v>
      </c>
      <c r="R460" s="3">
        <f>$D460*TCA!Q460/100</f>
        <v>0</v>
      </c>
      <c r="S460" s="3">
        <f>$D460*TCA!R460/100</f>
        <v>0</v>
      </c>
      <c r="T460" s="3">
        <f>$D460*TCA!S460/100</f>
        <v>0</v>
      </c>
      <c r="U460" s="3">
        <f>$D460*TCA!T460/100</f>
        <v>0</v>
      </c>
      <c r="V460" s="3">
        <f>$D460*TCA!U460/100</f>
        <v>0</v>
      </c>
      <c r="W460" s="3">
        <f>$D460*TCA!V460/100</f>
        <v>0</v>
      </c>
      <c r="X460" s="3">
        <f>$D460*TCA!W460/100</f>
        <v>0</v>
      </c>
    </row>
    <row r="461" spans="1:24" x14ac:dyDescent="0.25">
      <c r="A461" s="3" t="s">
        <v>2029</v>
      </c>
      <c r="B461" s="3" t="s">
        <v>907</v>
      </c>
      <c r="C461" s="3" t="s">
        <v>908</v>
      </c>
      <c r="D461" s="3">
        <v>100</v>
      </c>
      <c r="E461" s="3">
        <f>$D461*TCA!E461/100</f>
        <v>366.02</v>
      </c>
      <c r="F461" s="3">
        <f>$D461*TCA!F461/100</f>
        <v>15.86</v>
      </c>
      <c r="G461" s="3">
        <f>$D461*TCA!G461/100</f>
        <v>33.619999999999997</v>
      </c>
      <c r="H461" s="3">
        <f>$D461*TCA!H461/100</f>
        <v>0</v>
      </c>
      <c r="I461" s="3">
        <f>$D461*TCA!I461/100</f>
        <v>0</v>
      </c>
      <c r="J461" s="3">
        <f>$D461*TCA!J461/100</f>
        <v>9.7799999999999994</v>
      </c>
      <c r="K461" s="3">
        <f>$D461*TCA!K461/100</f>
        <v>17.77</v>
      </c>
      <c r="L461" s="3">
        <f>$D461*TCA!L461/100</f>
        <v>3.76</v>
      </c>
      <c r="M461" s="3">
        <f>$D461*TCA!M461/100</f>
        <v>80</v>
      </c>
      <c r="N461" s="3">
        <f>$D461*TCA!N461/100</f>
        <v>12</v>
      </c>
      <c r="O461" s="3">
        <f>$D461*TCA!O461/100</f>
        <v>234</v>
      </c>
      <c r="P461" s="3">
        <f t="shared" si="7"/>
        <v>14.754098360655739</v>
      </c>
      <c r="Q461" s="3">
        <f>$D461*TCA!P461/100</f>
        <v>2.5</v>
      </c>
      <c r="R461" s="3">
        <f>$D461*TCA!Q461/100</f>
        <v>308</v>
      </c>
      <c r="S461" s="3">
        <f>$D461*TCA!R461/100</f>
        <v>73</v>
      </c>
      <c r="T461" s="3">
        <f>$D461*TCA!S461/100</f>
        <v>1.72</v>
      </c>
      <c r="U461" s="3">
        <f>$D461*TCA!T461/100</f>
        <v>4</v>
      </c>
      <c r="V461" s="3">
        <f>$D461*TCA!U461/100</f>
        <v>17</v>
      </c>
      <c r="W461" s="3">
        <f>$D461*TCA!V461/100</f>
        <v>4</v>
      </c>
      <c r="X461" s="3">
        <f>$D461*TCA!W461/100</f>
        <v>0.34</v>
      </c>
    </row>
    <row r="462" spans="1:24" x14ac:dyDescent="0.25">
      <c r="A462" s="3" t="s">
        <v>2029</v>
      </c>
      <c r="B462" s="3" t="s">
        <v>909</v>
      </c>
      <c r="C462" s="3" t="s">
        <v>910</v>
      </c>
      <c r="D462" s="3">
        <v>100</v>
      </c>
      <c r="E462" s="3">
        <f>$D462*TCA!E462/100</f>
        <v>153.65</v>
      </c>
      <c r="F462" s="3">
        <f>$D462*TCA!F462/100</f>
        <v>13.05</v>
      </c>
      <c r="G462" s="3">
        <f>$D462*TCA!G462/100</f>
        <v>11.09</v>
      </c>
      <c r="H462" s="3">
        <f>$D462*TCA!H462/100</f>
        <v>0.41</v>
      </c>
      <c r="I462" s="3">
        <f>$D462*TCA!I462/100</f>
        <v>0</v>
      </c>
      <c r="J462" s="3">
        <f>$D462*TCA!J462/100</f>
        <v>3.56</v>
      </c>
      <c r="K462" s="3">
        <f>$D462*TCA!K462/100</f>
        <v>4.32</v>
      </c>
      <c r="L462" s="3">
        <f>$D462*TCA!L462/100</f>
        <v>1.32</v>
      </c>
      <c r="M462" s="3">
        <f>$D462*TCA!M462/100</f>
        <v>844</v>
      </c>
      <c r="N462" s="3">
        <f>$D462*TCA!N462/100</f>
        <v>64</v>
      </c>
      <c r="O462" s="3">
        <f>$D462*TCA!O462/100</f>
        <v>226</v>
      </c>
      <c r="P462" s="3">
        <f t="shared" si="7"/>
        <v>17.31800766283525</v>
      </c>
      <c r="Q462" s="3">
        <f>$D462*TCA!P462/100</f>
        <v>3.65</v>
      </c>
      <c r="R462" s="3">
        <f>$D462*TCA!Q462/100</f>
        <v>132</v>
      </c>
      <c r="S462" s="3">
        <f>$D462*TCA!R462/100</f>
        <v>141</v>
      </c>
      <c r="T462" s="3">
        <f>$D462*TCA!S462/100</f>
        <v>1.47</v>
      </c>
      <c r="U462" s="3">
        <f>$D462*TCA!T462/100</f>
        <v>0</v>
      </c>
      <c r="V462" s="3">
        <f>$D462*TCA!U462/100</f>
        <v>156</v>
      </c>
      <c r="W462" s="3">
        <f>$D462*TCA!V462/100</f>
        <v>66</v>
      </c>
      <c r="X462" s="3">
        <f>$D462*TCA!W462/100</f>
        <v>1.58</v>
      </c>
    </row>
    <row r="463" spans="1:24" x14ac:dyDescent="0.25">
      <c r="A463" s="3" t="s">
        <v>2029</v>
      </c>
      <c r="B463" s="3" t="s">
        <v>911</v>
      </c>
      <c r="C463" s="3" t="s">
        <v>912</v>
      </c>
      <c r="D463" s="3">
        <v>100</v>
      </c>
      <c r="E463" s="3">
        <f>$D463*TCA!E463/100</f>
        <v>48.05</v>
      </c>
      <c r="F463" s="3">
        <f>$D463*TCA!F463/100</f>
        <v>10.9</v>
      </c>
      <c r="G463" s="3">
        <f>$D463*TCA!G463/100</f>
        <v>0.17</v>
      </c>
      <c r="H463" s="3">
        <f>$D463*TCA!H463/100</f>
        <v>0.73</v>
      </c>
      <c r="I463" s="3">
        <f>$D463*TCA!I463/100</f>
        <v>0</v>
      </c>
      <c r="J463" s="3">
        <f>$D463*TCA!J463/100</f>
        <v>0</v>
      </c>
      <c r="K463" s="3">
        <f>$D463*TCA!K463/100</f>
        <v>0</v>
      </c>
      <c r="L463" s="3">
        <f>$D463*TCA!L463/100</f>
        <v>0</v>
      </c>
      <c r="M463" s="3">
        <f>$D463*TCA!M463/100</f>
        <v>0</v>
      </c>
      <c r="N463" s="3">
        <f>$D463*TCA!N463/100</f>
        <v>7</v>
      </c>
      <c r="O463" s="3">
        <f>$D463*TCA!O463/100</f>
        <v>15</v>
      </c>
      <c r="P463" s="3">
        <f t="shared" si="7"/>
        <v>1.3761467889908257</v>
      </c>
      <c r="Q463" s="3">
        <f>$D463*TCA!P463/100</f>
        <v>0.08</v>
      </c>
      <c r="R463" s="3">
        <f>$D463*TCA!Q463/100</f>
        <v>163</v>
      </c>
      <c r="S463" s="3">
        <f>$D463*TCA!R463/100</f>
        <v>166</v>
      </c>
      <c r="T463" s="3">
        <f>$D463*TCA!S463/100</f>
        <v>0.03</v>
      </c>
      <c r="U463" s="3">
        <f>$D463*TCA!T463/100</f>
        <v>0</v>
      </c>
      <c r="V463" s="3">
        <f>$D463*TCA!U463/100</f>
        <v>0</v>
      </c>
      <c r="W463" s="3">
        <f>$D463*TCA!V463/100</f>
        <v>4</v>
      </c>
      <c r="X463" s="3">
        <f>$D463*TCA!W463/100</f>
        <v>0.09</v>
      </c>
    </row>
    <row r="464" spans="1:24" x14ac:dyDescent="0.25">
      <c r="A464" s="3" t="s">
        <v>2029</v>
      </c>
      <c r="B464" s="3" t="s">
        <v>913</v>
      </c>
      <c r="C464" s="3" t="s">
        <v>914</v>
      </c>
      <c r="D464" s="3">
        <v>100</v>
      </c>
      <c r="E464" s="3">
        <f>$D464*TCA!E464/100</f>
        <v>138.71</v>
      </c>
      <c r="F464" s="3">
        <f>$D464*TCA!F464/100</f>
        <v>12.56</v>
      </c>
      <c r="G464" s="3">
        <f>$D464*TCA!G464/100</f>
        <v>9.51</v>
      </c>
      <c r="H464" s="3">
        <f>$D464*TCA!H464/100</f>
        <v>0.72</v>
      </c>
      <c r="I464" s="3">
        <f>$D464*TCA!I464/100</f>
        <v>0</v>
      </c>
      <c r="J464" s="3">
        <f>$D464*TCA!J464/100</f>
        <v>3.13</v>
      </c>
      <c r="K464" s="3">
        <f>$D464*TCA!K464/100</f>
        <v>3.66</v>
      </c>
      <c r="L464" s="3">
        <f>$D464*TCA!L464/100</f>
        <v>1.91</v>
      </c>
      <c r="M464" s="3">
        <f>$D464*TCA!M464/100</f>
        <v>372</v>
      </c>
      <c r="N464" s="3">
        <f>$D464*TCA!N464/100</f>
        <v>56</v>
      </c>
      <c r="O464" s="3">
        <f>$D464*TCA!O464/100</f>
        <v>198</v>
      </c>
      <c r="P464" s="3">
        <f t="shared" si="7"/>
        <v>15.764331210191083</v>
      </c>
      <c r="Q464" s="3">
        <f>$D464*TCA!P464/100</f>
        <v>1.75</v>
      </c>
      <c r="R464" s="3">
        <f>$D464*TCA!Q464/100</f>
        <v>138</v>
      </c>
      <c r="S464" s="3">
        <f>$D464*TCA!R464/100</f>
        <v>142</v>
      </c>
      <c r="T464" s="3">
        <f>$D464*TCA!S464/100</f>
        <v>1.29</v>
      </c>
      <c r="U464" s="3">
        <f>$D464*TCA!T464/100</f>
        <v>0</v>
      </c>
      <c r="V464" s="3">
        <f>$D464*TCA!U464/100</f>
        <v>160</v>
      </c>
      <c r="W464" s="3">
        <f>$D464*TCA!V464/100</f>
        <v>47</v>
      </c>
      <c r="X464" s="3">
        <f>$D464*TCA!W464/100</f>
        <v>0.89</v>
      </c>
    </row>
    <row r="465" spans="1:24" x14ac:dyDescent="0.25">
      <c r="A465" s="3" t="s">
        <v>2029</v>
      </c>
      <c r="B465" s="3" t="s">
        <v>915</v>
      </c>
      <c r="C465" s="3" t="s">
        <v>916</v>
      </c>
      <c r="D465" s="3">
        <v>100</v>
      </c>
      <c r="E465" s="3">
        <f>$D465*TCA!E465/100</f>
        <v>142.86000000000001</v>
      </c>
      <c r="F465" s="3">
        <f>$D465*TCA!F465/100</f>
        <v>12.58</v>
      </c>
      <c r="G465" s="3">
        <f>$D465*TCA!G465/100</f>
        <v>9.94</v>
      </c>
      <c r="H465" s="3">
        <f>$D465*TCA!H465/100</f>
        <v>0.77</v>
      </c>
      <c r="I465" s="3">
        <f>$D465*TCA!I465/100</f>
        <v>0</v>
      </c>
      <c r="J465" s="3">
        <f>$D465*TCA!J465/100</f>
        <v>3.1</v>
      </c>
      <c r="K465" s="3">
        <f>$D465*TCA!K465/100</f>
        <v>3.81</v>
      </c>
      <c r="L465" s="3">
        <f>$D465*TCA!L465/100</f>
        <v>1.36</v>
      </c>
      <c r="M465" s="3">
        <f>$D465*TCA!M465/100</f>
        <v>423</v>
      </c>
      <c r="N465" s="3">
        <f>$D465*TCA!N465/100</f>
        <v>53</v>
      </c>
      <c r="O465" s="3">
        <f>$D465*TCA!O465/100</f>
        <v>191</v>
      </c>
      <c r="P465" s="3">
        <f t="shared" si="7"/>
        <v>15.182829888712241</v>
      </c>
      <c r="Q465" s="3">
        <f>$D465*TCA!P465/100</f>
        <v>1.83</v>
      </c>
      <c r="R465" s="3">
        <f>$D465*TCA!Q465/100</f>
        <v>134</v>
      </c>
      <c r="S465" s="3">
        <f>$D465*TCA!R465/100</f>
        <v>140</v>
      </c>
      <c r="T465" s="3">
        <f>$D465*TCA!S465/100</f>
        <v>1.1100000000000001</v>
      </c>
      <c r="U465" s="3">
        <f>$D465*TCA!T465/100</f>
        <v>0</v>
      </c>
      <c r="V465" s="3">
        <f>$D465*TCA!U465/100</f>
        <v>140</v>
      </c>
      <c r="W465" s="3">
        <f>$D465*TCA!V465/100</f>
        <v>47</v>
      </c>
      <c r="X465" s="3">
        <f>$D465*TCA!W465/100</f>
        <v>1.29</v>
      </c>
    </row>
    <row r="466" spans="1:24" x14ac:dyDescent="0.25">
      <c r="A466" s="3" t="s">
        <v>2029</v>
      </c>
      <c r="B466" s="3" t="s">
        <v>917</v>
      </c>
      <c r="C466" s="3" t="s">
        <v>918</v>
      </c>
      <c r="D466" s="3">
        <v>100</v>
      </c>
      <c r="E466" s="3">
        <f>$D466*TCA!E466/100</f>
        <v>316.66000000000003</v>
      </c>
      <c r="F466" s="3">
        <f>$D466*TCA!F466/100</f>
        <v>15.86</v>
      </c>
      <c r="G466" s="3">
        <f>$D466*TCA!G466/100</f>
        <v>26.54</v>
      </c>
      <c r="H466" s="3">
        <f>$D466*TCA!H466/100</f>
        <v>3.59</v>
      </c>
      <c r="I466" s="3">
        <f>$D466*TCA!I466/100</f>
        <v>0</v>
      </c>
      <c r="J466" s="3">
        <f>$D466*TCA!J466/100</f>
        <v>9.5500000000000007</v>
      </c>
      <c r="K466" s="3">
        <f>$D466*TCA!K466/100</f>
        <v>11.74</v>
      </c>
      <c r="L466" s="3">
        <f>$D466*TCA!L466/100</f>
        <v>4.2</v>
      </c>
      <c r="M466" s="3">
        <f>$D466*TCA!M466/100</f>
        <v>1234</v>
      </c>
      <c r="N466" s="3">
        <f>$D466*TCA!N466/100</f>
        <v>129</v>
      </c>
      <c r="O466" s="3">
        <f>$D466*TCA!O466/100</f>
        <v>390</v>
      </c>
      <c r="P466" s="3">
        <f t="shared" si="7"/>
        <v>24.590163934426229</v>
      </c>
      <c r="Q466" s="3">
        <f>$D466*TCA!P466/100</f>
        <v>2.73</v>
      </c>
      <c r="R466" s="3">
        <f>$D466*TCA!Q466/100</f>
        <v>109</v>
      </c>
      <c r="S466" s="3">
        <f>$D466*TCA!R466/100</f>
        <v>48</v>
      </c>
      <c r="T466" s="3">
        <f>$D466*TCA!S466/100</f>
        <v>2.2999999999999998</v>
      </c>
      <c r="U466" s="3">
        <f>$D466*TCA!T466/100</f>
        <v>0</v>
      </c>
      <c r="V466" s="3">
        <f>$D466*TCA!U466/100</f>
        <v>381</v>
      </c>
      <c r="W466" s="3">
        <f>$D466*TCA!V466/100</f>
        <v>146</v>
      </c>
      <c r="X466" s="3">
        <f>$D466*TCA!W466/100</f>
        <v>1.95</v>
      </c>
    </row>
    <row r="467" spans="1:24" x14ac:dyDescent="0.25">
      <c r="A467" s="3" t="s">
        <v>2029</v>
      </c>
      <c r="B467" s="3" t="s">
        <v>919</v>
      </c>
      <c r="C467" s="3" t="s">
        <v>920</v>
      </c>
      <c r="D467" s="3">
        <v>100</v>
      </c>
      <c r="E467" s="3">
        <f>$D467*TCA!E467/100</f>
        <v>161.5</v>
      </c>
      <c r="F467" s="3">
        <f>$D467*TCA!F467/100</f>
        <v>13.1</v>
      </c>
      <c r="G467" s="3">
        <f>$D467*TCA!G467/100</f>
        <v>11.1</v>
      </c>
      <c r="H467" s="3">
        <f>$D467*TCA!H467/100</f>
        <v>2.2999999999999998</v>
      </c>
      <c r="I467" s="3">
        <f>$D467*TCA!I467/100</f>
        <v>0</v>
      </c>
      <c r="J467" s="3">
        <f>$D467*TCA!J467/100</f>
        <v>0</v>
      </c>
      <c r="K467" s="3">
        <f>$D467*TCA!K467/100</f>
        <v>0</v>
      </c>
      <c r="L467" s="3">
        <f>$D467*TCA!L467/100</f>
        <v>0</v>
      </c>
      <c r="M467" s="3">
        <f>$D467*TCA!M467/100</f>
        <v>0</v>
      </c>
      <c r="N467" s="3">
        <f>$D467*TCA!N467/100</f>
        <v>58</v>
      </c>
      <c r="O467" s="3">
        <f>$D467*TCA!O467/100</f>
        <v>193</v>
      </c>
      <c r="P467" s="3">
        <f t="shared" si="7"/>
        <v>14.732824427480917</v>
      </c>
      <c r="Q467" s="3">
        <f>$D467*TCA!P467/100</f>
        <v>1.7</v>
      </c>
      <c r="R467" s="3">
        <f>$D467*TCA!Q467/100</f>
        <v>0</v>
      </c>
      <c r="S467" s="3">
        <f>$D467*TCA!R467/100</f>
        <v>0</v>
      </c>
      <c r="T467" s="3">
        <f>$D467*TCA!S467/100</f>
        <v>1.41</v>
      </c>
      <c r="U467" s="3">
        <f>$D467*TCA!T467/100</f>
        <v>1</v>
      </c>
      <c r="V467" s="3">
        <f>$D467*TCA!U467/100</f>
        <v>194</v>
      </c>
      <c r="W467" s="3">
        <f>$D467*TCA!V467/100</f>
        <v>0</v>
      </c>
      <c r="X467" s="3">
        <f>$D467*TCA!W467/100</f>
        <v>0</v>
      </c>
    </row>
    <row r="468" spans="1:24" x14ac:dyDescent="0.25">
      <c r="A468" s="3" t="s">
        <v>2029</v>
      </c>
      <c r="B468" s="3" t="s">
        <v>921</v>
      </c>
      <c r="C468" s="3" t="s">
        <v>922</v>
      </c>
      <c r="D468" s="3">
        <v>100</v>
      </c>
      <c r="E468" s="3">
        <f>$D468*TCA!E468/100</f>
        <v>157.66999999999999</v>
      </c>
      <c r="F468" s="3">
        <f>$D468*TCA!F468/100</f>
        <v>18.260000000000002</v>
      </c>
      <c r="G468" s="3">
        <f>$D468*TCA!G468/100</f>
        <v>8.39</v>
      </c>
      <c r="H468" s="3">
        <f>$D468*TCA!H468/100</f>
        <v>2.2799999999999998</v>
      </c>
      <c r="I468" s="3">
        <f>$D468*TCA!I468/100</f>
        <v>0</v>
      </c>
      <c r="J468" s="3">
        <f>$D468*TCA!J468/100</f>
        <v>2.7</v>
      </c>
      <c r="K468" s="3">
        <f>$D468*TCA!K468/100</f>
        <v>3.94</v>
      </c>
      <c r="L468" s="3">
        <f>$D468*TCA!L468/100</f>
        <v>0.93</v>
      </c>
      <c r="M468" s="3">
        <f>$D468*TCA!M468/100</f>
        <v>53</v>
      </c>
      <c r="N468" s="3">
        <f>$D468*TCA!N468/100</f>
        <v>7</v>
      </c>
      <c r="O468" s="3">
        <f>$D468*TCA!O468/100</f>
        <v>236</v>
      </c>
      <c r="P468" s="3">
        <f t="shared" si="7"/>
        <v>12.924424972617743</v>
      </c>
      <c r="Q468" s="3">
        <f>$D468*TCA!P468/100</f>
        <v>0.9</v>
      </c>
      <c r="R468" s="3">
        <f>$D468*TCA!Q468/100</f>
        <v>297</v>
      </c>
      <c r="S468" s="3">
        <f>$D468*TCA!R468/100</f>
        <v>1278</v>
      </c>
      <c r="T468" s="3">
        <f>$D468*TCA!S468/100</f>
        <v>2.0499999999999998</v>
      </c>
      <c r="U468" s="3">
        <f>$D468*TCA!T468/100</f>
        <v>0</v>
      </c>
      <c r="V468" s="3">
        <f>$D468*TCA!U468/100</f>
        <v>0</v>
      </c>
      <c r="W468" s="3">
        <f>$D468*TCA!V468/100</f>
        <v>3</v>
      </c>
      <c r="X468" s="3">
        <f>$D468*TCA!W468/100</f>
        <v>0.8</v>
      </c>
    </row>
    <row r="469" spans="1:24" x14ac:dyDescent="0.25">
      <c r="A469" s="3" t="s">
        <v>2029</v>
      </c>
      <c r="B469" s="3" t="s">
        <v>923</v>
      </c>
      <c r="C469" s="3" t="s">
        <v>924</v>
      </c>
      <c r="D469" s="3">
        <v>100</v>
      </c>
      <c r="E469" s="3">
        <f>$D469*TCA!E469/100</f>
        <v>228.48</v>
      </c>
      <c r="F469" s="3">
        <f>$D469*TCA!F469/100</f>
        <v>14.92</v>
      </c>
      <c r="G469" s="3">
        <f>$D469*TCA!G469/100</f>
        <v>16.64</v>
      </c>
      <c r="H469" s="3">
        <f>$D469*TCA!H469/100</f>
        <v>4.76</v>
      </c>
      <c r="I469" s="3">
        <f>$D469*TCA!I469/100</f>
        <v>0</v>
      </c>
      <c r="J469" s="3">
        <f>$D469*TCA!J469/100</f>
        <v>6.07</v>
      </c>
      <c r="K469" s="3">
        <f>$D469*TCA!K469/100</f>
        <v>7.68</v>
      </c>
      <c r="L469" s="3">
        <f>$D469*TCA!L469/100</f>
        <v>1.89</v>
      </c>
      <c r="M469" s="3">
        <f>$D469*TCA!M469/100</f>
        <v>38</v>
      </c>
      <c r="N469" s="3">
        <f>$D469*TCA!N469/100</f>
        <v>47</v>
      </c>
      <c r="O469" s="3">
        <f>$D469*TCA!O469/100</f>
        <v>125</v>
      </c>
      <c r="P469" s="3">
        <f t="shared" si="7"/>
        <v>8.3780160857908843</v>
      </c>
      <c r="Q469" s="3">
        <f>$D469*TCA!P469/100</f>
        <v>1.02</v>
      </c>
      <c r="R469" s="3">
        <f>$D469*TCA!Q469/100</f>
        <v>267</v>
      </c>
      <c r="S469" s="3">
        <f>$D469*TCA!R469/100</f>
        <v>1164</v>
      </c>
      <c r="T469" s="3">
        <f>$D469*TCA!S469/100</f>
        <v>2.1800000000000002</v>
      </c>
      <c r="U469" s="3">
        <f>$D469*TCA!T469/100</f>
        <v>0</v>
      </c>
      <c r="V469" s="3">
        <f>$D469*TCA!U469/100</f>
        <v>0</v>
      </c>
      <c r="W469" s="3">
        <f>$D469*TCA!V469/100</f>
        <v>2</v>
      </c>
      <c r="X469" s="3">
        <f>$D469*TCA!W469/100</f>
        <v>1.5</v>
      </c>
    </row>
    <row r="470" spans="1:24" x14ac:dyDescent="0.25">
      <c r="A470" s="3" t="s">
        <v>2029</v>
      </c>
      <c r="B470" s="3" t="s">
        <v>925</v>
      </c>
      <c r="C470" s="3" t="s">
        <v>926</v>
      </c>
      <c r="D470" s="3">
        <v>100</v>
      </c>
      <c r="E470" s="3">
        <f>$D470*TCA!E470/100</f>
        <v>141.9</v>
      </c>
      <c r="F470" s="3">
        <f>$D470*TCA!F470/100</f>
        <v>18.7</v>
      </c>
      <c r="G470" s="3">
        <f>$D470*TCA!G470/100</f>
        <v>7.22</v>
      </c>
      <c r="H470" s="3">
        <f>$D470*TCA!H470/100</f>
        <v>0.53</v>
      </c>
      <c r="I470" s="3">
        <f>$D470*TCA!I470/100</f>
        <v>0</v>
      </c>
      <c r="J470" s="3">
        <f>$D470*TCA!J470/100</f>
        <v>2.02</v>
      </c>
      <c r="K470" s="3">
        <f>$D470*TCA!K470/100</f>
        <v>2.5</v>
      </c>
      <c r="L470" s="3">
        <f>$D470*TCA!L470/100</f>
        <v>1.74</v>
      </c>
      <c r="M470" s="3">
        <f>$D470*TCA!M470/100</f>
        <v>43</v>
      </c>
      <c r="N470" s="3">
        <f>$D470*TCA!N470/100</f>
        <v>40</v>
      </c>
      <c r="O470" s="3">
        <f>$D470*TCA!O470/100</f>
        <v>183</v>
      </c>
      <c r="P470" s="3">
        <f t="shared" si="7"/>
        <v>9.7860962566844929</v>
      </c>
      <c r="Q470" s="3">
        <f>$D470*TCA!P470/100</f>
        <v>1.28</v>
      </c>
      <c r="R470" s="3">
        <f>$D470*TCA!Q470/100</f>
        <v>251</v>
      </c>
      <c r="S470" s="3">
        <f>$D470*TCA!R470/100</f>
        <v>489</v>
      </c>
      <c r="T470" s="3">
        <f>$D470*TCA!S470/100</f>
        <v>1.56</v>
      </c>
      <c r="U470" s="3">
        <f>$D470*TCA!T470/100</f>
        <v>0</v>
      </c>
      <c r="V470" s="3">
        <f>$D470*TCA!U470/100</f>
        <v>0</v>
      </c>
      <c r="W470" s="3">
        <f>$D470*TCA!V470/100</f>
        <v>4</v>
      </c>
      <c r="X470" s="3">
        <f>$D470*TCA!W470/100</f>
        <v>0.24</v>
      </c>
    </row>
    <row r="471" spans="1:24" x14ac:dyDescent="0.25">
      <c r="A471" s="3" t="s">
        <v>2029</v>
      </c>
      <c r="B471" s="3" t="s">
        <v>927</v>
      </c>
      <c r="C471" s="3" t="s">
        <v>928</v>
      </c>
      <c r="D471" s="3">
        <v>100</v>
      </c>
      <c r="E471" s="3">
        <f>$D471*TCA!E471/100</f>
        <v>154.30000000000001</v>
      </c>
      <c r="F471" s="3">
        <f>$D471*TCA!F471/100</f>
        <v>19.53</v>
      </c>
      <c r="G471" s="3">
        <f>$D471*TCA!G471/100</f>
        <v>7.38</v>
      </c>
      <c r="H471" s="3">
        <f>$D471*TCA!H471/100</f>
        <v>2.44</v>
      </c>
      <c r="I471" s="3">
        <f>$D471*TCA!I471/100</f>
        <v>0</v>
      </c>
      <c r="J471" s="3">
        <f>$D471*TCA!J471/100</f>
        <v>1.97</v>
      </c>
      <c r="K471" s="3">
        <f>$D471*TCA!K471/100</f>
        <v>2.92</v>
      </c>
      <c r="L471" s="3">
        <f>$D471*TCA!L471/100</f>
        <v>1.53</v>
      </c>
      <c r="M471" s="3">
        <f>$D471*TCA!M471/100</f>
        <v>50</v>
      </c>
      <c r="N471" s="3">
        <f>$D471*TCA!N471/100</f>
        <v>43</v>
      </c>
      <c r="O471" s="3">
        <f>$D471*TCA!O471/100</f>
        <v>157</v>
      </c>
      <c r="P471" s="3">
        <f t="shared" si="7"/>
        <v>8.038914490527393</v>
      </c>
      <c r="Q471" s="3">
        <f>$D471*TCA!P471/100</f>
        <v>0.97</v>
      </c>
      <c r="R471" s="3">
        <f>$D471*TCA!Q471/100</f>
        <v>228</v>
      </c>
      <c r="S471" s="3">
        <f>$D471*TCA!R471/100</f>
        <v>584</v>
      </c>
      <c r="T471" s="3">
        <f>$D471*TCA!S471/100</f>
        <v>0.72</v>
      </c>
      <c r="U471" s="3">
        <f>$D471*TCA!T471/100</f>
        <v>0</v>
      </c>
      <c r="V471" s="3">
        <f>$D471*TCA!U471/100</f>
        <v>24</v>
      </c>
      <c r="W471" s="3">
        <f>$D471*TCA!V471/100</f>
        <v>2</v>
      </c>
      <c r="X471" s="3">
        <f>$D471*TCA!W471/100</f>
        <v>0.15</v>
      </c>
    </row>
    <row r="472" spans="1:24" x14ac:dyDescent="0.25">
      <c r="A472" s="3" t="s">
        <v>2029</v>
      </c>
      <c r="B472" s="3" t="s">
        <v>929</v>
      </c>
      <c r="C472" s="3" t="s">
        <v>930</v>
      </c>
      <c r="D472" s="3">
        <v>100</v>
      </c>
      <c r="E472" s="3">
        <f>$D472*TCA!E472/100</f>
        <v>129</v>
      </c>
      <c r="F472" s="3">
        <f>$D472*TCA!F472/100</f>
        <v>21</v>
      </c>
      <c r="G472" s="3">
        <f>$D472*TCA!G472/100</f>
        <v>5</v>
      </c>
      <c r="H472" s="3">
        <f>$D472*TCA!H472/100</f>
        <v>0</v>
      </c>
      <c r="I472" s="3">
        <f>$D472*TCA!I472/100</f>
        <v>0</v>
      </c>
      <c r="J472" s="3">
        <f>$D472*TCA!J472/100</f>
        <v>2</v>
      </c>
      <c r="K472" s="3">
        <f>$D472*TCA!K472/100</f>
        <v>2</v>
      </c>
      <c r="L472" s="3">
        <f>$D472*TCA!L472/100</f>
        <v>1</v>
      </c>
      <c r="M472" s="3">
        <f>$D472*TCA!M472/100</f>
        <v>65</v>
      </c>
      <c r="N472" s="3">
        <f>$D472*TCA!N472/100</f>
        <v>12</v>
      </c>
      <c r="O472" s="3">
        <f>$D472*TCA!O472/100</f>
        <v>157</v>
      </c>
      <c r="P472" s="3">
        <f t="shared" si="7"/>
        <v>7.4761904761904763</v>
      </c>
      <c r="Q472" s="3">
        <f>$D472*TCA!P472/100</f>
        <v>3.2</v>
      </c>
      <c r="R472" s="3">
        <f>$D472*TCA!Q472/100</f>
        <v>260</v>
      </c>
      <c r="S472" s="3">
        <f>$D472*TCA!R472/100</f>
        <v>43</v>
      </c>
      <c r="T472" s="3">
        <f>$D472*TCA!S472/100</f>
        <v>1.4</v>
      </c>
      <c r="U472" s="3">
        <f>$D472*TCA!T472/100</f>
        <v>0</v>
      </c>
      <c r="V472" s="3">
        <f>$D472*TCA!U472/100</f>
        <v>0</v>
      </c>
      <c r="W472" s="3">
        <f>$D472*TCA!V472/100</f>
        <v>0</v>
      </c>
      <c r="X472" s="3">
        <f>$D472*TCA!W472/100</f>
        <v>10</v>
      </c>
    </row>
    <row r="473" spans="1:24" x14ac:dyDescent="0.25">
      <c r="A473" s="3" t="s">
        <v>2029</v>
      </c>
      <c r="B473" s="3" t="s">
        <v>931</v>
      </c>
      <c r="C473" s="3" t="s">
        <v>932</v>
      </c>
      <c r="D473" s="3">
        <v>100</v>
      </c>
      <c r="E473" s="3">
        <f>$D473*TCA!E473/100</f>
        <v>130.5</v>
      </c>
      <c r="F473" s="3">
        <f>$D473*TCA!F473/100</f>
        <v>22.5</v>
      </c>
      <c r="G473" s="3">
        <f>$D473*TCA!G473/100</f>
        <v>3.3</v>
      </c>
      <c r="H473" s="3">
        <f>$D473*TCA!H473/100</f>
        <v>2.7</v>
      </c>
      <c r="I473" s="3">
        <f>$D473*TCA!I473/100</f>
        <v>0</v>
      </c>
      <c r="J473" s="3">
        <f>$D473*TCA!J473/100</f>
        <v>0</v>
      </c>
      <c r="K473" s="3">
        <f>$D473*TCA!K473/100</f>
        <v>0</v>
      </c>
      <c r="L473" s="3">
        <f>$D473*TCA!L473/100</f>
        <v>0</v>
      </c>
      <c r="M473" s="3">
        <f>$D473*TCA!M473/100</f>
        <v>0</v>
      </c>
      <c r="N473" s="3">
        <f>$D473*TCA!N473/100</f>
        <v>47</v>
      </c>
      <c r="O473" s="3">
        <f>$D473*TCA!O473/100</f>
        <v>189</v>
      </c>
      <c r="P473" s="3">
        <f t="shared" si="7"/>
        <v>8.4</v>
      </c>
      <c r="Q473" s="3">
        <f>$D473*TCA!P473/100</f>
        <v>4.62</v>
      </c>
      <c r="R473" s="3">
        <f>$D473*TCA!Q473/100</f>
        <v>0</v>
      </c>
      <c r="S473" s="3">
        <f>$D473*TCA!R473/100</f>
        <v>0</v>
      </c>
      <c r="T473" s="3">
        <f>$D473*TCA!S473/100</f>
        <v>0</v>
      </c>
      <c r="U473" s="3">
        <f>$D473*TCA!T473/100</f>
        <v>0</v>
      </c>
      <c r="V473" s="3">
        <f>$D473*TCA!U473/100</f>
        <v>6</v>
      </c>
      <c r="W473" s="3">
        <f>$D473*TCA!V473/100</f>
        <v>0</v>
      </c>
      <c r="X473" s="3">
        <f>$D473*TCA!W473/100</f>
        <v>0</v>
      </c>
    </row>
    <row r="474" spans="1:24" x14ac:dyDescent="0.25">
      <c r="A474" s="3" t="s">
        <v>2029</v>
      </c>
      <c r="B474" s="3" t="s">
        <v>933</v>
      </c>
      <c r="C474" s="3" t="s">
        <v>934</v>
      </c>
      <c r="D474" s="3">
        <v>100</v>
      </c>
      <c r="E474" s="3">
        <f>$D474*TCA!E474/100</f>
        <v>384.3</v>
      </c>
      <c r="F474" s="3">
        <f>$D474*TCA!F474/100</f>
        <v>7.7</v>
      </c>
      <c r="G474" s="3">
        <f>$D474*TCA!G474/100</f>
        <v>38.299999999999997</v>
      </c>
      <c r="H474" s="3">
        <f>$D474*TCA!H474/100</f>
        <v>2.2000000000000002</v>
      </c>
      <c r="I474" s="3">
        <f>$D474*TCA!I474/100</f>
        <v>0</v>
      </c>
      <c r="J474" s="3">
        <f>$D474*TCA!J474/100</f>
        <v>0</v>
      </c>
      <c r="K474" s="3">
        <f>$D474*TCA!K474/100</f>
        <v>0</v>
      </c>
      <c r="L474" s="3">
        <f>$D474*TCA!L474/100</f>
        <v>0</v>
      </c>
      <c r="M474" s="3">
        <f>$D474*TCA!M474/100</f>
        <v>0</v>
      </c>
      <c r="N474" s="3">
        <f>$D474*TCA!N474/100</f>
        <v>41</v>
      </c>
      <c r="O474" s="3">
        <f>$D474*TCA!O474/100</f>
        <v>98</v>
      </c>
      <c r="P474" s="3">
        <f t="shared" si="7"/>
        <v>12.727272727272727</v>
      </c>
      <c r="Q474" s="3">
        <f>$D474*TCA!P474/100</f>
        <v>3.7</v>
      </c>
      <c r="R474" s="3">
        <f>$D474*TCA!Q474/100</f>
        <v>0</v>
      </c>
      <c r="S474" s="3">
        <f>$D474*TCA!R474/100</f>
        <v>0</v>
      </c>
      <c r="T474" s="3">
        <f>$D474*TCA!S474/100</f>
        <v>0</v>
      </c>
      <c r="U474" s="3">
        <f>$D474*TCA!T474/100</f>
        <v>2</v>
      </c>
      <c r="V474" s="3">
        <f>$D474*TCA!U474/100</f>
        <v>0</v>
      </c>
      <c r="W474" s="3">
        <f>$D474*TCA!V474/100</f>
        <v>0</v>
      </c>
      <c r="X474" s="3">
        <f>$D474*TCA!W474/100</f>
        <v>0</v>
      </c>
    </row>
    <row r="475" spans="1:24" x14ac:dyDescent="0.25">
      <c r="A475" s="3" t="s">
        <v>2029</v>
      </c>
      <c r="B475" s="3" t="s">
        <v>935</v>
      </c>
      <c r="C475" s="3" t="s">
        <v>936</v>
      </c>
      <c r="D475" s="3">
        <v>100</v>
      </c>
      <c r="E475" s="3">
        <f>$D475*TCA!E475/100</f>
        <v>179.2</v>
      </c>
      <c r="F475" s="3">
        <f>$D475*TCA!F475/100</f>
        <v>13.8</v>
      </c>
      <c r="G475" s="3">
        <f>$D475*TCA!G475/100</f>
        <v>12.8</v>
      </c>
      <c r="H475" s="3">
        <f>$D475*TCA!H475/100</f>
        <v>2.2000000000000002</v>
      </c>
      <c r="I475" s="3">
        <f>$D475*TCA!I475/100</f>
        <v>0</v>
      </c>
      <c r="J475" s="3">
        <f>$D475*TCA!J475/100</f>
        <v>5</v>
      </c>
      <c r="K475" s="3">
        <f>$D475*TCA!K475/100</f>
        <v>5.6</v>
      </c>
      <c r="L475" s="3">
        <f>$D475*TCA!L475/100</f>
        <v>1.2</v>
      </c>
      <c r="M475" s="3">
        <f>$D475*TCA!M475/100</f>
        <v>120</v>
      </c>
      <c r="N475" s="3">
        <f>$D475*TCA!N475/100</f>
        <v>10</v>
      </c>
      <c r="O475" s="3">
        <f>$D475*TCA!O475/100</f>
        <v>44</v>
      </c>
      <c r="P475" s="3">
        <f t="shared" si="7"/>
        <v>3.1884057971014492</v>
      </c>
      <c r="Q475" s="3">
        <f>$D475*TCA!P475/100</f>
        <v>37</v>
      </c>
      <c r="R475" s="3">
        <f>$D475*TCA!Q475/100</f>
        <v>0</v>
      </c>
      <c r="S475" s="3">
        <f>$D475*TCA!R475/100</f>
        <v>0</v>
      </c>
      <c r="T475" s="3">
        <f>$D475*TCA!S475/100</f>
        <v>0</v>
      </c>
      <c r="U475" s="3">
        <f>$D475*TCA!T475/100</f>
        <v>2</v>
      </c>
      <c r="V475" s="3">
        <f>$D475*TCA!U475/100</f>
        <v>20</v>
      </c>
      <c r="W475" s="3">
        <f>$D475*TCA!V475/100</f>
        <v>0</v>
      </c>
      <c r="X475" s="3">
        <f>$D475*TCA!W475/100</f>
        <v>0</v>
      </c>
    </row>
    <row r="476" spans="1:24" x14ac:dyDescent="0.25">
      <c r="A476" s="3" t="s">
        <v>2029</v>
      </c>
      <c r="B476" s="3" t="s">
        <v>937</v>
      </c>
      <c r="C476" s="3" t="s">
        <v>938</v>
      </c>
      <c r="D476" s="3">
        <v>100</v>
      </c>
      <c r="E476" s="3">
        <f>$D476*TCA!E476/100</f>
        <v>242.95</v>
      </c>
      <c r="F476" s="3">
        <f>$D476*TCA!F476/100</f>
        <v>15.3</v>
      </c>
      <c r="G476" s="3">
        <f>$D476*TCA!G476/100</f>
        <v>19.87</v>
      </c>
      <c r="H476" s="3">
        <f>$D476*TCA!H476/100</f>
        <v>0.73</v>
      </c>
      <c r="I476" s="3">
        <f>$D476*TCA!I476/100</f>
        <v>0</v>
      </c>
      <c r="J476" s="3">
        <f>$D476*TCA!J476/100</f>
        <v>6.84</v>
      </c>
      <c r="K476" s="3">
        <f>$D476*TCA!K476/100</f>
        <v>9.73</v>
      </c>
      <c r="L476" s="3">
        <f>$D476*TCA!L476/100</f>
        <v>2.11</v>
      </c>
      <c r="M476" s="3">
        <f>$D476*TCA!M476/100</f>
        <v>59</v>
      </c>
      <c r="N476" s="3">
        <f>$D476*TCA!N476/100</f>
        <v>11</v>
      </c>
      <c r="O476" s="3">
        <f>$D476*TCA!O476/100</f>
        <v>139</v>
      </c>
      <c r="P476" s="3">
        <f t="shared" si="7"/>
        <v>9.0849673202614376</v>
      </c>
      <c r="Q476" s="3">
        <f>$D476*TCA!P476/100</f>
        <v>0.77</v>
      </c>
      <c r="R476" s="3">
        <f>$D476*TCA!Q476/100</f>
        <v>281</v>
      </c>
      <c r="S476" s="3">
        <f>$D476*TCA!R476/100</f>
        <v>907</v>
      </c>
      <c r="T476" s="3">
        <f>$D476*TCA!S476/100</f>
        <v>2.0299999999999998</v>
      </c>
      <c r="U476" s="3">
        <f>$D476*TCA!T476/100</f>
        <v>0</v>
      </c>
      <c r="V476" s="3">
        <f>$D476*TCA!U476/100</f>
        <v>0</v>
      </c>
      <c r="W476" s="3">
        <f>$D476*TCA!V476/100</f>
        <v>5</v>
      </c>
      <c r="X476" s="3">
        <f>$D476*TCA!W476/100</f>
        <v>0.93</v>
      </c>
    </row>
    <row r="477" spans="1:24" x14ac:dyDescent="0.25">
      <c r="A477" s="3" t="s">
        <v>2029</v>
      </c>
      <c r="B477" s="3" t="s">
        <v>939</v>
      </c>
      <c r="C477" s="3" t="s">
        <v>940</v>
      </c>
      <c r="D477" s="3">
        <v>100</v>
      </c>
      <c r="E477" s="3">
        <f>$D477*TCA!E477/100</f>
        <v>306.19</v>
      </c>
      <c r="F477" s="3">
        <f>$D477*TCA!F477/100</f>
        <v>16.37</v>
      </c>
      <c r="G477" s="3">
        <f>$D477*TCA!G477/100</f>
        <v>25.39</v>
      </c>
      <c r="H477" s="3">
        <f>$D477*TCA!H477/100</f>
        <v>3.05</v>
      </c>
      <c r="I477" s="3">
        <f>$D477*TCA!I477/100</f>
        <v>0</v>
      </c>
      <c r="J477" s="3">
        <f>$D477*TCA!J477/100</f>
        <v>9.51</v>
      </c>
      <c r="K477" s="3">
        <f>$D477*TCA!K477/100</f>
        <v>11.38</v>
      </c>
      <c r="L477" s="3">
        <f>$D477*TCA!L477/100</f>
        <v>3.12</v>
      </c>
      <c r="M477" s="3">
        <f>$D477*TCA!M477/100</f>
        <v>56</v>
      </c>
      <c r="N477" s="3">
        <f>$D477*TCA!N477/100</f>
        <v>18</v>
      </c>
      <c r="O477" s="3">
        <f>$D477*TCA!O477/100</f>
        <v>97</v>
      </c>
      <c r="P477" s="3">
        <f t="shared" si="7"/>
        <v>5.9254734270006102</v>
      </c>
      <c r="Q477" s="3">
        <f>$D477*TCA!P477/100</f>
        <v>1.4</v>
      </c>
      <c r="R477" s="3">
        <f>$D477*TCA!Q477/100</f>
        <v>163</v>
      </c>
      <c r="S477" s="3">
        <f>$D477*TCA!R477/100</f>
        <v>1246</v>
      </c>
      <c r="T477" s="3">
        <f>$D477*TCA!S477/100</f>
        <v>2.1</v>
      </c>
      <c r="U477" s="3">
        <f>$D477*TCA!T477/100</f>
        <v>0</v>
      </c>
      <c r="V477" s="3">
        <f>$D477*TCA!U477/100</f>
        <v>0</v>
      </c>
      <c r="W477" s="3">
        <f>$D477*TCA!V477/100</f>
        <v>3</v>
      </c>
      <c r="X477" s="3">
        <f>$D477*TCA!W477/100</f>
        <v>1.48</v>
      </c>
    </row>
    <row r="478" spans="1:24" x14ac:dyDescent="0.25">
      <c r="A478" s="3" t="s">
        <v>2029</v>
      </c>
      <c r="B478" s="3" t="s">
        <v>941</v>
      </c>
      <c r="C478" s="3" t="s">
        <v>942</v>
      </c>
      <c r="D478" s="3">
        <v>100</v>
      </c>
      <c r="E478" s="3">
        <f>$D478*TCA!E478/100</f>
        <v>288.08</v>
      </c>
      <c r="F478" s="3">
        <f>$D478*TCA!F478/100</f>
        <v>18.47</v>
      </c>
      <c r="G478" s="3">
        <f>$D478*TCA!G478/100</f>
        <v>23.8</v>
      </c>
      <c r="H478" s="3">
        <f>$D478*TCA!H478/100</f>
        <v>0</v>
      </c>
      <c r="I478" s="3">
        <f>$D478*TCA!I478/100</f>
        <v>0</v>
      </c>
      <c r="J478" s="3">
        <f>$D478*TCA!J478/100</f>
        <v>8.43</v>
      </c>
      <c r="K478" s="3">
        <f>$D478*TCA!K478/100</f>
        <v>9.7200000000000006</v>
      </c>
      <c r="L478" s="3">
        <f>$D478*TCA!L478/100</f>
        <v>3.07</v>
      </c>
      <c r="M478" s="3">
        <f>$D478*TCA!M478/100</f>
        <v>95</v>
      </c>
      <c r="N478" s="3">
        <f>$D478*TCA!N478/100</f>
        <v>12</v>
      </c>
      <c r="O478" s="3">
        <f>$D478*TCA!O478/100</f>
        <v>248</v>
      </c>
      <c r="P478" s="3">
        <f t="shared" si="7"/>
        <v>13.427179209528967</v>
      </c>
      <c r="Q478" s="3">
        <f>$D478*TCA!P478/100</f>
        <v>3.54</v>
      </c>
      <c r="R478" s="3">
        <f>$D478*TCA!Q478/100</f>
        <v>199</v>
      </c>
      <c r="S478" s="3">
        <f>$D478*TCA!R478/100</f>
        <v>54</v>
      </c>
      <c r="T478" s="3">
        <f>$D478*TCA!S478/100</f>
        <v>2.2000000000000002</v>
      </c>
      <c r="U478" s="3">
        <f>$D478*TCA!T478/100</f>
        <v>5</v>
      </c>
      <c r="V478" s="3">
        <f>$D478*TCA!U478/100</f>
        <v>73</v>
      </c>
      <c r="W478" s="3">
        <f>$D478*TCA!V478/100</f>
        <v>6</v>
      </c>
      <c r="X478" s="3">
        <f>$D478*TCA!W478/100</f>
        <v>0.4</v>
      </c>
    </row>
    <row r="479" spans="1:24" x14ac:dyDescent="0.25">
      <c r="A479" s="3" t="s">
        <v>2029</v>
      </c>
      <c r="B479" s="3" t="s">
        <v>943</v>
      </c>
      <c r="C479" s="3" t="s">
        <v>944</v>
      </c>
      <c r="D479" s="3">
        <v>100</v>
      </c>
      <c r="E479" s="3">
        <f>$D479*TCA!E479/100</f>
        <v>458.84</v>
      </c>
      <c r="F479" s="3">
        <f>$D479*TCA!F479/100</f>
        <v>11.4</v>
      </c>
      <c r="G479" s="3">
        <f>$D479*TCA!G479/100</f>
        <v>43.84</v>
      </c>
      <c r="H479" s="3">
        <f>$D479*TCA!H479/100</f>
        <v>4.67</v>
      </c>
      <c r="I479" s="3">
        <f>$D479*TCA!I479/100</f>
        <v>0</v>
      </c>
      <c r="J479" s="3">
        <f>$D479*TCA!J479/100</f>
        <v>14.45</v>
      </c>
      <c r="K479" s="3">
        <f>$D479*TCA!K479/100</f>
        <v>25.61</v>
      </c>
      <c r="L479" s="3">
        <f>$D479*TCA!L479/100</f>
        <v>0.84</v>
      </c>
      <c r="M479" s="3">
        <f>$D479*TCA!M479/100</f>
        <v>150</v>
      </c>
      <c r="N479" s="3">
        <f>$D479*TCA!N479/100</f>
        <v>70</v>
      </c>
      <c r="O479" s="3">
        <f>$D479*TCA!O479/100</f>
        <v>200</v>
      </c>
      <c r="P479" s="3">
        <f t="shared" si="7"/>
        <v>17.543859649122805</v>
      </c>
      <c r="Q479" s="3">
        <f>$D479*TCA!P479/100</f>
        <v>5.5</v>
      </c>
      <c r="R479" s="3">
        <f>$D479*TCA!Q479/100</f>
        <v>138</v>
      </c>
      <c r="S479" s="3">
        <f>$D479*TCA!R479/100</f>
        <v>697</v>
      </c>
      <c r="T479" s="3">
        <f>$D479*TCA!S479/100</f>
        <v>0.92</v>
      </c>
      <c r="U479" s="3">
        <f>$D479*TCA!T479/100</f>
        <v>0</v>
      </c>
      <c r="V479" s="3">
        <f>$D479*TCA!U479/100</f>
        <v>1001</v>
      </c>
      <c r="W479" s="3">
        <f>$D479*TCA!V479/100</f>
        <v>60</v>
      </c>
      <c r="X479" s="3">
        <f>$D479*TCA!W479/100</f>
        <v>9.4</v>
      </c>
    </row>
    <row r="480" spans="1:24" x14ac:dyDescent="0.25">
      <c r="A480" s="3" t="s">
        <v>2029</v>
      </c>
      <c r="B480" s="3" t="s">
        <v>945</v>
      </c>
      <c r="C480" s="3" t="s">
        <v>946</v>
      </c>
      <c r="D480" s="3">
        <v>100</v>
      </c>
      <c r="E480" s="3">
        <f>$D480*TCA!E480/100</f>
        <v>321.39999999999998</v>
      </c>
      <c r="F480" s="3">
        <f>$D480*TCA!F480/100</f>
        <v>16</v>
      </c>
      <c r="G480" s="3">
        <f>$D480*TCA!G480/100</f>
        <v>28.6</v>
      </c>
      <c r="H480" s="3">
        <f>$D480*TCA!H480/100</f>
        <v>0</v>
      </c>
      <c r="I480" s="3">
        <f>$D480*TCA!I480/100</f>
        <v>0</v>
      </c>
      <c r="J480" s="3">
        <f>$D480*TCA!J480/100</f>
        <v>9.67</v>
      </c>
      <c r="K480" s="3">
        <f>$D480*TCA!K480/100</f>
        <v>11.52</v>
      </c>
      <c r="L480" s="3">
        <f>$D480*TCA!L480/100</f>
        <v>3.36</v>
      </c>
      <c r="M480" s="3">
        <f>$D480*TCA!M480/100</f>
        <v>84</v>
      </c>
      <c r="N480" s="3">
        <f>$D480*TCA!N480/100</f>
        <v>15</v>
      </c>
      <c r="O480" s="3">
        <f>$D480*TCA!O480/100</f>
        <v>188</v>
      </c>
      <c r="P480" s="3">
        <f t="shared" si="7"/>
        <v>11.75</v>
      </c>
      <c r="Q480" s="3">
        <f>$D480*TCA!P480/100</f>
        <v>1.8</v>
      </c>
      <c r="R480" s="3">
        <f>$D480*TCA!Q480/100</f>
        <v>204</v>
      </c>
      <c r="S480" s="3">
        <f>$D480*TCA!R480/100</f>
        <v>59</v>
      </c>
      <c r="T480" s="3">
        <f>$D480*TCA!S480/100</f>
        <v>1.86</v>
      </c>
      <c r="U480" s="3">
        <f>$D480*TCA!T480/100</f>
        <v>0</v>
      </c>
      <c r="V480" s="3">
        <f>$D480*TCA!U480/100</f>
        <v>63</v>
      </c>
      <c r="W480" s="3">
        <f>$D480*TCA!V480/100</f>
        <v>0</v>
      </c>
      <c r="X480" s="3">
        <f>$D480*TCA!W480/100</f>
        <v>0.3</v>
      </c>
    </row>
    <row r="481" spans="1:24" x14ac:dyDescent="0.25">
      <c r="A481" s="3" t="s">
        <v>2029</v>
      </c>
      <c r="B481" s="3" t="s">
        <v>947</v>
      </c>
      <c r="C481" s="3" t="s">
        <v>948</v>
      </c>
      <c r="D481" s="3">
        <v>100</v>
      </c>
      <c r="E481" s="3">
        <f>$D481*TCA!E481/100</f>
        <v>108.22</v>
      </c>
      <c r="F481" s="3">
        <f>$D481*TCA!F481/100</f>
        <v>21.28</v>
      </c>
      <c r="G481" s="3">
        <f>$D481*TCA!G481/100</f>
        <v>2.5</v>
      </c>
      <c r="H481" s="3">
        <f>$D481*TCA!H481/100</f>
        <v>0.15</v>
      </c>
      <c r="I481" s="3">
        <f>$D481*TCA!I481/100</f>
        <v>0</v>
      </c>
      <c r="J481" s="3">
        <f>$D481*TCA!J481/100</f>
        <v>0.68</v>
      </c>
      <c r="K481" s="3">
        <f>$D481*TCA!K481/100</f>
        <v>0.76</v>
      </c>
      <c r="L481" s="3">
        <f>$D481*TCA!L481/100</f>
        <v>0.61</v>
      </c>
      <c r="M481" s="3">
        <f>$D481*TCA!M481/100</f>
        <v>79</v>
      </c>
      <c r="N481" s="3">
        <f>$D481*TCA!N481/100</f>
        <v>11</v>
      </c>
      <c r="O481" s="3">
        <f>$D481*TCA!O481/100</f>
        <v>176</v>
      </c>
      <c r="P481" s="3">
        <f t="shared" si="7"/>
        <v>8.2706766917293226</v>
      </c>
      <c r="Q481" s="3">
        <f>$D481*TCA!P481/100</f>
        <v>1.04</v>
      </c>
      <c r="R481" s="3">
        <f>$D481*TCA!Q481/100</f>
        <v>226</v>
      </c>
      <c r="S481" s="3">
        <f>$D481*TCA!R481/100</f>
        <v>124</v>
      </c>
      <c r="T481" s="3">
        <f>$D481*TCA!S481/100</f>
        <v>2.59</v>
      </c>
      <c r="U481" s="3">
        <f>$D481*TCA!T481/100</f>
        <v>0</v>
      </c>
      <c r="V481" s="3">
        <f>$D481*TCA!U481/100</f>
        <v>13</v>
      </c>
      <c r="W481" s="3">
        <f>$D481*TCA!V481/100</f>
        <v>7</v>
      </c>
      <c r="X481" s="3">
        <f>$D481*TCA!W481/100</f>
        <v>0</v>
      </c>
    </row>
    <row r="482" spans="1:24" x14ac:dyDescent="0.25">
      <c r="A482" s="3" t="s">
        <v>2029</v>
      </c>
      <c r="B482" s="3" t="s">
        <v>949</v>
      </c>
      <c r="C482" s="3" t="s">
        <v>950</v>
      </c>
      <c r="D482" s="3">
        <v>100</v>
      </c>
      <c r="E482" s="3">
        <f>$D482*TCA!E482/100</f>
        <v>460.08</v>
      </c>
      <c r="F482" s="3">
        <f>$D482*TCA!F482/100</f>
        <v>20.350000000000001</v>
      </c>
      <c r="G482" s="3">
        <f>$D482*TCA!G482/100</f>
        <v>40.28</v>
      </c>
      <c r="H482" s="3">
        <f>$D482*TCA!H482/100</f>
        <v>4.04</v>
      </c>
      <c r="I482" s="3">
        <f>$D482*TCA!I482/100</f>
        <v>1.5</v>
      </c>
      <c r="J482" s="3">
        <f>$D482*TCA!J482/100</f>
        <v>16.09</v>
      </c>
      <c r="K482" s="3">
        <f>$D482*TCA!K482/100</f>
        <v>19.04</v>
      </c>
      <c r="L482" s="3">
        <f>$D482*TCA!L482/100</f>
        <v>2.63</v>
      </c>
      <c r="M482" s="3">
        <f>$D482*TCA!M482/100</f>
        <v>118</v>
      </c>
      <c r="N482" s="3">
        <f>$D482*TCA!N482/100</f>
        <v>21</v>
      </c>
      <c r="O482" s="3">
        <f>$D482*TCA!O482/100</f>
        <v>176</v>
      </c>
      <c r="P482" s="3">
        <f t="shared" si="7"/>
        <v>8.6486486486486474</v>
      </c>
      <c r="Q482" s="3">
        <f>$D482*TCA!P482/100</f>
        <v>1.44</v>
      </c>
      <c r="R482" s="3">
        <f>$D482*TCA!Q482/100</f>
        <v>315</v>
      </c>
      <c r="S482" s="3">
        <f>$D482*TCA!R482/100</f>
        <v>1788</v>
      </c>
      <c r="T482" s="3">
        <f>$D482*TCA!S482/100</f>
        <v>2.73</v>
      </c>
      <c r="U482" s="3">
        <f>$D482*TCA!T482/100</f>
        <v>1</v>
      </c>
      <c r="V482" s="3">
        <f>$D482*TCA!U482/100</f>
        <v>0</v>
      </c>
      <c r="W482" s="3">
        <f>$D482*TCA!V482/100</f>
        <v>6</v>
      </c>
      <c r="X482" s="3">
        <f>$D482*TCA!W482/100</f>
        <v>1.57</v>
      </c>
    </row>
    <row r="483" spans="1:24" x14ac:dyDescent="0.25">
      <c r="A483" s="3" t="s">
        <v>2029</v>
      </c>
      <c r="B483" s="3" t="s">
        <v>951</v>
      </c>
      <c r="C483" s="3" t="s">
        <v>952</v>
      </c>
      <c r="D483" s="3">
        <v>100</v>
      </c>
      <c r="E483" s="3">
        <f>$D483*TCA!E483/100</f>
        <v>242.5</v>
      </c>
      <c r="F483" s="3">
        <f>$D483*TCA!F483/100</f>
        <v>22.78</v>
      </c>
      <c r="G483" s="3">
        <f>$D483*TCA!G483/100</f>
        <v>16.82</v>
      </c>
      <c r="H483" s="3">
        <f>$D483*TCA!H483/100</f>
        <v>0</v>
      </c>
      <c r="I483" s="3">
        <f>$D483*TCA!I483/100</f>
        <v>0</v>
      </c>
      <c r="J483" s="3">
        <f>$D483*TCA!J483/100</f>
        <v>4.71</v>
      </c>
      <c r="K483" s="3">
        <f>$D483*TCA!K483/100</f>
        <v>6.6</v>
      </c>
      <c r="L483" s="3">
        <f>$D483*TCA!L483/100</f>
        <v>3.58</v>
      </c>
      <c r="M483" s="3">
        <f>$D483*TCA!M483/100</f>
        <v>70</v>
      </c>
      <c r="N483" s="3">
        <f>$D483*TCA!N483/100</f>
        <v>12</v>
      </c>
      <c r="O483" s="3">
        <f>$D483*TCA!O483/100</f>
        <v>121</v>
      </c>
      <c r="P483" s="3">
        <f t="shared" si="7"/>
        <v>5.3116769095697975</v>
      </c>
      <c r="Q483" s="3">
        <f>$D483*TCA!P483/100</f>
        <v>1.1299999999999999</v>
      </c>
      <c r="R483" s="3">
        <f>$D483*TCA!Q483/100</f>
        <v>139</v>
      </c>
      <c r="S483" s="3">
        <f>$D483*TCA!R483/100</f>
        <v>67</v>
      </c>
      <c r="T483" s="3">
        <f>$D483*TCA!S483/100</f>
        <v>1.63</v>
      </c>
      <c r="U483" s="3">
        <f>$D483*TCA!T483/100</f>
        <v>0</v>
      </c>
      <c r="V483" s="3">
        <f>$D483*TCA!U483/100</f>
        <v>40</v>
      </c>
      <c r="W483" s="3">
        <f>$D483*TCA!V483/100</f>
        <v>3</v>
      </c>
      <c r="X483" s="3">
        <f>$D483*TCA!W483/100</f>
        <v>0.18</v>
      </c>
    </row>
    <row r="484" spans="1:24" x14ac:dyDescent="0.25">
      <c r="A484" s="3" t="s">
        <v>2029</v>
      </c>
      <c r="B484" s="3" t="s">
        <v>953</v>
      </c>
      <c r="C484" s="3" t="s">
        <v>954</v>
      </c>
      <c r="D484" s="3">
        <v>100</v>
      </c>
      <c r="E484" s="3">
        <f>$D484*TCA!E484/100</f>
        <v>217.05</v>
      </c>
      <c r="F484" s="3">
        <f>$D484*TCA!F484/100</f>
        <v>18.329999999999998</v>
      </c>
      <c r="G484" s="3">
        <f>$D484*TCA!G484/100</f>
        <v>15.97</v>
      </c>
      <c r="H484" s="3">
        <f>$D484*TCA!H484/100</f>
        <v>0</v>
      </c>
      <c r="I484" s="3">
        <f>$D484*TCA!I484/100</f>
        <v>0</v>
      </c>
      <c r="J484" s="3">
        <f>$D484*TCA!J484/100</f>
        <v>4.4800000000000004</v>
      </c>
      <c r="K484" s="3">
        <f>$D484*TCA!K484/100</f>
        <v>6.35</v>
      </c>
      <c r="L484" s="3">
        <f>$D484*TCA!L484/100</f>
        <v>3.39</v>
      </c>
      <c r="M484" s="3">
        <f>$D484*TCA!M484/100</f>
        <v>77</v>
      </c>
      <c r="N484" s="3">
        <f>$D484*TCA!N484/100</f>
        <v>12</v>
      </c>
      <c r="O484" s="3">
        <f>$D484*TCA!O484/100</f>
        <v>132</v>
      </c>
      <c r="P484" s="3">
        <f t="shared" si="7"/>
        <v>7.2013093289689039</v>
      </c>
      <c r="Q484" s="3">
        <f>$D484*TCA!P484/100</f>
        <v>0.95</v>
      </c>
      <c r="R484" s="3">
        <f>$D484*TCA!Q484/100</f>
        <v>156</v>
      </c>
      <c r="S484" s="3">
        <f>$D484*TCA!R484/100</f>
        <v>73</v>
      </c>
      <c r="T484" s="3">
        <f>$D484*TCA!S484/100</f>
        <v>1.33</v>
      </c>
      <c r="U484" s="3">
        <f>$D484*TCA!T484/100</f>
        <v>1</v>
      </c>
      <c r="V484" s="3">
        <f>$D484*TCA!U484/100</f>
        <v>44</v>
      </c>
      <c r="W484" s="3">
        <f>$D484*TCA!V484/100</f>
        <v>4</v>
      </c>
      <c r="X484" s="3">
        <f>$D484*TCA!W484/100</f>
        <v>0.32</v>
      </c>
    </row>
    <row r="485" spans="1:24" x14ac:dyDescent="0.25">
      <c r="A485" s="3" t="s">
        <v>2029</v>
      </c>
      <c r="B485" s="3" t="s">
        <v>955</v>
      </c>
      <c r="C485" s="3" t="s">
        <v>956</v>
      </c>
      <c r="D485" s="3">
        <v>100</v>
      </c>
      <c r="E485" s="3">
        <f>$D485*TCA!E485/100</f>
        <v>149.01</v>
      </c>
      <c r="F485" s="3">
        <f>$D485*TCA!F485/100</f>
        <v>15.55</v>
      </c>
      <c r="G485" s="3">
        <f>$D485*TCA!G485/100</f>
        <v>9.33</v>
      </c>
      <c r="H485" s="3">
        <f>$D485*TCA!H485/100</f>
        <v>0.71</v>
      </c>
      <c r="I485" s="3">
        <f>$D485*TCA!I485/100</f>
        <v>0</v>
      </c>
      <c r="J485" s="3">
        <f>$D485*TCA!J485/100</f>
        <v>2.66</v>
      </c>
      <c r="K485" s="3">
        <f>$D485*TCA!K485/100</f>
        <v>2.37</v>
      </c>
      <c r="L485" s="3">
        <f>$D485*TCA!L485/100</f>
        <v>2.71</v>
      </c>
      <c r="M485" s="3">
        <f>$D485*TCA!M485/100</f>
        <v>136</v>
      </c>
      <c r="N485" s="3">
        <f>$D485*TCA!N485/100</f>
        <v>12</v>
      </c>
      <c r="O485" s="3">
        <f>$D485*TCA!O485/100</f>
        <v>177</v>
      </c>
      <c r="P485" s="3">
        <f t="shared" si="7"/>
        <v>11.382636655948552</v>
      </c>
      <c r="Q485" s="3">
        <f>$D485*TCA!P485/100</f>
        <v>5.96</v>
      </c>
      <c r="R485" s="3">
        <f>$D485*TCA!Q485/100</f>
        <v>176</v>
      </c>
      <c r="S485" s="3">
        <f>$D485*TCA!R485/100</f>
        <v>74</v>
      </c>
      <c r="T485" s="3">
        <f>$D485*TCA!S485/100</f>
        <v>6.59</v>
      </c>
      <c r="U485" s="3">
        <f>$D485*TCA!T485/100</f>
        <v>3</v>
      </c>
      <c r="V485" s="3">
        <f>$D485*TCA!U485/100</f>
        <v>9</v>
      </c>
      <c r="W485" s="3">
        <f>$D485*TCA!V485/100</f>
        <v>72</v>
      </c>
      <c r="X485" s="3">
        <f>$D485*TCA!W485/100</f>
        <v>7.29</v>
      </c>
    </row>
    <row r="486" spans="1:24" x14ac:dyDescent="0.25">
      <c r="A486" s="3" t="s">
        <v>2029</v>
      </c>
      <c r="B486" s="3" t="s">
        <v>957</v>
      </c>
      <c r="C486" s="3" t="s">
        <v>958</v>
      </c>
      <c r="D486" s="3">
        <v>100</v>
      </c>
      <c r="E486" s="3">
        <f>$D486*TCA!E486/100</f>
        <v>159.91</v>
      </c>
      <c r="F486" s="3">
        <f>$D486*TCA!F486/100</f>
        <v>24.46</v>
      </c>
      <c r="G486" s="3">
        <f>$D486*TCA!G486/100</f>
        <v>6.51</v>
      </c>
      <c r="H486" s="3">
        <f>$D486*TCA!H486/100</f>
        <v>0.87</v>
      </c>
      <c r="I486" s="3">
        <f>$D486*TCA!I486/100</f>
        <v>0</v>
      </c>
      <c r="J486" s="3">
        <f>$D486*TCA!J486/100</f>
        <v>2.06</v>
      </c>
      <c r="K486" s="3">
        <f>$D486*TCA!K486/100</f>
        <v>1.42</v>
      </c>
      <c r="L486" s="3">
        <f>$D486*TCA!L486/100</f>
        <v>2.0099999999999998</v>
      </c>
      <c r="M486" s="3">
        <f>$D486*TCA!M486/100</f>
        <v>563</v>
      </c>
      <c r="N486" s="3">
        <f>$D486*TCA!N486/100</f>
        <v>11</v>
      </c>
      <c r="O486" s="3">
        <f>$D486*TCA!O486/100</f>
        <v>405</v>
      </c>
      <c r="P486" s="3">
        <f t="shared" si="7"/>
        <v>16.557645134914146</v>
      </c>
      <c r="Q486" s="3">
        <f>$D486*TCA!P486/100</f>
        <v>11.63</v>
      </c>
      <c r="R486" s="3">
        <f>$D486*TCA!Q486/100</f>
        <v>263</v>
      </c>
      <c r="S486" s="3">
        <f>$D486*TCA!R486/100</f>
        <v>76</v>
      </c>
      <c r="T486" s="3">
        <f>$D486*TCA!S486/100</f>
        <v>3.98</v>
      </c>
      <c r="U486" s="3">
        <f>$D486*TCA!T486/100</f>
        <v>28</v>
      </c>
      <c r="V486" s="3">
        <f>$D486*TCA!U486/100</f>
        <v>3981</v>
      </c>
      <c r="W486" s="3">
        <f>$D486*TCA!V486/100</f>
        <v>578</v>
      </c>
      <c r="X486" s="3">
        <f>$D486*TCA!W486/100</f>
        <v>16.850000000000001</v>
      </c>
    </row>
    <row r="487" spans="1:24" x14ac:dyDescent="0.25">
      <c r="A487" s="3" t="s">
        <v>2029</v>
      </c>
      <c r="B487" s="3" t="s">
        <v>959</v>
      </c>
      <c r="C487" s="3" t="s">
        <v>960</v>
      </c>
      <c r="D487" s="3">
        <v>100</v>
      </c>
      <c r="E487" s="3">
        <f>$D487*TCA!E487/100</f>
        <v>111.15</v>
      </c>
      <c r="F487" s="3">
        <f>$D487*TCA!F487/100</f>
        <v>16.920000000000002</v>
      </c>
      <c r="G487" s="3">
        <f>$D487*TCA!G487/100</f>
        <v>4.83</v>
      </c>
      <c r="H487" s="3">
        <f>$D487*TCA!H487/100</f>
        <v>0</v>
      </c>
      <c r="I487" s="3">
        <f>$D487*TCA!I487/100</f>
        <v>0</v>
      </c>
      <c r="J487" s="3">
        <f>$D487*TCA!J487/100</f>
        <v>1.56</v>
      </c>
      <c r="K487" s="3">
        <f>$D487*TCA!K487/100</f>
        <v>1.25</v>
      </c>
      <c r="L487" s="3">
        <f>$D487*TCA!L487/100</f>
        <v>0.82</v>
      </c>
      <c r="M487" s="3">
        <f>$D487*TCA!M487/100</f>
        <v>345</v>
      </c>
      <c r="N487" s="3">
        <f>$D487*TCA!N487/100</f>
        <v>8</v>
      </c>
      <c r="O487" s="3">
        <f>$D487*TCA!O487/100</f>
        <v>297</v>
      </c>
      <c r="P487" s="3">
        <f t="shared" si="7"/>
        <v>17.553191489361701</v>
      </c>
      <c r="Q487" s="3">
        <f>$D487*TCA!P487/100</f>
        <v>8.99</v>
      </c>
      <c r="R487" s="3">
        <f>$D487*TCA!Q487/100</f>
        <v>230</v>
      </c>
      <c r="S487" s="3">
        <f>$D487*TCA!R487/100</f>
        <v>71</v>
      </c>
      <c r="T487" s="3">
        <f>$D487*TCA!S487/100</f>
        <v>2.67</v>
      </c>
      <c r="U487" s="3">
        <f>$D487*TCA!T487/100</f>
        <v>18</v>
      </c>
      <c r="V487" s="3">
        <f>$D487*TCA!U487/100</f>
        <v>3296</v>
      </c>
      <c r="W487" s="3">
        <f>$D487*TCA!V487/100</f>
        <v>588</v>
      </c>
      <c r="X487" s="3">
        <f>$D487*TCA!W487/100</f>
        <v>16.579999999999998</v>
      </c>
    </row>
    <row r="488" spans="1:24" x14ac:dyDescent="0.25">
      <c r="A488" s="3" t="s">
        <v>2029</v>
      </c>
      <c r="B488" s="3" t="s">
        <v>961</v>
      </c>
      <c r="C488" s="3" t="s">
        <v>962</v>
      </c>
      <c r="D488" s="3">
        <v>100</v>
      </c>
      <c r="E488" s="3">
        <f>$D488*TCA!E488/100</f>
        <v>145.68</v>
      </c>
      <c r="F488" s="3">
        <f>$D488*TCA!F488/100</f>
        <v>30.39</v>
      </c>
      <c r="G488" s="3">
        <f>$D488*TCA!G488/100</f>
        <v>2.68</v>
      </c>
      <c r="H488" s="3">
        <f>$D488*TCA!H488/100</f>
        <v>0</v>
      </c>
      <c r="I488" s="3">
        <f>$D488*TCA!I488/100</f>
        <v>0</v>
      </c>
      <c r="J488" s="3">
        <f>$D488*TCA!J488/100</f>
        <v>0.67</v>
      </c>
      <c r="K488" s="3">
        <f>$D488*TCA!K488/100</f>
        <v>0.53</v>
      </c>
      <c r="L488" s="3">
        <f>$D488*TCA!L488/100</f>
        <v>0.35</v>
      </c>
      <c r="M488" s="3">
        <f>$D488*TCA!M488/100</f>
        <v>370</v>
      </c>
      <c r="N488" s="3">
        <f>$D488*TCA!N488/100</f>
        <v>17</v>
      </c>
      <c r="O488" s="3">
        <f>$D488*TCA!O488/100</f>
        <v>189</v>
      </c>
      <c r="P488" s="3">
        <f t="shared" si="7"/>
        <v>6.2191510365251723</v>
      </c>
      <c r="Q488" s="3">
        <f>$D488*TCA!P488/100</f>
        <v>3.19</v>
      </c>
      <c r="R488" s="3">
        <f>$D488*TCA!Q488/100</f>
        <v>179</v>
      </c>
      <c r="S488" s="3">
        <f>$D488*TCA!R488/100</f>
        <v>56</v>
      </c>
      <c r="T488" s="3">
        <f>$D488*TCA!S488/100</f>
        <v>4.42</v>
      </c>
      <c r="U488" s="3">
        <f>$D488*TCA!T488/100</f>
        <v>0</v>
      </c>
      <c r="V488" s="3">
        <f>$D488*TCA!U488/100</f>
        <v>0</v>
      </c>
      <c r="W488" s="3">
        <f>$D488*TCA!V488/100</f>
        <v>5</v>
      </c>
      <c r="X488" s="3">
        <f>$D488*TCA!W488/100</f>
        <v>1.04</v>
      </c>
    </row>
    <row r="489" spans="1:24" x14ac:dyDescent="0.25">
      <c r="A489" s="3" t="s">
        <v>2029</v>
      </c>
      <c r="B489" s="3" t="s">
        <v>963</v>
      </c>
      <c r="C489" s="3" t="s">
        <v>964</v>
      </c>
      <c r="D489" s="3">
        <v>100</v>
      </c>
      <c r="E489" s="3">
        <f>$D489*TCA!E489/100</f>
        <v>89.18</v>
      </c>
      <c r="F489" s="3">
        <f>$D489*TCA!F489/100</f>
        <v>17.66</v>
      </c>
      <c r="G489" s="3">
        <f>$D489*TCA!G489/100</f>
        <v>2.06</v>
      </c>
      <c r="H489" s="3">
        <f>$D489*TCA!H489/100</f>
        <v>0</v>
      </c>
      <c r="I489" s="3">
        <f>$D489*TCA!I489/100</f>
        <v>0</v>
      </c>
      <c r="J489" s="3">
        <f>$D489*TCA!J489/100</f>
        <v>0.53</v>
      </c>
      <c r="K489" s="3">
        <f>$D489*TCA!K489/100</f>
        <v>0.51</v>
      </c>
      <c r="L489" s="3">
        <f>$D489*TCA!L489/100</f>
        <v>0.36</v>
      </c>
      <c r="M489" s="3">
        <f>$D489*TCA!M489/100</f>
        <v>240</v>
      </c>
      <c r="N489" s="3">
        <f>$D489*TCA!N489/100</f>
        <v>11</v>
      </c>
      <c r="O489" s="3">
        <f>$D489*TCA!O489/100</f>
        <v>148</v>
      </c>
      <c r="P489" s="3">
        <f t="shared" si="7"/>
        <v>8.380520951302378</v>
      </c>
      <c r="Q489" s="3">
        <f>$D489*TCA!P489/100</f>
        <v>2.4900000000000002</v>
      </c>
      <c r="R489" s="3">
        <f>$D489*TCA!Q489/100</f>
        <v>237</v>
      </c>
      <c r="S489" s="3">
        <f>$D489*TCA!R489/100</f>
        <v>69</v>
      </c>
      <c r="T489" s="3">
        <f>$D489*TCA!S489/100</f>
        <v>272</v>
      </c>
      <c r="U489" s="3">
        <f>$D489*TCA!T489/100</f>
        <v>4</v>
      </c>
      <c r="V489" s="3">
        <f>$D489*TCA!U489/100</f>
        <v>19</v>
      </c>
      <c r="W489" s="3">
        <f>$D489*TCA!V489/100</f>
        <v>5</v>
      </c>
      <c r="X489" s="3" t="e">
        <f>$D489*TCA!W489/100</f>
        <v>#VALUE!</v>
      </c>
    </row>
    <row r="490" spans="1:24" x14ac:dyDescent="0.25">
      <c r="A490" s="3" t="s">
        <v>2029</v>
      </c>
      <c r="B490" s="3" t="s">
        <v>966</v>
      </c>
      <c r="C490" s="3" t="s">
        <v>967</v>
      </c>
      <c r="D490" s="3">
        <v>100</v>
      </c>
      <c r="E490" s="3">
        <f>$D490*TCA!E490/100</f>
        <v>188.11</v>
      </c>
      <c r="F490" s="3">
        <f>$D490*TCA!F490/100</f>
        <v>25</v>
      </c>
      <c r="G490" s="3">
        <f>$D490*TCA!G490/100</f>
        <v>9.7899999999999991</v>
      </c>
      <c r="H490" s="3">
        <f>$D490*TCA!H490/100</f>
        <v>0</v>
      </c>
      <c r="I490" s="3">
        <f>$D490*TCA!I490/100</f>
        <v>0</v>
      </c>
      <c r="J490" s="3">
        <f>$D490*TCA!J490/100</f>
        <v>2.71</v>
      </c>
      <c r="K490" s="3">
        <f>$D490*TCA!K490/100</f>
        <v>3.7</v>
      </c>
      <c r="L490" s="3">
        <f>$D490*TCA!L490/100</f>
        <v>2.2400000000000002</v>
      </c>
      <c r="M490" s="3">
        <f>$D490*TCA!M490/100</f>
        <v>90</v>
      </c>
      <c r="N490" s="3">
        <f>$D490*TCA!N490/100</f>
        <v>11</v>
      </c>
      <c r="O490" s="3">
        <f>$D490*TCA!O490/100</f>
        <v>149</v>
      </c>
      <c r="P490" s="3">
        <f t="shared" si="7"/>
        <v>5.96</v>
      </c>
      <c r="Q490" s="3">
        <f>$D490*TCA!P490/100</f>
        <v>1.42</v>
      </c>
      <c r="R490" s="3">
        <f>$D490*TCA!Q490/100</f>
        <v>183</v>
      </c>
      <c r="S490" s="3">
        <f>$D490*TCA!R490/100</f>
        <v>75</v>
      </c>
      <c r="T490" s="3">
        <f>$D490*TCA!S490/100</f>
        <v>2.58</v>
      </c>
      <c r="U490" s="3">
        <f>$D490*TCA!T490/100</f>
        <v>0</v>
      </c>
      <c r="V490" s="3">
        <f>$D490*TCA!U490/100</f>
        <v>19</v>
      </c>
      <c r="W490" s="3">
        <f>$D490*TCA!V490/100</f>
        <v>7</v>
      </c>
      <c r="X490" s="3">
        <f>$D490*TCA!W490/100</f>
        <v>0.21</v>
      </c>
    </row>
    <row r="491" spans="1:24" x14ac:dyDescent="0.25">
      <c r="A491" s="3" t="s">
        <v>2029</v>
      </c>
      <c r="B491" s="3" t="s">
        <v>968</v>
      </c>
      <c r="C491" s="3" t="s">
        <v>969</v>
      </c>
      <c r="D491" s="3">
        <v>100</v>
      </c>
      <c r="E491" s="3">
        <f>$D491*TCA!E491/100</f>
        <v>201.68</v>
      </c>
      <c r="F491" s="3">
        <f>$D491*TCA!F491/100</f>
        <v>25.94</v>
      </c>
      <c r="G491" s="3">
        <f>$D491*TCA!G491/100</f>
        <v>10.88</v>
      </c>
      <c r="H491" s="3">
        <f>$D491*TCA!H491/100</f>
        <v>0</v>
      </c>
      <c r="I491" s="3">
        <f>$D491*TCA!I491/100</f>
        <v>0</v>
      </c>
      <c r="J491" s="3">
        <f>$D491*TCA!J491/100</f>
        <v>3.03</v>
      </c>
      <c r="K491" s="3">
        <f>$D491*TCA!K491/100</f>
        <v>4.1500000000000004</v>
      </c>
      <c r="L491" s="3">
        <f>$D491*TCA!L491/100</f>
        <v>2.48</v>
      </c>
      <c r="M491" s="3">
        <f>$D491*TCA!M491/100</f>
        <v>95</v>
      </c>
      <c r="N491" s="3">
        <f>$D491*TCA!N491/100</f>
        <v>12</v>
      </c>
      <c r="O491" s="3">
        <f>$D491*TCA!O491/100</f>
        <v>183</v>
      </c>
      <c r="P491" s="3">
        <f t="shared" si="7"/>
        <v>7.0547417116422508</v>
      </c>
      <c r="Q491" s="3">
        <f>$D491*TCA!P491/100</f>
        <v>1.31</v>
      </c>
      <c r="R491" s="3">
        <f>$D491*TCA!Q491/100</f>
        <v>238</v>
      </c>
      <c r="S491" s="3">
        <f>$D491*TCA!R491/100</f>
        <v>88</v>
      </c>
      <c r="T491" s="3">
        <f>$D491*TCA!S491/100</f>
        <v>2.57</v>
      </c>
      <c r="U491" s="3">
        <f>$D491*TCA!T491/100</f>
        <v>0</v>
      </c>
      <c r="V491" s="3">
        <f>$D491*TCA!U491/100</f>
        <v>20</v>
      </c>
      <c r="W491" s="3">
        <f>$D491*TCA!V491/100</f>
        <v>8</v>
      </c>
      <c r="X491" s="3">
        <f>$D491*TCA!W491/100</f>
        <v>0.31</v>
      </c>
    </row>
    <row r="492" spans="1:24" x14ac:dyDescent="0.25">
      <c r="A492" s="3" t="s">
        <v>2029</v>
      </c>
      <c r="B492" s="3" t="s">
        <v>970</v>
      </c>
      <c r="C492" s="3" t="s">
        <v>971</v>
      </c>
      <c r="D492" s="3">
        <v>100</v>
      </c>
      <c r="E492" s="3">
        <f>$D492*TCA!E492/100</f>
        <v>166.65</v>
      </c>
      <c r="F492" s="3">
        <f>$D492*TCA!F492/100</f>
        <v>20.85</v>
      </c>
      <c r="G492" s="3">
        <f>$D492*TCA!G492/100</f>
        <v>9.25</v>
      </c>
      <c r="H492" s="3">
        <f>$D492*TCA!H492/100</f>
        <v>0</v>
      </c>
      <c r="I492" s="3">
        <f>$D492*TCA!I492/100</f>
        <v>0</v>
      </c>
      <c r="J492" s="3">
        <f>$D492*TCA!J492/100</f>
        <v>2.66</v>
      </c>
      <c r="K492" s="3">
        <f>$D492*TCA!K492/100</f>
        <v>3.82</v>
      </c>
      <c r="L492" s="3">
        <f>$D492*TCA!L492/100</f>
        <v>1.96</v>
      </c>
      <c r="M492" s="3">
        <f>$D492*TCA!M492/100</f>
        <v>64</v>
      </c>
      <c r="N492" s="3">
        <f>$D492*TCA!N492/100</f>
        <v>11</v>
      </c>
      <c r="O492" s="3">
        <f>$D492*TCA!O492/100</f>
        <v>174</v>
      </c>
      <c r="P492" s="3">
        <f t="shared" si="7"/>
        <v>8.3453237410071939</v>
      </c>
      <c r="Q492" s="3">
        <f>$D492*TCA!P492/100</f>
        <v>0.74</v>
      </c>
      <c r="R492" s="3">
        <f>$D492*TCA!Q492/100</f>
        <v>220</v>
      </c>
      <c r="S492" s="3">
        <f>$D492*TCA!R492/100</f>
        <v>63</v>
      </c>
      <c r="T492" s="3">
        <f>$D492*TCA!S492/100</f>
        <v>0.8</v>
      </c>
      <c r="U492" s="3">
        <f>$D492*TCA!T492/100</f>
        <v>0</v>
      </c>
      <c r="V492" s="3">
        <f>$D492*TCA!U492/100</f>
        <v>25</v>
      </c>
      <c r="W492" s="3">
        <f>$D492*TCA!V492/100</f>
        <v>4</v>
      </c>
      <c r="X492" s="3">
        <f>$D492*TCA!W492/100</f>
        <v>0.34</v>
      </c>
    </row>
    <row r="493" spans="1:24" x14ac:dyDescent="0.25">
      <c r="A493" s="3" t="s">
        <v>2029</v>
      </c>
      <c r="B493" s="3" t="s">
        <v>972</v>
      </c>
      <c r="C493" s="3" t="s">
        <v>973</v>
      </c>
      <c r="D493" s="3">
        <v>100</v>
      </c>
      <c r="E493" s="3">
        <f>$D493*TCA!E493/100</f>
        <v>143.19</v>
      </c>
      <c r="F493" s="3">
        <f>$D493*TCA!F493/100</f>
        <v>28.98</v>
      </c>
      <c r="G493" s="3">
        <f>$D493*TCA!G493/100</f>
        <v>3.03</v>
      </c>
      <c r="H493" s="3">
        <f>$D493*TCA!H493/100</f>
        <v>0</v>
      </c>
      <c r="I493" s="3">
        <f>$D493*TCA!I493/100</f>
        <v>0</v>
      </c>
      <c r="J493" s="3">
        <f>$D493*TCA!J493/100</f>
        <v>0.85</v>
      </c>
      <c r="K493" s="3">
        <f>$D493*TCA!K493/100</f>
        <v>1.03</v>
      </c>
      <c r="L493" s="3">
        <f>$D493*TCA!L493/100</f>
        <v>0.66</v>
      </c>
      <c r="M493" s="3">
        <f>$D493*TCA!M493/100</f>
        <v>77</v>
      </c>
      <c r="N493" s="3">
        <f>$D493*TCA!N493/100</f>
        <v>13</v>
      </c>
      <c r="O493" s="3">
        <f>$D493*TCA!O493/100</f>
        <v>165</v>
      </c>
      <c r="P493" s="3">
        <f t="shared" si="7"/>
        <v>5.6935817805383024</v>
      </c>
      <c r="Q493" s="3">
        <f>$D493*TCA!P493/100</f>
        <v>0.88</v>
      </c>
      <c r="R493" s="3">
        <f>$D493*TCA!Q493/100</f>
        <v>187</v>
      </c>
      <c r="S493" s="3">
        <f>$D493*TCA!R493/100</f>
        <v>63</v>
      </c>
      <c r="T493" s="3">
        <f>$D493*TCA!S493/100</f>
        <v>0.97</v>
      </c>
      <c r="U493" s="3">
        <f>$D493*TCA!T493/100</f>
        <v>0</v>
      </c>
      <c r="V493" s="3">
        <f>$D493*TCA!U493/100</f>
        <v>6</v>
      </c>
      <c r="W493" s="3">
        <f>$D493*TCA!V493/100</f>
        <v>3</v>
      </c>
      <c r="X493" s="3">
        <f>$D493*TCA!W493/100</f>
        <v>0.23</v>
      </c>
    </row>
    <row r="494" spans="1:24" x14ac:dyDescent="0.25">
      <c r="A494" s="3" t="s">
        <v>2029</v>
      </c>
      <c r="B494" s="3" t="s">
        <v>974</v>
      </c>
      <c r="C494" s="3" t="s">
        <v>975</v>
      </c>
      <c r="D494" s="3">
        <v>100</v>
      </c>
      <c r="E494" s="3">
        <f>$D494*TCA!E494/100</f>
        <v>212.96</v>
      </c>
      <c r="F494" s="3">
        <f>$D494*TCA!F494/100</f>
        <v>24.17</v>
      </c>
      <c r="G494" s="3">
        <f>$D494*TCA!G494/100</f>
        <v>12.92</v>
      </c>
      <c r="H494" s="3">
        <f>$D494*TCA!H494/100</f>
        <v>0</v>
      </c>
      <c r="I494" s="3">
        <f>$D494*TCA!I494/100</f>
        <v>0</v>
      </c>
      <c r="J494" s="3">
        <f>$D494*TCA!J494/100</f>
        <v>3.57</v>
      </c>
      <c r="K494" s="3">
        <f>$D494*TCA!K494/100</f>
        <v>5.04</v>
      </c>
      <c r="L494" s="3">
        <f>$D494*TCA!L494/100</f>
        <v>2.87</v>
      </c>
      <c r="M494" s="3">
        <f>$D494*TCA!M494/100</f>
        <v>84</v>
      </c>
      <c r="N494" s="3">
        <f>$D494*TCA!N494/100</f>
        <v>11</v>
      </c>
      <c r="O494" s="3">
        <f>$D494*TCA!O494/100</f>
        <v>139</v>
      </c>
      <c r="P494" s="3">
        <f t="shared" si="7"/>
        <v>5.7509309060819191</v>
      </c>
      <c r="Q494" s="3">
        <f>$D494*TCA!P494/100</f>
        <v>1.35</v>
      </c>
      <c r="R494" s="3">
        <f>$D494*TCA!Q494/100</f>
        <v>176</v>
      </c>
      <c r="S494" s="3">
        <f>$D494*TCA!R494/100</f>
        <v>73</v>
      </c>
      <c r="T494" s="3">
        <f>$D494*TCA!S494/100</f>
        <v>2.4300000000000002</v>
      </c>
      <c r="U494" s="3">
        <f>$D494*TCA!T494/100</f>
        <v>0</v>
      </c>
      <c r="V494" s="3">
        <f>$D494*TCA!U494/100</f>
        <v>37</v>
      </c>
      <c r="W494" s="3">
        <f>$D494*TCA!V494/100</f>
        <v>6</v>
      </c>
      <c r="X494" s="3">
        <f>$D494*TCA!W494/100</f>
        <v>0.2</v>
      </c>
    </row>
    <row r="495" spans="1:24" x14ac:dyDescent="0.25">
      <c r="A495" s="3" t="s">
        <v>2029</v>
      </c>
      <c r="B495" s="3" t="s">
        <v>976</v>
      </c>
      <c r="C495" s="3" t="s">
        <v>977</v>
      </c>
      <c r="D495" s="3">
        <v>100</v>
      </c>
      <c r="E495" s="3">
        <f>$D495*TCA!E495/100</f>
        <v>181.68</v>
      </c>
      <c r="F495" s="3">
        <f>$D495*TCA!F495/100</f>
        <v>18.149999999999999</v>
      </c>
      <c r="G495" s="3">
        <f>$D495*TCA!G495/100</f>
        <v>12.12</v>
      </c>
      <c r="H495" s="3">
        <f>$D495*TCA!H495/100</f>
        <v>0</v>
      </c>
      <c r="I495" s="3">
        <f>$D495*TCA!I495/100</f>
        <v>0</v>
      </c>
      <c r="J495" s="3">
        <f>$D495*TCA!J495/100</f>
        <v>3.41</v>
      </c>
      <c r="K495" s="3">
        <f>$D495*TCA!K495/100</f>
        <v>4.8899999999999997</v>
      </c>
      <c r="L495" s="3">
        <f>$D495*TCA!L495/100</f>
        <v>2.65</v>
      </c>
      <c r="M495" s="3">
        <f>$D495*TCA!M495/100</f>
        <v>83</v>
      </c>
      <c r="N495" s="3">
        <f>$D495*TCA!N495/100</f>
        <v>10</v>
      </c>
      <c r="O495" s="3">
        <f>$D495*TCA!O495/100</f>
        <v>149</v>
      </c>
      <c r="P495" s="3">
        <f t="shared" si="7"/>
        <v>8.2093663911845738</v>
      </c>
      <c r="Q495" s="3">
        <f>$D495*TCA!P495/100</f>
        <v>1.01</v>
      </c>
      <c r="R495" s="3">
        <f>$D495*TCA!Q495/100</f>
        <v>198</v>
      </c>
      <c r="S495" s="3">
        <f>$D495*TCA!R495/100</f>
        <v>79</v>
      </c>
      <c r="T495" s="3">
        <f>$D495*TCA!S495/100</f>
        <v>1.77</v>
      </c>
      <c r="U495" s="3">
        <f>$D495*TCA!T495/100</f>
        <v>3</v>
      </c>
      <c r="V495" s="3">
        <f>$D495*TCA!U495/100</f>
        <v>37</v>
      </c>
      <c r="W495" s="3">
        <f>$D495*TCA!V495/100</f>
        <v>11</v>
      </c>
      <c r="X495" s="3">
        <f>$D495*TCA!W495/100</f>
        <v>0.32</v>
      </c>
    </row>
    <row r="496" spans="1:24" x14ac:dyDescent="0.25">
      <c r="A496" s="3" t="s">
        <v>2029</v>
      </c>
      <c r="B496" s="3" t="s">
        <v>978</v>
      </c>
      <c r="C496" s="3" t="s">
        <v>979</v>
      </c>
      <c r="D496" s="3">
        <v>100</v>
      </c>
      <c r="E496" s="3">
        <f>$D496*TCA!E496/100</f>
        <v>282.82</v>
      </c>
      <c r="F496" s="3">
        <f>$D496*TCA!F496/100</f>
        <v>18.28</v>
      </c>
      <c r="G496" s="3">
        <f>$D496*TCA!G496/100</f>
        <v>23.3</v>
      </c>
      <c r="H496" s="3">
        <f>$D496*TCA!H496/100</f>
        <v>0</v>
      </c>
      <c r="I496" s="3">
        <f>$D496*TCA!I496/100</f>
        <v>0</v>
      </c>
      <c r="J496" s="3">
        <f>$D496*TCA!J496/100</f>
        <v>9.56</v>
      </c>
      <c r="K496" s="3">
        <f>$D496*TCA!K496/100</f>
        <v>10.130000000000001</v>
      </c>
      <c r="L496" s="3">
        <f>$D496*TCA!L496/100</f>
        <v>0.87</v>
      </c>
      <c r="M496" s="3">
        <f>$D496*TCA!M496/100</f>
        <v>68</v>
      </c>
      <c r="N496" s="3">
        <f>$D496*TCA!N496/100</f>
        <v>7</v>
      </c>
      <c r="O496" s="3">
        <f>$D496*TCA!O496/100</f>
        <v>171</v>
      </c>
      <c r="P496" s="3">
        <f t="shared" si="7"/>
        <v>9.3544857768052516</v>
      </c>
      <c r="Q496" s="3">
        <f>$D496*TCA!P496/100</f>
        <v>1.79</v>
      </c>
      <c r="R496" s="3">
        <f>$D496*TCA!Q496/100</f>
        <v>297</v>
      </c>
      <c r="S496" s="3">
        <f>$D496*TCA!R496/100</f>
        <v>53</v>
      </c>
      <c r="T496" s="3">
        <f>$D496*TCA!S496/100</f>
        <v>3.38</v>
      </c>
      <c r="U496" s="3">
        <f>$D496*TCA!T496/100</f>
        <v>0</v>
      </c>
      <c r="V496" s="3">
        <f>$D496*TCA!U496/100</f>
        <v>0</v>
      </c>
      <c r="W496" s="3">
        <f>$D496*TCA!V496/100</f>
        <v>6</v>
      </c>
      <c r="X496" s="3">
        <f>$D496*TCA!W496/100</f>
        <v>2.78</v>
      </c>
    </row>
    <row r="497" spans="1:24" x14ac:dyDescent="0.25">
      <c r="A497" s="3" t="s">
        <v>2029</v>
      </c>
      <c r="B497" s="3" t="s">
        <v>980</v>
      </c>
      <c r="C497" s="3" t="s">
        <v>981</v>
      </c>
      <c r="D497" s="3">
        <v>100</v>
      </c>
      <c r="E497" s="3">
        <f>$D497*TCA!E497/100</f>
        <v>305</v>
      </c>
      <c r="F497" s="3">
        <f>$D497*TCA!F497/100</f>
        <v>50</v>
      </c>
      <c r="G497" s="3">
        <f>$D497*TCA!G497/100</f>
        <v>5</v>
      </c>
      <c r="H497" s="3">
        <f>$D497*TCA!H497/100</f>
        <v>15</v>
      </c>
      <c r="I497" s="3">
        <f>$D497*TCA!I497/100</f>
        <v>0</v>
      </c>
      <c r="J497" s="3">
        <f>$D497*TCA!J497/100</f>
        <v>2.5</v>
      </c>
      <c r="K497" s="3">
        <f>$D497*TCA!K497/100</f>
        <v>0</v>
      </c>
      <c r="L497" s="3">
        <f>$D497*TCA!L497/100</f>
        <v>0</v>
      </c>
      <c r="M497" s="3">
        <f>$D497*TCA!M497/100</f>
        <v>95</v>
      </c>
      <c r="N497" s="3">
        <f>$D497*TCA!N497/100</f>
        <v>0</v>
      </c>
      <c r="O497" s="3">
        <f>$D497*TCA!O497/100</f>
        <v>0</v>
      </c>
      <c r="P497" s="3">
        <f t="shared" si="7"/>
        <v>0</v>
      </c>
      <c r="Q497" s="3">
        <f>$D497*TCA!P497/100</f>
        <v>0</v>
      </c>
      <c r="R497" s="3">
        <f>$D497*TCA!Q497/100</f>
        <v>0</v>
      </c>
      <c r="S497" s="3">
        <f>$D497*TCA!R497/100</f>
        <v>1850</v>
      </c>
      <c r="T497" s="3">
        <f>$D497*TCA!S497/100</f>
        <v>0</v>
      </c>
      <c r="U497" s="3">
        <f>$D497*TCA!T497/100</f>
        <v>0</v>
      </c>
      <c r="V497" s="3">
        <f>$D497*TCA!U497/100</f>
        <v>0</v>
      </c>
      <c r="W497" s="3">
        <f>$D497*TCA!V497/100</f>
        <v>0</v>
      </c>
      <c r="X497" s="3">
        <f>$D497*TCA!W497/100</f>
        <v>0</v>
      </c>
    </row>
    <row r="498" spans="1:24" x14ac:dyDescent="0.25">
      <c r="A498" s="3" t="s">
        <v>2029</v>
      </c>
      <c r="B498" s="3" t="s">
        <v>982</v>
      </c>
      <c r="C498" s="3" t="s">
        <v>983</v>
      </c>
      <c r="D498" s="3">
        <v>100</v>
      </c>
      <c r="E498" s="3">
        <f>$D498*TCA!E498/100</f>
        <v>119.62</v>
      </c>
      <c r="F498" s="3">
        <f>$D498*TCA!F498/100</f>
        <v>22.03</v>
      </c>
      <c r="G498" s="3">
        <f>$D498*TCA!G498/100</f>
        <v>3.5</v>
      </c>
      <c r="H498" s="3">
        <f>$D498*TCA!H498/100</f>
        <v>0</v>
      </c>
      <c r="I498" s="3">
        <f>$D498*TCA!I498/100</f>
        <v>0</v>
      </c>
      <c r="J498" s="3">
        <f>$D498*TCA!J498/100</f>
        <v>1.2</v>
      </c>
      <c r="K498" s="3">
        <f>$D498*TCA!K498/100</f>
        <v>1.48</v>
      </c>
      <c r="L498" s="3">
        <f>$D498*TCA!L498/100</f>
        <v>0.15</v>
      </c>
      <c r="M498" s="3">
        <f>$D498*TCA!M498/100</f>
        <v>58</v>
      </c>
      <c r="N498" s="3">
        <f>$D498*TCA!N498/100</f>
        <v>4</v>
      </c>
      <c r="O498" s="3">
        <f>$D498*TCA!O498/100</f>
        <v>215</v>
      </c>
      <c r="P498" s="3">
        <f t="shared" si="7"/>
        <v>9.7594189741261914</v>
      </c>
      <c r="Q498" s="3">
        <f>$D498*TCA!P498/100</f>
        <v>2.15</v>
      </c>
      <c r="R498" s="3">
        <f>$D498*TCA!Q498/100</f>
        <v>375</v>
      </c>
      <c r="S498" s="3">
        <f>$D498*TCA!R498/100</f>
        <v>57</v>
      </c>
      <c r="T498" s="3">
        <f>$D498*TCA!S498/100</f>
        <v>3.51</v>
      </c>
      <c r="U498" s="3">
        <f>$D498*TCA!T498/100</f>
        <v>0</v>
      </c>
      <c r="V498" s="3">
        <f>$D498*TCA!U498/100</f>
        <v>0</v>
      </c>
      <c r="W498" s="3">
        <f>$D498*TCA!V498/100</f>
        <v>9</v>
      </c>
      <c r="X498" s="3">
        <f>$D498*TCA!W498/100</f>
        <v>2.98</v>
      </c>
    </row>
    <row r="499" spans="1:24" x14ac:dyDescent="0.25">
      <c r="A499" s="3" t="s">
        <v>2029</v>
      </c>
      <c r="B499" s="3" t="s">
        <v>984</v>
      </c>
      <c r="C499" s="3" t="s">
        <v>985</v>
      </c>
      <c r="D499" s="3">
        <v>100</v>
      </c>
      <c r="E499" s="3">
        <f>$D499*TCA!E499/100</f>
        <v>248.8</v>
      </c>
      <c r="F499" s="3">
        <f>$D499*TCA!F499/100</f>
        <v>17.2</v>
      </c>
      <c r="G499" s="3">
        <f>$D499*TCA!G499/100</f>
        <v>20</v>
      </c>
      <c r="H499" s="3">
        <f>$D499*TCA!H499/100</f>
        <v>0</v>
      </c>
      <c r="I499" s="3">
        <f>$D499*TCA!I499/100</f>
        <v>0</v>
      </c>
      <c r="J499" s="3">
        <f>$D499*TCA!J499/100</f>
        <v>7.58</v>
      </c>
      <c r="K499" s="3">
        <f>$D499*TCA!K499/100</f>
        <v>8.85</v>
      </c>
      <c r="L499" s="3">
        <f>$D499*TCA!L499/100</f>
        <v>0.52</v>
      </c>
      <c r="M499" s="3">
        <f>$D499*TCA!M499/100</f>
        <v>71</v>
      </c>
      <c r="N499" s="3">
        <f>$D499*TCA!N499/100</f>
        <v>18</v>
      </c>
      <c r="O499" s="3">
        <f>$D499*TCA!O499/100</f>
        <v>158</v>
      </c>
      <c r="P499" s="3">
        <f t="shared" si="7"/>
        <v>9.1860465116279073</v>
      </c>
      <c r="Q499" s="3">
        <f>$D499*TCA!P499/100</f>
        <v>1.94</v>
      </c>
      <c r="R499" s="3">
        <f>$D499*TCA!Q499/100</f>
        <v>270</v>
      </c>
      <c r="S499" s="3">
        <f>$D499*TCA!R499/100</f>
        <v>66</v>
      </c>
      <c r="T499" s="3">
        <f>$D499*TCA!S499/100</f>
        <v>4.18</v>
      </c>
      <c r="U499" s="3">
        <f>$D499*TCA!T499/100</f>
        <v>0</v>
      </c>
      <c r="V499" s="3">
        <f>$D499*TCA!U499/100</f>
        <v>4</v>
      </c>
      <c r="W499" s="3">
        <f>$D499*TCA!V499/100</f>
        <v>7</v>
      </c>
      <c r="X499" s="3">
        <f>$D499*TCA!W499/100</f>
        <v>2.14</v>
      </c>
    </row>
    <row r="500" spans="1:24" x14ac:dyDescent="0.25">
      <c r="A500" s="3" t="s">
        <v>2029</v>
      </c>
      <c r="B500" s="3" t="s">
        <v>986</v>
      </c>
      <c r="C500" s="3" t="s">
        <v>987</v>
      </c>
      <c r="D500" s="3">
        <v>100</v>
      </c>
      <c r="E500" s="3">
        <f>$D500*TCA!E500/100</f>
        <v>114.92</v>
      </c>
      <c r="F500" s="3">
        <f>$D500*TCA!F500/100</f>
        <v>21.98</v>
      </c>
      <c r="G500" s="3">
        <f>$D500*TCA!G500/100</f>
        <v>3</v>
      </c>
      <c r="H500" s="3">
        <f>$D500*TCA!H500/100</f>
        <v>0</v>
      </c>
      <c r="I500" s="3">
        <f>$D500*TCA!I500/100</f>
        <v>0</v>
      </c>
      <c r="J500" s="3">
        <f>$D500*TCA!J500/100</f>
        <v>1.48</v>
      </c>
      <c r="K500" s="3">
        <f>$D500*TCA!K500/100</f>
        <v>1.1299999999999999</v>
      </c>
      <c r="L500" s="3">
        <f>$D500*TCA!L500/100</f>
        <v>0.22</v>
      </c>
      <c r="M500" s="3">
        <f>$D500*TCA!M500/100</f>
        <v>60</v>
      </c>
      <c r="N500" s="3">
        <f>$D500*TCA!N500/100</f>
        <v>8</v>
      </c>
      <c r="O500" s="3">
        <f>$D500*TCA!O500/100</f>
        <v>203</v>
      </c>
      <c r="P500" s="3">
        <f t="shared" si="7"/>
        <v>9.2356687898089174</v>
      </c>
      <c r="Q500" s="3">
        <f>$D500*TCA!P500/100</f>
        <v>2.44</v>
      </c>
      <c r="R500" s="3">
        <f>$D500*TCA!Q500/100</f>
        <v>357</v>
      </c>
      <c r="S500" s="3">
        <f>$D500*TCA!R500/100</f>
        <v>66</v>
      </c>
      <c r="T500" s="3">
        <f>$D500*TCA!S500/100</f>
        <v>5.21</v>
      </c>
      <c r="U500" s="3">
        <f>$D500*TCA!T500/100</f>
        <v>0</v>
      </c>
      <c r="V500" s="3">
        <f>$D500*TCA!U500/100</f>
        <v>4</v>
      </c>
      <c r="W500" s="3">
        <f>$D500*TCA!V500/100</f>
        <v>4</v>
      </c>
      <c r="X500" s="3">
        <f>$D500*TCA!W500/100</f>
        <v>2.2599999999999998</v>
      </c>
    </row>
    <row r="501" spans="1:24" x14ac:dyDescent="0.25">
      <c r="A501" s="3" t="s">
        <v>2029</v>
      </c>
      <c r="B501" s="3" t="s">
        <v>988</v>
      </c>
      <c r="C501" s="3" t="s">
        <v>989</v>
      </c>
      <c r="D501" s="3">
        <v>100</v>
      </c>
      <c r="E501" s="3">
        <f>$D501*TCA!E501/100</f>
        <v>130.63999999999999</v>
      </c>
      <c r="F501" s="3">
        <f>$D501*TCA!F501/100</f>
        <v>21.41</v>
      </c>
      <c r="G501" s="3">
        <f>$D501*TCA!G501/100</f>
        <v>5</v>
      </c>
      <c r="H501" s="3">
        <f>$D501*TCA!H501/100</f>
        <v>0</v>
      </c>
      <c r="I501" s="3">
        <f>$D501*TCA!I501/100</f>
        <v>0</v>
      </c>
      <c r="J501" s="3">
        <f>$D501*TCA!J501/100</f>
        <v>2.1800000000000002</v>
      </c>
      <c r="K501" s="3">
        <f>$D501*TCA!K501/100</f>
        <v>1.99</v>
      </c>
      <c r="L501" s="3">
        <f>$D501*TCA!L501/100</f>
        <v>0.26</v>
      </c>
      <c r="M501" s="3">
        <f>$D501*TCA!M501/100</f>
        <v>62</v>
      </c>
      <c r="N501" s="3">
        <f>$D501*TCA!N501/100</f>
        <v>9</v>
      </c>
      <c r="O501" s="3">
        <f>$D501*TCA!O501/100</f>
        <v>198</v>
      </c>
      <c r="P501" s="3">
        <f t="shared" si="7"/>
        <v>9.2480149462867818</v>
      </c>
      <c r="Q501" s="3">
        <f>$D501*TCA!P501/100</f>
        <v>2.38</v>
      </c>
      <c r="R501" s="3">
        <f>$D501*TCA!Q501/100</f>
        <v>346</v>
      </c>
      <c r="S501" s="3">
        <f>$D501*TCA!R501/100</f>
        <v>66</v>
      </c>
      <c r="T501" s="3">
        <f>$D501*TCA!S501/100</f>
        <v>5.09</v>
      </c>
      <c r="U501" s="3">
        <f>$D501*TCA!T501/100</f>
        <v>0</v>
      </c>
      <c r="V501" s="3">
        <f>$D501*TCA!U501/100</f>
        <v>4</v>
      </c>
      <c r="W501" s="3">
        <f>$D501*TCA!V501/100</f>
        <v>5</v>
      </c>
      <c r="X501" s="3">
        <f>$D501*TCA!W501/100</f>
        <v>2.2400000000000002</v>
      </c>
    </row>
    <row r="502" spans="1:24" x14ac:dyDescent="0.25">
      <c r="A502" s="3" t="s">
        <v>2029</v>
      </c>
      <c r="B502" s="3" t="s">
        <v>990</v>
      </c>
      <c r="C502" s="3" t="s">
        <v>991</v>
      </c>
      <c r="D502" s="3">
        <v>100</v>
      </c>
      <c r="E502" s="3">
        <f>$D502*TCA!E502/100</f>
        <v>256.77999999999997</v>
      </c>
      <c r="F502" s="3">
        <f>$D502*TCA!F502/100</f>
        <v>26.44</v>
      </c>
      <c r="G502" s="3">
        <f>$D502*TCA!G502/100</f>
        <v>16.78</v>
      </c>
      <c r="H502" s="3">
        <f>$D502*TCA!H502/100</f>
        <v>0</v>
      </c>
      <c r="I502" s="3">
        <f>$D502*TCA!I502/100</f>
        <v>0</v>
      </c>
      <c r="J502" s="3">
        <f>$D502*TCA!J502/100</f>
        <v>6.61</v>
      </c>
      <c r="K502" s="3">
        <f>$D502*TCA!K502/100</f>
        <v>6.99</v>
      </c>
      <c r="L502" s="3">
        <f>$D502*TCA!L502/100</f>
        <v>0.62</v>
      </c>
      <c r="M502" s="3">
        <f>$D502*TCA!M502/100</f>
        <v>88</v>
      </c>
      <c r="N502" s="3">
        <f>$D502*TCA!N502/100</f>
        <v>19</v>
      </c>
      <c r="O502" s="3">
        <f>$D502*TCA!O502/100</f>
        <v>204</v>
      </c>
      <c r="P502" s="3">
        <f t="shared" si="7"/>
        <v>7.7155824508320725</v>
      </c>
      <c r="Q502" s="3">
        <f>$D502*TCA!P502/100</f>
        <v>1.69</v>
      </c>
      <c r="R502" s="3">
        <f>$D502*TCA!Q502/100</f>
        <v>328</v>
      </c>
      <c r="S502" s="3">
        <f>$D502*TCA!R502/100</f>
        <v>54</v>
      </c>
      <c r="T502" s="3">
        <f>$D502*TCA!S502/100</f>
        <v>4.75</v>
      </c>
      <c r="U502" s="3">
        <f>$D502*TCA!T502/100</f>
        <v>0</v>
      </c>
      <c r="V502" s="3">
        <f>$D502*TCA!U502/100</f>
        <v>0</v>
      </c>
      <c r="W502" s="3">
        <f>$D502*TCA!V502/100</f>
        <v>8</v>
      </c>
      <c r="X502" s="3">
        <f>$D502*TCA!W502/100</f>
        <v>1.56</v>
      </c>
    </row>
    <row r="503" spans="1:24" x14ac:dyDescent="0.25">
      <c r="A503" s="3" t="s">
        <v>2029</v>
      </c>
      <c r="B503" s="3" t="s">
        <v>992</v>
      </c>
      <c r="C503" s="3" t="s">
        <v>993</v>
      </c>
      <c r="D503" s="3">
        <v>100</v>
      </c>
      <c r="E503" s="3">
        <f>$D503*TCA!E503/100</f>
        <v>229.07</v>
      </c>
      <c r="F503" s="3">
        <f>$D503*TCA!F503/100</f>
        <v>18.68</v>
      </c>
      <c r="G503" s="3">
        <f>$D503*TCA!G503/100</f>
        <v>17.149999999999999</v>
      </c>
      <c r="H503" s="3">
        <f>$D503*TCA!H503/100</f>
        <v>0</v>
      </c>
      <c r="I503" s="3">
        <f>$D503*TCA!I503/100</f>
        <v>0</v>
      </c>
      <c r="J503" s="3">
        <f>$D503*TCA!J503/100</f>
        <v>6.91</v>
      </c>
      <c r="K503" s="3">
        <f>$D503*TCA!K503/100</f>
        <v>7.42</v>
      </c>
      <c r="L503" s="3">
        <f>$D503*TCA!L503/100</f>
        <v>0.63</v>
      </c>
      <c r="M503" s="3">
        <f>$D503*TCA!M503/100</f>
        <v>66</v>
      </c>
      <c r="N503" s="3">
        <f>$D503*TCA!N503/100</f>
        <v>7</v>
      </c>
      <c r="O503" s="3">
        <f>$D503*TCA!O503/100</f>
        <v>177</v>
      </c>
      <c r="P503" s="3">
        <f t="shared" si="7"/>
        <v>9.475374732334048</v>
      </c>
      <c r="Q503" s="3">
        <f>$D503*TCA!P503/100</f>
        <v>1.91</v>
      </c>
      <c r="R503" s="3">
        <f>$D503*TCA!Q503/100</f>
        <v>306</v>
      </c>
      <c r="S503" s="3">
        <f>$D503*TCA!R503/100</f>
        <v>58</v>
      </c>
      <c r="T503" s="3">
        <f>$D503*TCA!S503/100</f>
        <v>3.75</v>
      </c>
      <c r="U503" s="3">
        <f>$D503*TCA!T503/100</f>
        <v>0</v>
      </c>
      <c r="V503" s="3">
        <f>$D503*TCA!U503/100</f>
        <v>0</v>
      </c>
      <c r="W503" s="3">
        <f>$D503*TCA!V503/100</f>
        <v>6</v>
      </c>
      <c r="X503" s="3">
        <f>$D503*TCA!W503/100</f>
        <v>2.95</v>
      </c>
    </row>
    <row r="504" spans="1:24" x14ac:dyDescent="0.25">
      <c r="A504" s="3" t="s">
        <v>2029</v>
      </c>
      <c r="B504" s="3" t="s">
        <v>994</v>
      </c>
      <c r="C504" s="3" t="s">
        <v>995</v>
      </c>
      <c r="D504" s="3">
        <v>100</v>
      </c>
      <c r="E504" s="3">
        <f>$D504*TCA!E504/100</f>
        <v>282.55</v>
      </c>
      <c r="F504" s="3">
        <f>$D504*TCA!F504/100</f>
        <v>16.75</v>
      </c>
      <c r="G504" s="3">
        <f>$D504*TCA!G504/100</f>
        <v>23.95</v>
      </c>
      <c r="H504" s="3">
        <f>$D504*TCA!H504/100</f>
        <v>0</v>
      </c>
      <c r="I504" s="3">
        <f>$D504*TCA!I504/100</f>
        <v>0</v>
      </c>
      <c r="J504" s="3">
        <f>$D504*TCA!J504/100</f>
        <v>9.8800000000000008</v>
      </c>
      <c r="K504" s="3">
        <f>$D504*TCA!K504/100</f>
        <v>10.32</v>
      </c>
      <c r="L504" s="3">
        <f>$D504*TCA!L504/100</f>
        <v>0.86</v>
      </c>
      <c r="M504" s="3">
        <f>$D504*TCA!M504/100</f>
        <v>70</v>
      </c>
      <c r="N504" s="3">
        <f>$D504*TCA!N504/100</f>
        <v>9</v>
      </c>
      <c r="O504" s="3">
        <f>$D504*TCA!O504/100</f>
        <v>159</v>
      </c>
      <c r="P504" s="3">
        <f t="shared" si="7"/>
        <v>9.4925373134328357</v>
      </c>
      <c r="Q504" s="3">
        <f>$D504*TCA!P504/100</f>
        <v>1.77</v>
      </c>
      <c r="R504" s="3">
        <f>$D504*TCA!Q504/100</f>
        <v>278</v>
      </c>
      <c r="S504" s="3">
        <f>$D504*TCA!R504/100</f>
        <v>55</v>
      </c>
      <c r="T504" s="3">
        <f>$D504*TCA!S504/100</f>
        <v>3.79</v>
      </c>
      <c r="U504" s="3">
        <f>$D504*TCA!T504/100</f>
        <v>0</v>
      </c>
      <c r="V504" s="3">
        <f>$D504*TCA!U504/100</f>
        <v>0</v>
      </c>
      <c r="W504" s="3">
        <f>$D504*TCA!V504/100</f>
        <v>5</v>
      </c>
      <c r="X504" s="3">
        <f>$D504*TCA!W504/100</f>
        <v>2.86</v>
      </c>
    </row>
    <row r="505" spans="1:24" x14ac:dyDescent="0.25">
      <c r="A505" s="3" t="s">
        <v>2029</v>
      </c>
      <c r="B505" s="3" t="s">
        <v>996</v>
      </c>
      <c r="C505" s="3" t="s">
        <v>997</v>
      </c>
      <c r="D505" s="3">
        <v>100</v>
      </c>
      <c r="E505" s="3">
        <f>$D505*TCA!E505/100</f>
        <v>152.9</v>
      </c>
      <c r="F505" s="3">
        <f>$D505*TCA!F505/100</f>
        <v>31.1</v>
      </c>
      <c r="G505" s="3">
        <f>$D505*TCA!G505/100</f>
        <v>1.94</v>
      </c>
      <c r="H505" s="3">
        <f>$D505*TCA!H505/100</f>
        <v>2.76</v>
      </c>
      <c r="I505" s="3">
        <f>$D505*TCA!I505/100</f>
        <v>0</v>
      </c>
      <c r="J505" s="3">
        <f>$D505*TCA!J505/100</f>
        <v>0.95</v>
      </c>
      <c r="K505" s="3">
        <f>$D505*TCA!K505/100</f>
        <v>0.84</v>
      </c>
      <c r="L505" s="3">
        <f>$D505*TCA!L505/100</f>
        <v>7.0000000000000007E-2</v>
      </c>
      <c r="M505" s="3">
        <f>$D505*TCA!M505/100</f>
        <v>79</v>
      </c>
      <c r="N505" s="3">
        <f>$D505*TCA!N505/100</f>
        <v>8</v>
      </c>
      <c r="O505" s="3">
        <f>$D505*TCA!O505/100</f>
        <v>181</v>
      </c>
      <c r="P505" s="3">
        <f t="shared" si="7"/>
        <v>5.819935691318328</v>
      </c>
      <c r="Q505" s="3">
        <f>$D505*TCA!P505/100</f>
        <v>2.42</v>
      </c>
      <c r="R505" s="3">
        <f>$D505*TCA!Q505/100</f>
        <v>235</v>
      </c>
      <c r="S505" s="3">
        <f>$D505*TCA!R505/100</f>
        <v>2790</v>
      </c>
      <c r="T505" s="3">
        <f>$D505*TCA!S505/100</f>
        <v>4.93</v>
      </c>
      <c r="U505" s="3">
        <f>$D505*TCA!T505/100</f>
        <v>0</v>
      </c>
      <c r="V505" s="3">
        <f>$D505*TCA!U505/100</f>
        <v>0</v>
      </c>
      <c r="W505" s="3">
        <f>$D505*TCA!V505/100</f>
        <v>10</v>
      </c>
      <c r="X505" s="3">
        <f>$D505*TCA!W505/100</f>
        <v>1.59</v>
      </c>
    </row>
    <row r="506" spans="1:24" x14ac:dyDescent="0.25">
      <c r="A506" s="3" t="s">
        <v>2029</v>
      </c>
      <c r="B506" s="3" t="s">
        <v>998</v>
      </c>
      <c r="C506" s="3" t="s">
        <v>997</v>
      </c>
      <c r="D506" s="3">
        <v>100</v>
      </c>
      <c r="E506" s="3">
        <f>$D506*TCA!E506/100</f>
        <v>299.7</v>
      </c>
      <c r="F506" s="3">
        <f>$D506*TCA!F506/100</f>
        <v>64.8</v>
      </c>
      <c r="G506" s="3">
        <f>$D506*TCA!G506/100</f>
        <v>4.5</v>
      </c>
      <c r="H506" s="3">
        <f>$D506*TCA!H506/100</f>
        <v>0</v>
      </c>
      <c r="I506" s="3">
        <f>$D506*TCA!I506/100</f>
        <v>0</v>
      </c>
      <c r="J506" s="3">
        <f>$D506*TCA!J506/100</f>
        <v>0</v>
      </c>
      <c r="K506" s="3">
        <f>$D506*TCA!K506/100</f>
        <v>0</v>
      </c>
      <c r="L506" s="3">
        <f>$D506*TCA!L506/100</f>
        <v>0</v>
      </c>
      <c r="M506" s="3">
        <f>$D506*TCA!M506/100</f>
        <v>0</v>
      </c>
      <c r="N506" s="3">
        <f>$D506*TCA!N506/100</f>
        <v>93</v>
      </c>
      <c r="O506" s="3">
        <f>$D506*TCA!O506/100</f>
        <v>161</v>
      </c>
      <c r="P506" s="3">
        <f t="shared" si="7"/>
        <v>2.4845679012345681</v>
      </c>
      <c r="Q506" s="3">
        <f>$D506*TCA!P506/100</f>
        <v>9.6999999999999993</v>
      </c>
      <c r="R506" s="3">
        <f>$D506*TCA!Q506/100</f>
        <v>444</v>
      </c>
      <c r="S506" s="3">
        <f>$D506*TCA!R506/100</f>
        <v>3471</v>
      </c>
      <c r="T506" s="3">
        <f>$D506*TCA!S506/100</f>
        <v>5.24</v>
      </c>
      <c r="U506" s="3">
        <f>$D506*TCA!T506/100</f>
        <v>0</v>
      </c>
      <c r="V506" s="3">
        <f>$D506*TCA!U506/100</f>
        <v>0</v>
      </c>
      <c r="W506" s="3">
        <f>$D506*TCA!V506/100</f>
        <v>0</v>
      </c>
      <c r="X506" s="3">
        <f>$D506*TCA!W506/100</f>
        <v>0</v>
      </c>
    </row>
    <row r="507" spans="1:24" x14ac:dyDescent="0.25">
      <c r="A507" s="3" t="s">
        <v>2029</v>
      </c>
      <c r="B507" s="3" t="s">
        <v>999</v>
      </c>
      <c r="C507" s="3" t="s">
        <v>1000</v>
      </c>
      <c r="D507" s="3">
        <v>100</v>
      </c>
      <c r="E507" s="3">
        <f>$D507*TCA!E507/100</f>
        <v>157.09</v>
      </c>
      <c r="F507" s="3">
        <f>$D507*TCA!F507/100</f>
        <v>28.48</v>
      </c>
      <c r="G507" s="3">
        <f>$D507*TCA!G507/100</f>
        <v>4.7300000000000004</v>
      </c>
      <c r="H507" s="3">
        <f>$D507*TCA!H507/100</f>
        <v>0.15</v>
      </c>
      <c r="I507" s="3">
        <f>$D507*TCA!I507/100</f>
        <v>0</v>
      </c>
      <c r="J507" s="3">
        <f>$D507*TCA!J507/100</f>
        <v>1.4</v>
      </c>
      <c r="K507" s="3">
        <f>$D507*TCA!K507/100</f>
        <v>1.01</v>
      </c>
      <c r="L507" s="3">
        <f>$D507*TCA!L507/100</f>
        <v>0.99</v>
      </c>
      <c r="M507" s="3">
        <f>$D507*TCA!M507/100</f>
        <v>212</v>
      </c>
      <c r="N507" s="3">
        <f>$D507*TCA!N507/100</f>
        <v>5</v>
      </c>
      <c r="O507" s="3">
        <f>$D507*TCA!O507/100</f>
        <v>254</v>
      </c>
      <c r="P507" s="3">
        <f t="shared" si="7"/>
        <v>8.9185393258426959</v>
      </c>
      <c r="Q507" s="3">
        <f>$D507*TCA!P507/100</f>
        <v>6.38</v>
      </c>
      <c r="R507" s="3">
        <f>$D507*TCA!Q507/100</f>
        <v>219</v>
      </c>
      <c r="S507" s="3">
        <f>$D507*TCA!R507/100</f>
        <v>59</v>
      </c>
      <c r="T507" s="3">
        <f>$D507*TCA!S507/100</f>
        <v>2.87</v>
      </c>
      <c r="U507" s="3">
        <f>$D507*TCA!T507/100</f>
        <v>0</v>
      </c>
      <c r="V507" s="3">
        <f>$D507*TCA!U507/100</f>
        <v>0</v>
      </c>
      <c r="W507" s="3">
        <f>$D507*TCA!V507/100</f>
        <v>5</v>
      </c>
      <c r="X507" s="3">
        <f>$D507*TCA!W507/100</f>
        <v>10.8</v>
      </c>
    </row>
    <row r="508" spans="1:24" x14ac:dyDescent="0.25">
      <c r="A508" s="3" t="s">
        <v>2029</v>
      </c>
      <c r="B508" s="3" t="s">
        <v>1001</v>
      </c>
      <c r="C508" s="3" t="s">
        <v>1002</v>
      </c>
      <c r="D508" s="3">
        <v>100</v>
      </c>
      <c r="E508" s="3">
        <f>$D508*TCA!E508/100</f>
        <v>110.6</v>
      </c>
      <c r="F508" s="3">
        <f>$D508*TCA!F508/100</f>
        <v>17</v>
      </c>
      <c r="G508" s="3">
        <f>$D508*TCA!G508/100</f>
        <v>3.4</v>
      </c>
      <c r="H508" s="3">
        <f>$D508*TCA!H508/100</f>
        <v>3</v>
      </c>
      <c r="I508" s="3">
        <f>$D508*TCA!I508/100</f>
        <v>0</v>
      </c>
      <c r="J508" s="3">
        <f>$D508*TCA!J508/100</f>
        <v>1.38</v>
      </c>
      <c r="K508" s="3">
        <f>$D508*TCA!K508/100</f>
        <v>1.1399999999999999</v>
      </c>
      <c r="L508" s="3">
        <f>$D508*TCA!L508/100</f>
        <v>0.55000000000000004</v>
      </c>
      <c r="M508" s="3">
        <f>$D508*TCA!M508/100</f>
        <v>124</v>
      </c>
      <c r="N508" s="3">
        <f>$D508*TCA!N508/100</f>
        <v>10</v>
      </c>
      <c r="O508" s="3">
        <f>$D508*TCA!O508/100</f>
        <v>187</v>
      </c>
      <c r="P508" s="3">
        <f t="shared" si="7"/>
        <v>11</v>
      </c>
      <c r="Q508" s="3">
        <f>$D508*TCA!P508/100</f>
        <v>5.4</v>
      </c>
      <c r="R508" s="3">
        <f>$D508*TCA!Q508/100</f>
        <v>287</v>
      </c>
      <c r="S508" s="3">
        <f>$D508*TCA!R508/100</f>
        <v>98</v>
      </c>
      <c r="T508" s="3">
        <f>$D508*TCA!S508/100</f>
        <v>1.7</v>
      </c>
      <c r="U508" s="3">
        <f>$D508*TCA!T508/100</f>
        <v>0</v>
      </c>
      <c r="V508" s="3">
        <f>$D508*TCA!U508/100</f>
        <v>0</v>
      </c>
      <c r="W508" s="3">
        <f>$D508*TCA!V508/100</f>
        <v>3</v>
      </c>
      <c r="X508" s="3">
        <f>$D508*TCA!W508/100</f>
        <v>8.5500000000000007</v>
      </c>
    </row>
    <row r="509" spans="1:24" x14ac:dyDescent="0.25">
      <c r="A509" s="3" t="s">
        <v>2029</v>
      </c>
      <c r="B509" s="3" t="s">
        <v>1003</v>
      </c>
      <c r="C509" s="3" t="s">
        <v>1004</v>
      </c>
      <c r="D509" s="3">
        <v>100</v>
      </c>
      <c r="E509" s="3">
        <f>$D509*TCA!E509/100</f>
        <v>191.02</v>
      </c>
      <c r="F509" s="3">
        <f>$D509*TCA!F509/100</f>
        <v>32.409999999999997</v>
      </c>
      <c r="G509" s="3">
        <f>$D509*TCA!G509/100</f>
        <v>6.82</v>
      </c>
      <c r="H509" s="3">
        <f>$D509*TCA!H509/100</f>
        <v>0</v>
      </c>
      <c r="I509" s="3">
        <f>$D509*TCA!I509/100</f>
        <v>0</v>
      </c>
      <c r="J509" s="3">
        <f>$D509*TCA!J509/100</f>
        <v>2.08</v>
      </c>
      <c r="K509" s="3">
        <f>$D509*TCA!K509/100</f>
        <v>3.5</v>
      </c>
      <c r="L509" s="3">
        <f>$D509*TCA!L509/100</f>
        <v>0.45</v>
      </c>
      <c r="M509" s="3">
        <f>$D509*TCA!M509/100</f>
        <v>99</v>
      </c>
      <c r="N509" s="3">
        <f>$D509*TCA!N509/100</f>
        <v>16</v>
      </c>
      <c r="O509" s="3">
        <f>$D509*TCA!O509/100</f>
        <v>228</v>
      </c>
      <c r="P509" s="3">
        <f t="shared" si="7"/>
        <v>7.0348657821659986</v>
      </c>
      <c r="Q509" s="3">
        <f>$D509*TCA!P509/100</f>
        <v>2.96</v>
      </c>
      <c r="R509" s="3">
        <f>$D509*TCA!Q509/100</f>
        <v>319</v>
      </c>
      <c r="S509" s="3">
        <f>$D509*TCA!R509/100</f>
        <v>67</v>
      </c>
      <c r="T509" s="3">
        <f>$D509*TCA!S509/100</f>
        <v>8.32</v>
      </c>
      <c r="U509" s="3">
        <f>$D509*TCA!T509/100</f>
        <v>0</v>
      </c>
      <c r="V509" s="3">
        <f>$D509*TCA!U509/100</f>
        <v>2</v>
      </c>
      <c r="W509" s="3">
        <f>$D509*TCA!V509/100</f>
        <v>8</v>
      </c>
      <c r="X509" s="3">
        <f>$D509*TCA!W509/100</f>
        <v>2.73</v>
      </c>
    </row>
    <row r="510" spans="1:24" x14ac:dyDescent="0.25">
      <c r="A510" s="3" t="s">
        <v>2029</v>
      </c>
      <c r="B510" s="3" t="s">
        <v>1005</v>
      </c>
      <c r="C510" s="3" t="s">
        <v>1006</v>
      </c>
      <c r="D510" s="3">
        <v>100</v>
      </c>
      <c r="E510" s="3">
        <f>$D510*TCA!E510/100</f>
        <v>124.35</v>
      </c>
      <c r="F510" s="3">
        <f>$D510*TCA!F510/100</f>
        <v>21.9</v>
      </c>
      <c r="G510" s="3">
        <f>$D510*TCA!G510/100</f>
        <v>3.99</v>
      </c>
      <c r="H510" s="3">
        <f>$D510*TCA!H510/100</f>
        <v>0.21</v>
      </c>
      <c r="I510" s="3">
        <f>$D510*TCA!I510/100</f>
        <v>0</v>
      </c>
      <c r="J510" s="3">
        <f>$D510*TCA!J510/100</f>
        <v>1.75</v>
      </c>
      <c r="K510" s="3">
        <f>$D510*TCA!K510/100</f>
        <v>2.16</v>
      </c>
      <c r="L510" s="3">
        <f>$D510*TCA!L510/100</f>
        <v>0.28999999999999998</v>
      </c>
      <c r="M510" s="3">
        <f>$D510*TCA!M510/100</f>
        <v>66</v>
      </c>
      <c r="N510" s="3">
        <f>$D510*TCA!N510/100</f>
        <v>14</v>
      </c>
      <c r="O510" s="3">
        <f>$D510*TCA!O510/100</f>
        <v>209</v>
      </c>
      <c r="P510" s="3">
        <f t="shared" si="7"/>
        <v>9.5433789954337911</v>
      </c>
      <c r="Q510" s="3">
        <f>$D510*TCA!P510/100</f>
        <v>2.2000000000000002</v>
      </c>
      <c r="R510" s="3">
        <f>$D510*TCA!Q510/100</f>
        <v>359</v>
      </c>
      <c r="S510" s="3">
        <f>$D510*TCA!R510/100</f>
        <v>81</v>
      </c>
      <c r="T510" s="3">
        <f>$D510*TCA!S510/100</f>
        <v>5.51</v>
      </c>
      <c r="U510" s="3">
        <f>$D510*TCA!T510/100</f>
        <v>0</v>
      </c>
      <c r="V510" s="3">
        <f>$D510*TCA!U510/100</f>
        <v>2</v>
      </c>
      <c r="W510" s="3">
        <f>$D510*TCA!V510/100</f>
        <v>4</v>
      </c>
      <c r="X510" s="3">
        <f>$D510*TCA!W510/100</f>
        <v>2.42</v>
      </c>
    </row>
    <row r="511" spans="1:24" x14ac:dyDescent="0.25">
      <c r="A511" s="3" t="s">
        <v>2029</v>
      </c>
      <c r="B511" s="3" t="s">
        <v>1007</v>
      </c>
      <c r="C511" s="3" t="s">
        <v>1008</v>
      </c>
      <c r="D511" s="3">
        <v>100</v>
      </c>
      <c r="E511" s="3">
        <f>$D511*TCA!E511/100</f>
        <v>153.83000000000001</v>
      </c>
      <c r="F511" s="3">
        <f>$D511*TCA!F511/100</f>
        <v>22.1</v>
      </c>
      <c r="G511" s="3">
        <f>$D511*TCA!G511/100</f>
        <v>7.27</v>
      </c>
      <c r="H511" s="3">
        <f>$D511*TCA!H511/100</f>
        <v>0</v>
      </c>
      <c r="I511" s="3">
        <f>$D511*TCA!I511/100</f>
        <v>0</v>
      </c>
      <c r="J511" s="3">
        <f>$D511*TCA!J511/100</f>
        <v>2.78</v>
      </c>
      <c r="K511" s="3">
        <f>$D511*TCA!K511/100</f>
        <v>3.09</v>
      </c>
      <c r="L511" s="3">
        <f>$D511*TCA!L511/100</f>
        <v>0.37</v>
      </c>
      <c r="M511" s="3">
        <f>$D511*TCA!M511/100</f>
        <v>59</v>
      </c>
      <c r="N511" s="3">
        <f>$D511*TCA!N511/100</f>
        <v>21</v>
      </c>
      <c r="O511" s="3">
        <f>$D511*TCA!O511/100</f>
        <v>196</v>
      </c>
      <c r="P511" s="3">
        <f t="shared" si="7"/>
        <v>8.8687782805429851</v>
      </c>
      <c r="Q511" s="3">
        <f>$D511*TCA!P511/100</f>
        <v>1.65</v>
      </c>
      <c r="R511" s="3">
        <f>$D511*TCA!Q511/100</f>
        <v>263</v>
      </c>
      <c r="S511" s="3">
        <f>$D511*TCA!R511/100</f>
        <v>35</v>
      </c>
      <c r="T511" s="3">
        <f>$D511*TCA!S511/100</f>
        <v>3.86</v>
      </c>
      <c r="U511" s="3">
        <f>$D511*TCA!T511/100</f>
        <v>0</v>
      </c>
      <c r="V511" s="3">
        <f>$D511*TCA!U511/100</f>
        <v>0</v>
      </c>
      <c r="W511" s="3">
        <f>$D511*TCA!V511/100</f>
        <v>4</v>
      </c>
      <c r="X511" s="3">
        <f>$D511*TCA!W511/100</f>
        <v>1.79</v>
      </c>
    </row>
    <row r="512" spans="1:24" x14ac:dyDescent="0.25">
      <c r="A512" s="3" t="s">
        <v>2029</v>
      </c>
      <c r="B512" s="3" t="s">
        <v>1009</v>
      </c>
      <c r="C512" s="3" t="s">
        <v>1010</v>
      </c>
      <c r="D512" s="3">
        <v>100</v>
      </c>
      <c r="E512" s="3">
        <f>$D512*TCA!E512/100</f>
        <v>288.56</v>
      </c>
      <c r="F512" s="3">
        <f>$D512*TCA!F512/100</f>
        <v>20</v>
      </c>
      <c r="G512" s="3">
        <f>$D512*TCA!G512/100</f>
        <v>20</v>
      </c>
      <c r="H512" s="3">
        <f>$D512*TCA!H512/100</f>
        <v>7.14</v>
      </c>
      <c r="I512" s="3">
        <f>$D512*TCA!I512/100</f>
        <v>0.7</v>
      </c>
      <c r="J512" s="3">
        <f>$D512*TCA!J512/100</f>
        <v>7.86</v>
      </c>
      <c r="K512" s="3">
        <f>$D512*TCA!K512/100</f>
        <v>0</v>
      </c>
      <c r="L512" s="3">
        <f>$D512*TCA!L512/100</f>
        <v>0</v>
      </c>
      <c r="M512" s="3">
        <f>$D512*TCA!M512/100</f>
        <v>75</v>
      </c>
      <c r="N512" s="3">
        <f>$D512*TCA!N512/100</f>
        <v>7</v>
      </c>
      <c r="O512" s="3">
        <f>$D512*TCA!O512/100</f>
        <v>0</v>
      </c>
      <c r="P512" s="3">
        <f t="shared" si="7"/>
        <v>0</v>
      </c>
      <c r="Q512" s="3">
        <f>$D512*TCA!P512/100</f>
        <v>1.67</v>
      </c>
      <c r="R512" s="3">
        <f>$D512*TCA!Q512/100</f>
        <v>0</v>
      </c>
      <c r="S512" s="3">
        <f>$D512*TCA!R512/100</f>
        <v>181</v>
      </c>
      <c r="T512" s="3">
        <f>$D512*TCA!S512/100</f>
        <v>0</v>
      </c>
      <c r="U512" s="3">
        <f>$D512*TCA!T512/100</f>
        <v>0</v>
      </c>
      <c r="V512" s="3">
        <f>$D512*TCA!U512/100</f>
        <v>0</v>
      </c>
      <c r="W512" s="3">
        <f>$D512*TCA!V512/100</f>
        <v>0</v>
      </c>
      <c r="X512" s="3">
        <f>$D512*TCA!W512/100</f>
        <v>0</v>
      </c>
    </row>
    <row r="513" spans="1:24" x14ac:dyDescent="0.25">
      <c r="A513" s="3" t="s">
        <v>2029</v>
      </c>
      <c r="B513" s="3" t="s">
        <v>1011</v>
      </c>
      <c r="C513" s="3" t="s">
        <v>1012</v>
      </c>
      <c r="D513" s="3">
        <v>100</v>
      </c>
      <c r="E513" s="3">
        <f>$D513*TCA!E513/100</f>
        <v>385.27</v>
      </c>
      <c r="F513" s="3">
        <f>$D513*TCA!F513/100</f>
        <v>14.4</v>
      </c>
      <c r="G513" s="3">
        <f>$D513*TCA!G513/100</f>
        <v>36.229999999999997</v>
      </c>
      <c r="H513" s="3">
        <f>$D513*TCA!H513/100</f>
        <v>0.4</v>
      </c>
      <c r="I513" s="3">
        <f>$D513*TCA!I513/100</f>
        <v>0</v>
      </c>
      <c r="J513" s="3">
        <f>$D513*TCA!J513/100</f>
        <v>15.76</v>
      </c>
      <c r="K513" s="3">
        <f>$D513*TCA!K513/100</f>
        <v>16.39</v>
      </c>
      <c r="L513" s="3">
        <f>$D513*TCA!L513/100</f>
        <v>1.32</v>
      </c>
      <c r="M513" s="3">
        <f>$D513*TCA!M513/100</f>
        <v>76</v>
      </c>
      <c r="N513" s="3">
        <f>$D513*TCA!N513/100</f>
        <v>9</v>
      </c>
      <c r="O513" s="3">
        <f>$D513*TCA!O513/100</f>
        <v>137</v>
      </c>
      <c r="P513" s="3">
        <f t="shared" si="7"/>
        <v>9.5138888888888893</v>
      </c>
      <c r="Q513" s="3">
        <f>$D513*TCA!P513/100</f>
        <v>1.55</v>
      </c>
      <c r="R513" s="3">
        <f>$D513*TCA!Q513/100</f>
        <v>232</v>
      </c>
      <c r="S513" s="3">
        <f>$D513*TCA!R513/100</f>
        <v>49</v>
      </c>
      <c r="T513" s="3">
        <f>$D513*TCA!S513/100</f>
        <v>3.16</v>
      </c>
      <c r="U513" s="3">
        <f>$D513*TCA!T513/100</f>
        <v>0</v>
      </c>
      <c r="V513" s="3">
        <f>$D513*TCA!U513/100</f>
        <v>0</v>
      </c>
      <c r="W513" s="3">
        <f>$D513*TCA!V513/100</f>
        <v>5</v>
      </c>
      <c r="X513" s="3">
        <f>$D513*TCA!W513/100</f>
        <v>2.56</v>
      </c>
    </row>
    <row r="514" spans="1:24" x14ac:dyDescent="0.25">
      <c r="A514" s="3" t="s">
        <v>2029</v>
      </c>
      <c r="B514" s="3" t="s">
        <v>1013</v>
      </c>
      <c r="C514" s="3" t="s">
        <v>1014</v>
      </c>
      <c r="D514" s="3">
        <v>100</v>
      </c>
      <c r="E514" s="3">
        <f>$D514*TCA!E514/100</f>
        <v>291.02</v>
      </c>
      <c r="F514" s="3">
        <f>$D514*TCA!F514/100</f>
        <v>29.87</v>
      </c>
      <c r="G514" s="3">
        <f>$D514*TCA!G514/100</f>
        <v>19.059999999999999</v>
      </c>
      <c r="H514" s="3">
        <f>$D514*TCA!H514/100</f>
        <v>0</v>
      </c>
      <c r="I514" s="3">
        <f>$D514*TCA!I514/100</f>
        <v>0</v>
      </c>
      <c r="J514" s="3">
        <f>$D514*TCA!J514/100</f>
        <v>7.56</v>
      </c>
      <c r="K514" s="3">
        <f>$D514*TCA!K514/100</f>
        <v>8.2100000000000009</v>
      </c>
      <c r="L514" s="3">
        <f>$D514*TCA!L514/100</f>
        <v>0.72</v>
      </c>
      <c r="M514" s="3">
        <f>$D514*TCA!M514/100</f>
        <v>119</v>
      </c>
      <c r="N514" s="3">
        <f>$D514*TCA!N514/100</f>
        <v>17</v>
      </c>
      <c r="O514" s="3">
        <f>$D514*TCA!O514/100</f>
        <v>181</v>
      </c>
      <c r="P514" s="3">
        <f t="shared" si="7"/>
        <v>6.0595915634415798</v>
      </c>
      <c r="Q514" s="3">
        <f>$D514*TCA!P514/100</f>
        <v>2.5099999999999998</v>
      </c>
      <c r="R514" s="3">
        <f>$D514*TCA!Q514/100</f>
        <v>240</v>
      </c>
      <c r="S514" s="3">
        <f>$D514*TCA!R514/100</f>
        <v>372</v>
      </c>
      <c r="T514" s="3">
        <f>$D514*TCA!S514/100</f>
        <v>6.92</v>
      </c>
      <c r="U514" s="3">
        <f>$D514*TCA!T514/100</f>
        <v>0</v>
      </c>
      <c r="V514" s="3">
        <f>$D514*TCA!U514/100</f>
        <v>0</v>
      </c>
      <c r="W514" s="3">
        <f>$D514*TCA!V514/100</f>
        <v>9</v>
      </c>
      <c r="X514" s="3">
        <f>$D514*TCA!W514/100</f>
        <v>2.2000000000000002</v>
      </c>
    </row>
    <row r="515" spans="1:24" x14ac:dyDescent="0.25">
      <c r="A515" s="3" t="s">
        <v>2029</v>
      </c>
      <c r="B515" s="3" t="s">
        <v>1015</v>
      </c>
      <c r="C515" s="3" t="s">
        <v>1016</v>
      </c>
      <c r="D515" s="3">
        <v>100</v>
      </c>
      <c r="E515" s="3">
        <f>$D515*TCA!E515/100</f>
        <v>85.9</v>
      </c>
      <c r="F515" s="3">
        <f>$D515*TCA!F515/100</f>
        <v>14</v>
      </c>
      <c r="G515" s="3">
        <f>$D515*TCA!G515/100</f>
        <v>2.7</v>
      </c>
      <c r="H515" s="3">
        <f>$D515*TCA!H515/100</f>
        <v>1.4</v>
      </c>
      <c r="I515" s="3">
        <f>$D515*TCA!I515/100</f>
        <v>0</v>
      </c>
      <c r="J515" s="3">
        <f>$D515*TCA!J515/100</f>
        <v>1.29</v>
      </c>
      <c r="K515" s="3">
        <f>$D515*TCA!K515/100</f>
        <v>1.53</v>
      </c>
      <c r="L515" s="3">
        <f>$D515*TCA!L515/100</f>
        <v>0.18</v>
      </c>
      <c r="M515" s="3">
        <f>$D515*TCA!M515/100</f>
        <v>122</v>
      </c>
      <c r="N515" s="3">
        <f>$D515*TCA!N515/100</f>
        <v>60</v>
      </c>
      <c r="O515" s="3">
        <f>$D515*TCA!O515/100</f>
        <v>50</v>
      </c>
      <c r="P515" s="3">
        <f t="shared" si="7"/>
        <v>3.5714285714285716</v>
      </c>
      <c r="Q515" s="3">
        <f>$D515*TCA!P515/100</f>
        <v>2.2000000000000002</v>
      </c>
      <c r="R515" s="3">
        <f>$D515*TCA!Q515/100</f>
        <v>67</v>
      </c>
      <c r="S515" s="3">
        <f>$D515*TCA!R515/100</f>
        <v>97</v>
      </c>
      <c r="T515" s="3">
        <f>$D515*TCA!S515/100</f>
        <v>1.42</v>
      </c>
      <c r="U515" s="3">
        <f>$D515*TCA!T515/100</f>
        <v>0</v>
      </c>
      <c r="V515" s="3">
        <f>$D515*TCA!U515/100</f>
        <v>21</v>
      </c>
      <c r="W515" s="3">
        <f>$D515*TCA!V515/100</f>
        <v>5</v>
      </c>
      <c r="X515" s="3">
        <f>$D515*TCA!W515/100</f>
        <v>1.39</v>
      </c>
    </row>
    <row r="516" spans="1:24" x14ac:dyDescent="0.25">
      <c r="A516" s="3" t="s">
        <v>2029</v>
      </c>
      <c r="B516" s="3" t="s">
        <v>1017</v>
      </c>
      <c r="C516" s="3" t="s">
        <v>1018</v>
      </c>
      <c r="D516" s="3">
        <v>100</v>
      </c>
      <c r="E516" s="3">
        <f>$D516*TCA!E516/100</f>
        <v>139.41999999999999</v>
      </c>
      <c r="F516" s="3">
        <f>$D516*TCA!F516/100</f>
        <v>21.22</v>
      </c>
      <c r="G516" s="3">
        <f>$D516*TCA!G516/100</f>
        <v>6.06</v>
      </c>
      <c r="H516" s="3">
        <f>$D516*TCA!H516/100</f>
        <v>0</v>
      </c>
      <c r="I516" s="3">
        <f>$D516*TCA!I516/100</f>
        <v>0</v>
      </c>
      <c r="J516" s="3">
        <f>$D516*TCA!J516/100</f>
        <v>5.87</v>
      </c>
      <c r="K516" s="3">
        <f>$D516*TCA!K516/100</f>
        <v>6.56</v>
      </c>
      <c r="L516" s="3">
        <f>$D516*TCA!L516/100</f>
        <v>0.43</v>
      </c>
      <c r="M516" s="3">
        <f>$D516*TCA!M516/100</f>
        <v>68</v>
      </c>
      <c r="N516" s="3">
        <f>$D516*TCA!N516/100</f>
        <v>15</v>
      </c>
      <c r="O516" s="3">
        <f>$D516*TCA!O516/100</f>
        <v>171</v>
      </c>
      <c r="P516" s="3">
        <f t="shared" ref="P516:P579" si="8">O516/F516</f>
        <v>8.0584354382657875</v>
      </c>
      <c r="Q516" s="3">
        <f>$D516*TCA!P516/100</f>
        <v>2.09</v>
      </c>
      <c r="R516" s="3">
        <f>$D516*TCA!Q516/100</f>
        <v>295</v>
      </c>
      <c r="S516" s="3">
        <f>$D516*TCA!R516/100</f>
        <v>66</v>
      </c>
      <c r="T516" s="3">
        <f>$D516*TCA!S516/100</f>
        <v>4.4800000000000004</v>
      </c>
      <c r="U516" s="3">
        <f>$D516*TCA!T516/100</f>
        <v>0</v>
      </c>
      <c r="V516" s="3">
        <f>$D516*TCA!U516/100</f>
        <v>0</v>
      </c>
      <c r="W516" s="3">
        <f>$D516*TCA!V516/100</f>
        <v>6</v>
      </c>
      <c r="X516" s="3">
        <f>$D516*TCA!W516/100</f>
        <v>2.17</v>
      </c>
    </row>
    <row r="517" spans="1:24" x14ac:dyDescent="0.25">
      <c r="A517" s="3" t="s">
        <v>2029</v>
      </c>
      <c r="B517" s="3" t="s">
        <v>1019</v>
      </c>
      <c r="C517" s="3" t="s">
        <v>1020</v>
      </c>
      <c r="D517" s="3">
        <v>100</v>
      </c>
      <c r="E517" s="3">
        <f>$D517*TCA!E517/100</f>
        <v>217.23</v>
      </c>
      <c r="F517" s="3">
        <f>$D517*TCA!F517/100</f>
        <v>18.87</v>
      </c>
      <c r="G517" s="3">
        <f>$D517*TCA!G517/100</f>
        <v>15.75</v>
      </c>
      <c r="H517" s="3">
        <f>$D517*TCA!H517/100</f>
        <v>0</v>
      </c>
      <c r="I517" s="3">
        <f>$D517*TCA!I517/100</f>
        <v>0</v>
      </c>
      <c r="J517" s="3">
        <f>$D517*TCA!J517/100</f>
        <v>6.37</v>
      </c>
      <c r="K517" s="3">
        <f>$D517*TCA!K517/100</f>
        <v>6.82</v>
      </c>
      <c r="L517" s="3">
        <f>$D517*TCA!L517/100</f>
        <v>0.57999999999999996</v>
      </c>
      <c r="M517" s="3">
        <f>$D517*TCA!M517/100</f>
        <v>65</v>
      </c>
      <c r="N517" s="3">
        <f>$D517*TCA!N517/100</f>
        <v>7</v>
      </c>
      <c r="O517" s="3">
        <f>$D517*TCA!O517/100</f>
        <v>178</v>
      </c>
      <c r="P517" s="3">
        <f t="shared" si="8"/>
        <v>9.4329623741388442</v>
      </c>
      <c r="Q517" s="3">
        <f>$D517*TCA!P517/100</f>
        <v>1.92</v>
      </c>
      <c r="R517" s="3">
        <f>$D517*TCA!Q517/100</f>
        <v>309</v>
      </c>
      <c r="S517" s="3">
        <f>$D517*TCA!R517/100</f>
        <v>58</v>
      </c>
      <c r="T517" s="3">
        <f>$D517*TCA!S517/100</f>
        <v>3.79</v>
      </c>
      <c r="U517" s="3">
        <f>$D517*TCA!T517/100</f>
        <v>0</v>
      </c>
      <c r="V517" s="3">
        <f>$D517*TCA!U517/100</f>
        <v>0</v>
      </c>
      <c r="W517" s="3">
        <f>$D517*TCA!V517/100</f>
        <v>7</v>
      </c>
      <c r="X517" s="3">
        <f>$D517*TCA!W517/100</f>
        <v>2.97</v>
      </c>
    </row>
    <row r="518" spans="1:24" x14ac:dyDescent="0.25">
      <c r="A518" s="3" t="s">
        <v>2029</v>
      </c>
      <c r="B518" s="3" t="s">
        <v>1021</v>
      </c>
      <c r="C518" s="3" t="s">
        <v>1022</v>
      </c>
      <c r="D518" s="3">
        <v>100</v>
      </c>
      <c r="E518" s="3">
        <f>$D518*TCA!E518/100</f>
        <v>207.74</v>
      </c>
      <c r="F518" s="3">
        <f>$D518*TCA!F518/100</f>
        <v>20.12</v>
      </c>
      <c r="G518" s="3">
        <f>$D518*TCA!G518/100</f>
        <v>14.14</v>
      </c>
      <c r="H518" s="3">
        <f>$D518*TCA!H518/100</f>
        <v>0</v>
      </c>
      <c r="I518" s="3">
        <f>$D518*TCA!I518/100</f>
        <v>0</v>
      </c>
      <c r="J518" s="3">
        <f>$D518*TCA!J518/100</f>
        <v>6.29</v>
      </c>
      <c r="K518" s="3">
        <f>$D518*TCA!K518/100</f>
        <v>6.77</v>
      </c>
      <c r="L518" s="3">
        <f>$D518*TCA!L518/100</f>
        <v>0.69</v>
      </c>
      <c r="M518" s="3">
        <f>$D518*TCA!M518/100</f>
        <v>61</v>
      </c>
      <c r="N518" s="3">
        <f>$D518*TCA!N518/100</f>
        <v>7</v>
      </c>
      <c r="O518" s="3">
        <f>$D518*TCA!O518/100</f>
        <v>144</v>
      </c>
      <c r="P518" s="3">
        <f t="shared" si="8"/>
        <v>7.1570576540755466</v>
      </c>
      <c r="Q518" s="3">
        <f>$D518*TCA!P518/100</f>
        <v>1.72</v>
      </c>
      <c r="R518" s="3">
        <f>$D518*TCA!Q518/100</f>
        <v>268</v>
      </c>
      <c r="S518" s="3">
        <f>$D518*TCA!R518/100</f>
        <v>52</v>
      </c>
      <c r="T518" s="3">
        <f>$D518*TCA!S518/100</f>
        <v>5.13</v>
      </c>
      <c r="U518" s="3">
        <f>$D518*TCA!T518/100</f>
        <v>0</v>
      </c>
      <c r="V518" s="3">
        <f>$D518*TCA!U518/100</f>
        <v>4.5</v>
      </c>
      <c r="W518" s="3">
        <f>$D518*TCA!V518/100</f>
        <v>3</v>
      </c>
      <c r="X518" s="3">
        <f>$D518*TCA!W518/100</f>
        <v>1.66</v>
      </c>
    </row>
    <row r="519" spans="1:24" x14ac:dyDescent="0.25">
      <c r="A519" s="3" t="s">
        <v>2029</v>
      </c>
      <c r="B519" s="3" t="s">
        <v>1023</v>
      </c>
      <c r="C519" s="3" t="s">
        <v>1024</v>
      </c>
      <c r="D519" s="3">
        <v>100</v>
      </c>
      <c r="E519" s="3">
        <f>$D519*TCA!E519/100</f>
        <v>184.18</v>
      </c>
      <c r="F519" s="3">
        <f>$D519*TCA!F519/100</f>
        <v>29.08</v>
      </c>
      <c r="G519" s="3">
        <f>$D519*TCA!G519/100</f>
        <v>5.26</v>
      </c>
      <c r="H519" s="3">
        <f>$D519*TCA!H519/100</f>
        <v>5.13</v>
      </c>
      <c r="I519" s="3">
        <f>$D519*TCA!I519/100</f>
        <v>0</v>
      </c>
      <c r="J519" s="3">
        <f>$D519*TCA!J519/100</f>
        <v>1.7</v>
      </c>
      <c r="K519" s="3">
        <f>$D519*TCA!K519/100</f>
        <v>0.65</v>
      </c>
      <c r="L519" s="3">
        <f>$D519*TCA!L519/100</f>
        <v>1.04</v>
      </c>
      <c r="M519" s="3">
        <f>$D519*TCA!M519/100</f>
        <v>396</v>
      </c>
      <c r="N519" s="3">
        <f>$D519*TCA!N519/100</f>
        <v>6</v>
      </c>
      <c r="O519" s="3">
        <f>$D519*TCA!O519/100</f>
        <v>497</v>
      </c>
      <c r="P519" s="3">
        <f t="shared" si="8"/>
        <v>17.090784044016509</v>
      </c>
      <c r="Q519" s="3">
        <f>$D519*TCA!P519/100</f>
        <v>6.54</v>
      </c>
      <c r="R519" s="3">
        <f>$D519*TCA!Q519/100</f>
        <v>352</v>
      </c>
      <c r="S519" s="3">
        <f>$D519*TCA!R519/100</f>
        <v>79</v>
      </c>
      <c r="T519" s="3">
        <f>$D519*TCA!S519/100</f>
        <v>5.3</v>
      </c>
      <c r="U519" s="3">
        <f>$D519*TCA!T519/100</f>
        <v>2</v>
      </c>
      <c r="V519" s="3">
        <f>$D519*TCA!U519/100</f>
        <v>9442</v>
      </c>
      <c r="W519" s="3">
        <f>$D519*TCA!V519/100</f>
        <v>253</v>
      </c>
      <c r="X519" s="3">
        <f>$D519*TCA!W519/100</f>
        <v>70.58</v>
      </c>
    </row>
    <row r="520" spans="1:24" x14ac:dyDescent="0.25">
      <c r="A520" s="3" t="s">
        <v>2029</v>
      </c>
      <c r="B520" s="3" t="s">
        <v>1025</v>
      </c>
      <c r="C520" s="3" t="s">
        <v>1026</v>
      </c>
      <c r="D520" s="3">
        <v>100</v>
      </c>
      <c r="E520" s="3">
        <f>$D520*TCA!E520/100</f>
        <v>129.66999999999999</v>
      </c>
      <c r="F520" s="3">
        <f>$D520*TCA!F520/100</f>
        <v>20.36</v>
      </c>
      <c r="G520" s="3">
        <f>$D520*TCA!G520/100</f>
        <v>3.63</v>
      </c>
      <c r="H520" s="3">
        <f>$D520*TCA!H520/100</f>
        <v>3.89</v>
      </c>
      <c r="I520" s="3">
        <f>$D520*TCA!I520/100</f>
        <v>0</v>
      </c>
      <c r="J520" s="3">
        <f>$D520*TCA!J520/100</f>
        <v>1.23</v>
      </c>
      <c r="K520" s="3">
        <f>$D520*TCA!K520/100</f>
        <v>0.48</v>
      </c>
      <c r="L520" s="3">
        <f>$D520*TCA!L520/100</f>
        <v>0.47</v>
      </c>
      <c r="M520" s="3">
        <f>$D520*TCA!M520/100</f>
        <v>275</v>
      </c>
      <c r="N520" s="3">
        <f>$D520*TCA!N520/100</f>
        <v>5</v>
      </c>
      <c r="O520" s="3">
        <f>$D520*TCA!O520/100</f>
        <v>387</v>
      </c>
      <c r="P520" s="3">
        <f t="shared" si="8"/>
        <v>19.007858546168958</v>
      </c>
      <c r="Q520" s="3">
        <f>$D520*TCA!P520/100</f>
        <v>4.9000000000000004</v>
      </c>
      <c r="R520" s="3">
        <f>$D520*TCA!Q520/100</f>
        <v>313</v>
      </c>
      <c r="S520" s="3">
        <f>$D520*TCA!R520/100</f>
        <v>69</v>
      </c>
      <c r="T520" s="3">
        <f>$D520*TCA!S520/100</f>
        <v>4</v>
      </c>
      <c r="U520" s="3">
        <f>$D520*TCA!T520/100</f>
        <v>1</v>
      </c>
      <c r="V520" s="3">
        <f>$D520*TCA!U520/100</f>
        <v>8082</v>
      </c>
      <c r="W520" s="3">
        <f>$D520*TCA!V520/100</f>
        <v>290</v>
      </c>
      <c r="X520" s="3">
        <f>$D520*TCA!W520/100</f>
        <v>59.3</v>
      </c>
    </row>
    <row r="521" spans="1:24" x14ac:dyDescent="0.25">
      <c r="A521" s="3" t="s">
        <v>2029</v>
      </c>
      <c r="B521" s="3" t="s">
        <v>1027</v>
      </c>
      <c r="C521" s="3" t="s">
        <v>1028</v>
      </c>
      <c r="D521" s="3">
        <v>100</v>
      </c>
      <c r="E521" s="3">
        <f>$D521*TCA!E521/100</f>
        <v>215.9</v>
      </c>
      <c r="F521" s="3">
        <f>$D521*TCA!F521/100</f>
        <v>11</v>
      </c>
      <c r="G521" s="3">
        <f>$D521*TCA!G521/100</f>
        <v>19.100000000000001</v>
      </c>
      <c r="H521" s="3">
        <f>$D521*TCA!H521/100</f>
        <v>0</v>
      </c>
      <c r="I521" s="3">
        <f>$D521*TCA!I521/100</f>
        <v>0</v>
      </c>
      <c r="J521" s="3">
        <f>$D521*TCA!J521/100</f>
        <v>15</v>
      </c>
      <c r="K521" s="3">
        <f>$D521*TCA!K521/100</f>
        <v>1.31</v>
      </c>
      <c r="L521" s="3">
        <f>$D521*TCA!L521/100</f>
        <v>1.1000000000000001</v>
      </c>
      <c r="M521" s="3">
        <f>$D521*TCA!M521/100</f>
        <v>150</v>
      </c>
      <c r="N521" s="3">
        <f>$D521*TCA!N521/100</f>
        <v>12</v>
      </c>
      <c r="O521" s="3">
        <f>$D521*TCA!O521/100</f>
        <v>110</v>
      </c>
      <c r="P521" s="3">
        <f t="shared" si="8"/>
        <v>10</v>
      </c>
      <c r="Q521" s="3">
        <f>$D521*TCA!P521/100</f>
        <v>1.8</v>
      </c>
      <c r="R521" s="3">
        <f>$D521*TCA!Q521/100</f>
        <v>270</v>
      </c>
      <c r="S521" s="3">
        <f>$D521*TCA!R521/100</f>
        <v>46</v>
      </c>
      <c r="T521" s="3">
        <f>$D521*TCA!S521/100</f>
        <v>2.4700000000000002</v>
      </c>
      <c r="U521" s="3">
        <f>$D521*TCA!T521/100</f>
        <v>0</v>
      </c>
      <c r="V521" s="3">
        <f>$D521*TCA!U521/100</f>
        <v>53</v>
      </c>
      <c r="W521" s="3">
        <f>$D521*TCA!V521/100</f>
        <v>0</v>
      </c>
      <c r="X521" s="3">
        <f>$D521*TCA!W521/100</f>
        <v>0.1</v>
      </c>
    </row>
    <row r="522" spans="1:24" x14ac:dyDescent="0.25">
      <c r="A522" s="3" t="s">
        <v>2029</v>
      </c>
      <c r="B522" s="3" t="s">
        <v>1029</v>
      </c>
      <c r="C522" s="3" t="s">
        <v>1030</v>
      </c>
      <c r="D522" s="3">
        <v>100</v>
      </c>
      <c r="E522" s="3">
        <f>$D522*TCA!E522/100</f>
        <v>282.36</v>
      </c>
      <c r="F522" s="3">
        <f>$D522*TCA!F522/100</f>
        <v>19.29</v>
      </c>
      <c r="G522" s="3">
        <f>$D522*TCA!G522/100</f>
        <v>22.8</v>
      </c>
      <c r="H522" s="3">
        <f>$D522*TCA!H522/100</f>
        <v>0</v>
      </c>
      <c r="I522" s="3">
        <f>$D522*TCA!I522/100</f>
        <v>0</v>
      </c>
      <c r="J522" s="3">
        <f>$D522*TCA!J522/100</f>
        <v>8.1300000000000008</v>
      </c>
      <c r="K522" s="3">
        <f>$D522*TCA!K522/100</f>
        <v>10.1</v>
      </c>
      <c r="L522" s="3">
        <f>$D522*TCA!L522/100</f>
        <v>0.75</v>
      </c>
      <c r="M522" s="3">
        <f>$D522*TCA!M522/100</f>
        <v>132</v>
      </c>
      <c r="N522" s="3">
        <f>$D522*TCA!N522/100</f>
        <v>5</v>
      </c>
      <c r="O522" s="3">
        <f>$D522*TCA!O522/100</f>
        <v>145</v>
      </c>
      <c r="P522" s="3">
        <f t="shared" si="8"/>
        <v>7.5168481078278901</v>
      </c>
      <c r="Q522" s="3">
        <f>$D522*TCA!P522/100</f>
        <v>2.61</v>
      </c>
      <c r="R522" s="3">
        <f>$D522*TCA!Q522/100</f>
        <v>184</v>
      </c>
      <c r="S522" s="3">
        <f>$D522*TCA!R522/100</f>
        <v>65</v>
      </c>
      <c r="T522" s="3">
        <f>$D522*TCA!S522/100</f>
        <v>4.09</v>
      </c>
      <c r="U522" s="3">
        <f>$D522*TCA!T522/100</f>
        <v>1</v>
      </c>
      <c r="V522" s="3">
        <f>$D522*TCA!U522/100</f>
        <v>0</v>
      </c>
      <c r="W522" s="3">
        <f>$D522*TCA!V522/100</f>
        <v>7</v>
      </c>
      <c r="X522" s="3">
        <f>$D522*TCA!W522/100</f>
        <v>3.13</v>
      </c>
    </row>
    <row r="523" spans="1:24" x14ac:dyDescent="0.25">
      <c r="A523" s="3" t="s">
        <v>2029</v>
      </c>
      <c r="B523" s="3" t="s">
        <v>1031</v>
      </c>
      <c r="C523" s="3" t="s">
        <v>1032</v>
      </c>
      <c r="D523" s="3">
        <v>100</v>
      </c>
      <c r="E523" s="3">
        <f>$D523*TCA!E523/100</f>
        <v>219.13</v>
      </c>
      <c r="F523" s="3">
        <f>$D523*TCA!F523/100</f>
        <v>14.9</v>
      </c>
      <c r="G523" s="3">
        <f>$D523*TCA!G523/100</f>
        <v>16.09</v>
      </c>
      <c r="H523" s="3">
        <f>$D523*TCA!H523/100</f>
        <v>3.68</v>
      </c>
      <c r="I523" s="3">
        <f>$D523*TCA!I523/100</f>
        <v>0</v>
      </c>
      <c r="J523" s="3">
        <f>$D523*TCA!J523/100</f>
        <v>7</v>
      </c>
      <c r="K523" s="3">
        <f>$D523*TCA!K523/100</f>
        <v>7.24</v>
      </c>
      <c r="L523" s="3">
        <f>$D523*TCA!L523/100</f>
        <v>0.9</v>
      </c>
      <c r="M523" s="3">
        <f>$D523*TCA!M523/100</f>
        <v>87</v>
      </c>
      <c r="N523" s="3">
        <f>$D523*TCA!N523/100</f>
        <v>6</v>
      </c>
      <c r="O523" s="3">
        <f>$D523*TCA!O523/100</f>
        <v>133</v>
      </c>
      <c r="P523" s="3">
        <f t="shared" si="8"/>
        <v>8.9261744966442951</v>
      </c>
      <c r="Q523" s="3">
        <f>$D523*TCA!P523/100</f>
        <v>2.95</v>
      </c>
      <c r="R523" s="3">
        <f>$D523*TCA!Q523/100</f>
        <v>315</v>
      </c>
      <c r="S523" s="3">
        <f>$D523*TCA!R523/100</f>
        <v>69</v>
      </c>
      <c r="T523" s="3">
        <f>$D523*TCA!S523/100</f>
        <v>2.87</v>
      </c>
      <c r="U523" s="3">
        <f>$D523*TCA!T523/100</f>
        <v>3</v>
      </c>
      <c r="V523" s="3">
        <f>$D523*TCA!U523/100</f>
        <v>0</v>
      </c>
      <c r="W523" s="3">
        <f>$D523*TCA!V523/100</f>
        <v>7</v>
      </c>
      <c r="X523" s="3">
        <f>$D523*TCA!W523/100</f>
        <v>3.79</v>
      </c>
    </row>
    <row r="524" spans="1:24" x14ac:dyDescent="0.25">
      <c r="A524" s="3" t="s">
        <v>2029</v>
      </c>
      <c r="B524" s="3" t="s">
        <v>1033</v>
      </c>
      <c r="C524" s="3" t="s">
        <v>1034</v>
      </c>
      <c r="D524" s="3">
        <v>100</v>
      </c>
      <c r="E524" s="3">
        <f>$D524*TCA!E524/100</f>
        <v>253.75</v>
      </c>
      <c r="F524" s="3">
        <f>$D524*TCA!F524/100</f>
        <v>26.11</v>
      </c>
      <c r="G524" s="3">
        <f>$D524*TCA!G524/100</f>
        <v>16.59</v>
      </c>
      <c r="H524" s="3">
        <f>$D524*TCA!H524/100</f>
        <v>0</v>
      </c>
      <c r="I524" s="3">
        <f>$D524*TCA!I524/100</f>
        <v>0</v>
      </c>
      <c r="J524" s="3">
        <f>$D524*TCA!J524/100</f>
        <v>6.78</v>
      </c>
      <c r="K524" s="3">
        <f>$D524*TCA!K524/100</f>
        <v>7.41</v>
      </c>
      <c r="L524" s="3">
        <f>$D524*TCA!L524/100</f>
        <v>0.73</v>
      </c>
      <c r="M524" s="3">
        <f>$D524*TCA!M524/100</f>
        <v>87</v>
      </c>
      <c r="N524" s="3">
        <f>$D524*TCA!N524/100</f>
        <v>13</v>
      </c>
      <c r="O524" s="3">
        <f>$D524*TCA!O524/100</f>
        <v>180</v>
      </c>
      <c r="P524" s="3">
        <f t="shared" si="8"/>
        <v>6.8939103791650709</v>
      </c>
      <c r="Q524" s="3">
        <f>$D524*TCA!P524/100</f>
        <v>2.2000000000000002</v>
      </c>
      <c r="R524" s="3">
        <f>$D524*TCA!Q524/100</f>
        <v>271</v>
      </c>
      <c r="S524" s="3">
        <f>$D524*TCA!R524/100</f>
        <v>50</v>
      </c>
      <c r="T524" s="3">
        <f>$D524*TCA!S524/100</f>
        <v>5.0999999999999996</v>
      </c>
      <c r="U524" s="3">
        <f>$D524*TCA!T524/100</f>
        <v>0</v>
      </c>
      <c r="V524" s="3">
        <f>$D524*TCA!U524/100</f>
        <v>3</v>
      </c>
      <c r="W524" s="3">
        <f>$D524*TCA!V524/100</f>
        <v>7</v>
      </c>
      <c r="X524" s="3">
        <f>$D524*TCA!W524/100</f>
        <v>1.81</v>
      </c>
    </row>
    <row r="525" spans="1:24" x14ac:dyDescent="0.25">
      <c r="A525" s="3" t="s">
        <v>2029</v>
      </c>
      <c r="B525" s="3" t="s">
        <v>1035</v>
      </c>
      <c r="C525" s="3" t="s">
        <v>1036</v>
      </c>
      <c r="D525" s="3">
        <v>100</v>
      </c>
      <c r="E525" s="3">
        <f>$D525*TCA!E525/100</f>
        <v>187.84</v>
      </c>
      <c r="F525" s="3">
        <f>$D525*TCA!F525/100</f>
        <v>19.059999999999999</v>
      </c>
      <c r="G525" s="3">
        <f>$D525*TCA!G525/100</f>
        <v>12.4</v>
      </c>
      <c r="H525" s="3">
        <f>$D525*TCA!H525/100</f>
        <v>0</v>
      </c>
      <c r="I525" s="3">
        <f>$D525*TCA!I525/100</f>
        <v>0</v>
      </c>
      <c r="J525" s="3">
        <f>$D525*TCA!J525/100</f>
        <v>5.22</v>
      </c>
      <c r="K525" s="3">
        <f>$D525*TCA!K525/100</f>
        <v>5.62</v>
      </c>
      <c r="L525" s="3">
        <f>$D525*TCA!L525/100</f>
        <v>0.54</v>
      </c>
      <c r="M525" s="3">
        <f>$D525*TCA!M525/100</f>
        <v>68</v>
      </c>
      <c r="N525" s="3">
        <f>$D525*TCA!N525/100</f>
        <v>17</v>
      </c>
      <c r="O525" s="3">
        <f>$D525*TCA!O525/100</f>
        <v>168</v>
      </c>
      <c r="P525" s="3">
        <f t="shared" si="8"/>
        <v>8.8142707240293809</v>
      </c>
      <c r="Q525" s="3">
        <f>$D525*TCA!P525/100</f>
        <v>1.52</v>
      </c>
      <c r="R525" s="3">
        <f>$D525*TCA!Q525/100</f>
        <v>279</v>
      </c>
      <c r="S525" s="3">
        <f>$D525*TCA!R525/100</f>
        <v>51</v>
      </c>
      <c r="T525" s="3">
        <f>$D525*TCA!S525/100</f>
        <v>3.84</v>
      </c>
      <c r="U525" s="3">
        <f>$D525*TCA!T525/100</f>
        <v>0</v>
      </c>
      <c r="V525" s="3">
        <f>$D525*TCA!U525/100</f>
        <v>2</v>
      </c>
      <c r="W525" s="3">
        <f>$D525*TCA!V525/100</f>
        <v>7</v>
      </c>
      <c r="X525" s="3">
        <f>$D525*TCA!W525/100</f>
        <v>1.29</v>
      </c>
    </row>
    <row r="526" spans="1:24" x14ac:dyDescent="0.25">
      <c r="A526" s="3" t="s">
        <v>2029</v>
      </c>
      <c r="B526" s="3" t="s">
        <v>1037</v>
      </c>
      <c r="C526" s="3" t="s">
        <v>1038</v>
      </c>
      <c r="D526" s="3">
        <v>100</v>
      </c>
      <c r="E526" s="3">
        <f>$D526*TCA!E526/100</f>
        <v>137.01</v>
      </c>
      <c r="F526" s="3">
        <f>$D526*TCA!F526/100</f>
        <v>22.35</v>
      </c>
      <c r="G526" s="3">
        <f>$D526*TCA!G526/100</f>
        <v>5.29</v>
      </c>
      <c r="H526" s="3">
        <f>$D526*TCA!H526/100</f>
        <v>0</v>
      </c>
      <c r="I526" s="3">
        <f>$D526*TCA!I526/100</f>
        <v>0</v>
      </c>
      <c r="J526" s="3">
        <f>$D526*TCA!J526/100</f>
        <v>1.76</v>
      </c>
      <c r="K526" s="3">
        <f>$D526*TCA!K526/100</f>
        <v>0</v>
      </c>
      <c r="L526" s="3">
        <f>$D526*TCA!L526/100</f>
        <v>0</v>
      </c>
      <c r="M526" s="3">
        <f>$D526*TCA!M526/100</f>
        <v>75</v>
      </c>
      <c r="N526" s="3">
        <f>$D526*TCA!N526/100</f>
        <v>29</v>
      </c>
      <c r="O526" s="3">
        <f>$D526*TCA!O526/100</f>
        <v>0</v>
      </c>
      <c r="P526" s="3">
        <f t="shared" si="8"/>
        <v>0</v>
      </c>
      <c r="Q526" s="3">
        <f>$D526*TCA!P526/100</f>
        <v>2.12</v>
      </c>
      <c r="R526" s="3">
        <f>$D526*TCA!Q526/100</f>
        <v>0</v>
      </c>
      <c r="S526" s="3">
        <f>$D526*TCA!R526/100</f>
        <v>41</v>
      </c>
      <c r="T526" s="3">
        <f>$D526*TCA!S526/100</f>
        <v>0</v>
      </c>
      <c r="U526" s="3">
        <f>$D526*TCA!T526/100</f>
        <v>0</v>
      </c>
      <c r="V526" s="3">
        <f>$D526*TCA!U526/100</f>
        <v>0</v>
      </c>
      <c r="W526" s="3">
        <f>$D526*TCA!V526/100</f>
        <v>0</v>
      </c>
      <c r="X526" s="3">
        <f>$D526*TCA!W526/100</f>
        <v>0</v>
      </c>
    </row>
    <row r="527" spans="1:24" x14ac:dyDescent="0.25">
      <c r="A527" s="3" t="s">
        <v>2029</v>
      </c>
      <c r="B527" s="3" t="s">
        <v>1039</v>
      </c>
      <c r="C527" s="3" t="s">
        <v>1040</v>
      </c>
      <c r="D527" s="3">
        <v>100</v>
      </c>
      <c r="E527" s="3">
        <f>$D527*TCA!E527/100</f>
        <v>78.900000000000006</v>
      </c>
      <c r="F527" s="3">
        <f>$D527*TCA!F527/100</f>
        <v>12.1</v>
      </c>
      <c r="G527" s="3">
        <f>$D527*TCA!G527/100</f>
        <v>2.9</v>
      </c>
      <c r="H527" s="3">
        <f>$D527*TCA!H527/100</f>
        <v>1.1000000000000001</v>
      </c>
      <c r="I527" s="3">
        <f>$D527*TCA!I527/100</f>
        <v>0</v>
      </c>
      <c r="J527" s="3">
        <f>$D527*TCA!J527/100</f>
        <v>0</v>
      </c>
      <c r="K527" s="3">
        <f>$D527*TCA!K527/100</f>
        <v>0</v>
      </c>
      <c r="L527" s="3">
        <f>$D527*TCA!L527/100</f>
        <v>0</v>
      </c>
      <c r="M527" s="3">
        <f>$D527*TCA!M527/100</f>
        <v>0</v>
      </c>
      <c r="N527" s="3">
        <f>$D527*TCA!N527/100</f>
        <v>101</v>
      </c>
      <c r="O527" s="3">
        <f>$D527*TCA!O527/100</f>
        <v>0</v>
      </c>
      <c r="P527" s="3">
        <f t="shared" si="8"/>
        <v>0</v>
      </c>
      <c r="Q527" s="3">
        <f>$D527*TCA!P527/100</f>
        <v>2</v>
      </c>
      <c r="R527" s="3">
        <f>$D527*TCA!Q527/100</f>
        <v>0</v>
      </c>
      <c r="S527" s="3">
        <f>$D527*TCA!R527/100</f>
        <v>0</v>
      </c>
      <c r="T527" s="3">
        <f>$D527*TCA!S527/100</f>
        <v>0</v>
      </c>
      <c r="U527" s="3">
        <f>$D527*TCA!T527/100</f>
        <v>0</v>
      </c>
      <c r="V527" s="3">
        <f>$D527*TCA!U527/100</f>
        <v>0</v>
      </c>
      <c r="W527" s="3">
        <f>$D527*TCA!V527/100</f>
        <v>0</v>
      </c>
      <c r="X527" s="3">
        <f>$D527*TCA!W527/100</f>
        <v>0</v>
      </c>
    </row>
    <row r="528" spans="1:24" x14ac:dyDescent="0.25">
      <c r="A528" s="3" t="s">
        <v>2029</v>
      </c>
      <c r="B528" s="3" t="s">
        <v>1041</v>
      </c>
      <c r="C528" s="3" t="s">
        <v>1042</v>
      </c>
      <c r="D528" s="3">
        <v>100</v>
      </c>
      <c r="E528" s="3">
        <f>$D528*TCA!E528/100</f>
        <v>150.93</v>
      </c>
      <c r="F528" s="3">
        <f>$D528*TCA!F528/100</f>
        <v>27.27</v>
      </c>
      <c r="G528" s="3">
        <f>$D528*TCA!G528/100</f>
        <v>4.6500000000000004</v>
      </c>
      <c r="H528" s="3">
        <f>$D528*TCA!H528/100</f>
        <v>0</v>
      </c>
      <c r="I528" s="3">
        <f>$D528*TCA!I528/100</f>
        <v>0</v>
      </c>
      <c r="J528" s="3">
        <f>$D528*TCA!J528/100</f>
        <v>1.07</v>
      </c>
      <c r="K528" s="3">
        <f>$D528*TCA!K528/100</f>
        <v>0.71</v>
      </c>
      <c r="L528" s="3">
        <f>$D528*TCA!L528/100</f>
        <v>0.83</v>
      </c>
      <c r="M528" s="3">
        <f>$D528*TCA!M528/100</f>
        <v>716</v>
      </c>
      <c r="N528" s="3">
        <f>$D528*TCA!N528/100</f>
        <v>19</v>
      </c>
      <c r="O528" s="3">
        <f>$D528*TCA!O528/100</f>
        <v>304</v>
      </c>
      <c r="P528" s="3">
        <f t="shared" si="8"/>
        <v>11.147781444811148</v>
      </c>
      <c r="Q528" s="3">
        <f>$D528*TCA!P528/100</f>
        <v>5.8</v>
      </c>
      <c r="R528" s="3">
        <f>$D528*TCA!Q528/100</f>
        <v>135</v>
      </c>
      <c r="S528" s="3">
        <f>$D528*TCA!R528/100</f>
        <v>94</v>
      </c>
      <c r="T528" s="3">
        <f>$D528*TCA!S528/100</f>
        <v>2.84</v>
      </c>
      <c r="U528" s="3">
        <f>$D528*TCA!T528/100</f>
        <v>0</v>
      </c>
      <c r="V528" s="3">
        <f>$D528*TCA!U528/100</f>
        <v>0</v>
      </c>
      <c r="W528" s="3">
        <f>$D528*TCA!V528/100</f>
        <v>83</v>
      </c>
      <c r="X528" s="3">
        <f>$D528*TCA!W528/100</f>
        <v>24.9</v>
      </c>
    </row>
    <row r="529" spans="1:24" x14ac:dyDescent="0.25">
      <c r="A529" s="3" t="s">
        <v>2029</v>
      </c>
      <c r="B529" s="3" t="s">
        <v>1043</v>
      </c>
      <c r="C529" s="3" t="s">
        <v>1044</v>
      </c>
      <c r="D529" s="3">
        <v>100</v>
      </c>
      <c r="E529" s="3">
        <f>$D529*TCA!E529/100</f>
        <v>98.57</v>
      </c>
      <c r="F529" s="3">
        <f>$D529*TCA!F529/100</f>
        <v>17.399999999999999</v>
      </c>
      <c r="G529" s="3">
        <f>$D529*TCA!G529/100</f>
        <v>3.09</v>
      </c>
      <c r="H529" s="3">
        <f>$D529*TCA!H529/100</f>
        <v>0.28999999999999998</v>
      </c>
      <c r="I529" s="3">
        <f>$D529*TCA!I529/100</f>
        <v>0</v>
      </c>
      <c r="J529" s="3">
        <f>$D529*TCA!J529/100</f>
        <v>0.87</v>
      </c>
      <c r="K529" s="3">
        <f>$D529*TCA!K529/100</f>
        <v>0.59</v>
      </c>
      <c r="L529" s="3">
        <f>$D529*TCA!L529/100</f>
        <v>0.55000000000000004</v>
      </c>
      <c r="M529" s="3">
        <f>$D529*TCA!M529/100</f>
        <v>411</v>
      </c>
      <c r="N529" s="3">
        <f>$D529*TCA!N529/100</f>
        <v>13</v>
      </c>
      <c r="O529" s="3">
        <f>$D529*TCA!O529/100</f>
        <v>257</v>
      </c>
      <c r="P529" s="3">
        <f t="shared" si="8"/>
        <v>14.770114942528737</v>
      </c>
      <c r="Q529" s="3">
        <f>$D529*TCA!P529/100</f>
        <v>4.5999999999999996</v>
      </c>
      <c r="R529" s="3">
        <f>$D529*TCA!Q529/100</f>
        <v>262</v>
      </c>
      <c r="S529" s="3">
        <f>$D529*TCA!R529/100</f>
        <v>182</v>
      </c>
      <c r="T529" s="3">
        <f>$D529*TCA!S529/100</f>
        <v>1.92</v>
      </c>
      <c r="U529" s="3">
        <f>$D529*TCA!T529/100</f>
        <v>9</v>
      </c>
      <c r="V529" s="3">
        <f>$D529*TCA!U529/100</f>
        <v>419</v>
      </c>
      <c r="W529" s="3">
        <f>$D529*TCA!V529/100</f>
        <v>98</v>
      </c>
      <c r="X529" s="3">
        <f>$D529*TCA!W529/100</f>
        <v>27.5</v>
      </c>
    </row>
    <row r="530" spans="1:24" x14ac:dyDescent="0.25">
      <c r="A530" s="3" t="s">
        <v>2029</v>
      </c>
      <c r="B530" s="3" t="s">
        <v>1045</v>
      </c>
      <c r="C530" s="3" t="s">
        <v>1046</v>
      </c>
      <c r="D530" s="3">
        <v>100</v>
      </c>
      <c r="E530" s="3">
        <f>$D530*TCA!E530/100</f>
        <v>137.22</v>
      </c>
      <c r="F530" s="3">
        <f>$D530*TCA!F530/100</f>
        <v>19.5</v>
      </c>
      <c r="G530" s="3">
        <f>$D530*TCA!G530/100</f>
        <v>6.58</v>
      </c>
      <c r="H530" s="3">
        <f>$D530*TCA!H530/100</f>
        <v>0</v>
      </c>
      <c r="I530" s="3">
        <f>$D530*TCA!I530/100</f>
        <v>0</v>
      </c>
      <c r="J530" s="3">
        <f>$D530*TCA!J530/100</f>
        <v>0</v>
      </c>
      <c r="K530" s="3">
        <f>$D530*TCA!K530/100</f>
        <v>0</v>
      </c>
      <c r="L530" s="3">
        <f>$D530*TCA!L530/100</f>
        <v>0</v>
      </c>
      <c r="M530" s="3">
        <f>$D530*TCA!M530/100</f>
        <v>0</v>
      </c>
      <c r="N530" s="3">
        <f>$D530*TCA!N530/100</f>
        <v>20</v>
      </c>
      <c r="O530" s="3">
        <f>$D530*TCA!O530/100</f>
        <v>37</v>
      </c>
      <c r="P530" s="3">
        <f t="shared" si="8"/>
        <v>1.8974358974358974</v>
      </c>
      <c r="Q530" s="3">
        <f>$D530*TCA!P530/100</f>
        <v>61.4</v>
      </c>
      <c r="R530" s="3">
        <f>$D530*TCA!Q530/100</f>
        <v>0</v>
      </c>
      <c r="S530" s="3">
        <f>$D530*TCA!R530/100</f>
        <v>0</v>
      </c>
      <c r="T530" s="3">
        <f>$D530*TCA!S530/100</f>
        <v>0</v>
      </c>
      <c r="U530" s="3">
        <f>$D530*TCA!T530/100</f>
        <v>0</v>
      </c>
      <c r="V530" s="3">
        <f>$D530*TCA!U530/100</f>
        <v>0</v>
      </c>
      <c r="W530" s="3">
        <f>$D530*TCA!V530/100</f>
        <v>0</v>
      </c>
      <c r="X530" s="3">
        <f>$D530*TCA!W530/100</f>
        <v>0</v>
      </c>
    </row>
    <row r="531" spans="1:24" x14ac:dyDescent="0.25">
      <c r="A531" s="3" t="s">
        <v>2029</v>
      </c>
      <c r="B531" s="3" t="s">
        <v>1047</v>
      </c>
      <c r="C531" s="3" t="s">
        <v>1048</v>
      </c>
      <c r="D531" s="3">
        <v>100</v>
      </c>
      <c r="E531" s="3">
        <f>$D531*TCA!E531/100</f>
        <v>147.37</v>
      </c>
      <c r="F531" s="3">
        <f>$D531*TCA!F531/100</f>
        <v>11.67</v>
      </c>
      <c r="G531" s="3">
        <f>$D531*TCA!G531/100</f>
        <v>10.53</v>
      </c>
      <c r="H531" s="3">
        <f>$D531*TCA!H531/100</f>
        <v>1.48</v>
      </c>
      <c r="I531" s="3">
        <f>$D531*TCA!I531/100</f>
        <v>0</v>
      </c>
      <c r="J531" s="3">
        <f>$D531*TCA!J531/100</f>
        <v>2.39</v>
      </c>
      <c r="K531" s="3">
        <f>$D531*TCA!K531/100</f>
        <v>1.88</v>
      </c>
      <c r="L531" s="3">
        <f>$D531*TCA!L531/100</f>
        <v>1.63</v>
      </c>
      <c r="M531" s="3">
        <f>$D531*TCA!M531/100</f>
        <v>3100</v>
      </c>
      <c r="N531" s="3">
        <f>$D531*TCA!N531/100</f>
        <v>9</v>
      </c>
      <c r="O531" s="3">
        <f>$D531*TCA!O531/100</f>
        <v>335</v>
      </c>
      <c r="P531" s="3">
        <f t="shared" si="8"/>
        <v>28.706083976006855</v>
      </c>
      <c r="Q531" s="3">
        <f>$D531*TCA!P531/100</f>
        <v>2.2999999999999998</v>
      </c>
      <c r="R531" s="3">
        <f>$D531*TCA!Q531/100</f>
        <v>244</v>
      </c>
      <c r="S531" s="3">
        <f>$D531*TCA!R531/100</f>
        <v>108</v>
      </c>
      <c r="T531" s="3">
        <f>$D531*TCA!S531/100</f>
        <v>1.0900000000000001</v>
      </c>
      <c r="U531" s="3">
        <f>$D531*TCA!T531/100</f>
        <v>11</v>
      </c>
      <c r="V531" s="3">
        <f>$D531*TCA!U531/100</f>
        <v>6</v>
      </c>
      <c r="W531" s="3">
        <f>$D531*TCA!V531/100</f>
        <v>5</v>
      </c>
      <c r="X531" s="3">
        <f>$D531*TCA!W531/100</f>
        <v>10.1</v>
      </c>
    </row>
    <row r="532" spans="1:24" x14ac:dyDescent="0.25">
      <c r="A532" s="3" t="s">
        <v>2029</v>
      </c>
      <c r="B532" s="3" t="s">
        <v>1049</v>
      </c>
      <c r="C532" s="3" t="s">
        <v>1050</v>
      </c>
      <c r="D532" s="3">
        <v>100</v>
      </c>
      <c r="E532" s="3">
        <f>$D532*TCA!E532/100</f>
        <v>229.9</v>
      </c>
      <c r="F532" s="3">
        <f>$D532*TCA!F532/100</f>
        <v>15.4</v>
      </c>
      <c r="G532" s="3">
        <f>$D532*TCA!G532/100</f>
        <v>18.7</v>
      </c>
      <c r="H532" s="3">
        <f>$D532*TCA!H532/100</f>
        <v>0</v>
      </c>
      <c r="I532" s="3">
        <f>$D532*TCA!I532/100</f>
        <v>0</v>
      </c>
      <c r="J532" s="3">
        <f>$D532*TCA!J532/100</f>
        <v>0</v>
      </c>
      <c r="K532" s="3">
        <f>$D532*TCA!K532/100</f>
        <v>0</v>
      </c>
      <c r="L532" s="3">
        <f>$D532*TCA!L532/100</f>
        <v>0</v>
      </c>
      <c r="M532" s="3">
        <f>$D532*TCA!M532/100</f>
        <v>0</v>
      </c>
      <c r="N532" s="3">
        <f>$D532*TCA!N532/100</f>
        <v>70</v>
      </c>
      <c r="O532" s="3">
        <f>$D532*TCA!O532/100</f>
        <v>160</v>
      </c>
      <c r="P532" s="3">
        <f t="shared" si="8"/>
        <v>10.38961038961039</v>
      </c>
      <c r="Q532" s="3">
        <f>$D532*TCA!P532/100</f>
        <v>2.6</v>
      </c>
      <c r="R532" s="3">
        <f>$D532*TCA!Q532/100</f>
        <v>0</v>
      </c>
      <c r="S532" s="3">
        <f>$D532*TCA!R532/100</f>
        <v>0</v>
      </c>
      <c r="T532" s="3">
        <f>$D532*TCA!S532/100</f>
        <v>0</v>
      </c>
      <c r="U532" s="3">
        <f>$D532*TCA!T532/100</f>
        <v>0</v>
      </c>
      <c r="V532" s="3">
        <f>$D532*TCA!U532/100</f>
        <v>0</v>
      </c>
      <c r="W532" s="3">
        <f>$D532*TCA!V532/100</f>
        <v>0</v>
      </c>
      <c r="X532" s="3">
        <f>$D532*TCA!W532/100</f>
        <v>0</v>
      </c>
    </row>
    <row r="533" spans="1:24" x14ac:dyDescent="0.25">
      <c r="A533" s="3" t="s">
        <v>2029</v>
      </c>
      <c r="B533" s="3" t="s">
        <v>1051</v>
      </c>
      <c r="C533" s="3" t="s">
        <v>1052</v>
      </c>
      <c r="D533" s="3">
        <v>100</v>
      </c>
      <c r="E533" s="3">
        <f>$D533*TCA!E533/100</f>
        <v>245.67</v>
      </c>
      <c r="F533" s="3">
        <f>$D533*TCA!F533/100</f>
        <v>13.92</v>
      </c>
      <c r="G533" s="3">
        <f>$D533*TCA!G533/100</f>
        <v>20.11</v>
      </c>
      <c r="H533" s="3">
        <f>$D533*TCA!H533/100</f>
        <v>2.25</v>
      </c>
      <c r="I533" s="3">
        <f>$D533*TCA!I533/100</f>
        <v>0</v>
      </c>
      <c r="J533" s="3">
        <f>$D533*TCA!J533/100</f>
        <v>8.09</v>
      </c>
      <c r="K533" s="3">
        <f>$D533*TCA!K533/100</f>
        <v>9.19</v>
      </c>
      <c r="L533" s="3">
        <f>$D533*TCA!L533/100</f>
        <v>2.02</v>
      </c>
      <c r="M533" s="3">
        <f>$D533*TCA!M533/100</f>
        <v>65</v>
      </c>
      <c r="N533" s="3">
        <f>$D533*TCA!N533/100</f>
        <v>13</v>
      </c>
      <c r="O533" s="3">
        <f>$D533*TCA!O533/100</f>
        <v>115</v>
      </c>
      <c r="P533" s="3">
        <f t="shared" si="8"/>
        <v>8.2614942528735629</v>
      </c>
      <c r="Q533" s="3">
        <f>$D533*TCA!P533/100</f>
        <v>2.67</v>
      </c>
      <c r="R533" s="3">
        <f>$D533*TCA!Q533/100</f>
        <v>198</v>
      </c>
      <c r="S533" s="3">
        <f>$D533*TCA!R533/100</f>
        <v>1065</v>
      </c>
      <c r="T533" s="3">
        <f>$D533*TCA!S533/100</f>
        <v>2.14</v>
      </c>
      <c r="U533" s="3">
        <f>$D533*TCA!T533/100</f>
        <v>0</v>
      </c>
      <c r="V533" s="3">
        <f>$D533*TCA!U533/100</f>
        <v>0</v>
      </c>
      <c r="W533" s="3">
        <f>$D533*TCA!V533/100</f>
        <v>2</v>
      </c>
      <c r="X533" s="3">
        <f>$D533*TCA!W533/100</f>
        <v>3.65</v>
      </c>
    </row>
    <row r="534" spans="1:24" x14ac:dyDescent="0.25">
      <c r="A534" s="3" t="s">
        <v>2029</v>
      </c>
      <c r="B534" s="3" t="s">
        <v>1053</v>
      </c>
      <c r="C534" s="3" t="s">
        <v>1054</v>
      </c>
      <c r="D534" s="3">
        <v>100</v>
      </c>
      <c r="E534" s="3">
        <f>$D534*TCA!E534/100</f>
        <v>360.94</v>
      </c>
      <c r="F534" s="3">
        <f>$D534*TCA!F534/100</f>
        <v>15.01</v>
      </c>
      <c r="G534" s="3">
        <f>$D534*TCA!G534/100</f>
        <v>30.5</v>
      </c>
      <c r="H534" s="3">
        <f>$D534*TCA!H534/100</f>
        <v>6.6</v>
      </c>
      <c r="I534" s="3">
        <f>$D534*TCA!I534/100</f>
        <v>0.2</v>
      </c>
      <c r="J534" s="3">
        <f>$D534*TCA!J534/100</f>
        <v>10.58</v>
      </c>
      <c r="K534" s="3">
        <f>$D534*TCA!K534/100</f>
        <v>13.32</v>
      </c>
      <c r="L534" s="3">
        <f>$D534*TCA!L534/100</f>
        <v>3.07</v>
      </c>
      <c r="M534" s="3">
        <f>$D534*TCA!M534/100</f>
        <v>90</v>
      </c>
      <c r="N534" s="3">
        <f>$D534*TCA!N534/100</f>
        <v>94</v>
      </c>
      <c r="O534" s="3">
        <f>$D534*TCA!O534/100</f>
        <v>272</v>
      </c>
      <c r="P534" s="3">
        <f t="shared" si="8"/>
        <v>18.121252498334442</v>
      </c>
      <c r="Q534" s="3">
        <f>$D534*TCA!P534/100</f>
        <v>1.55</v>
      </c>
      <c r="R534" s="3">
        <f>$D534*TCA!Q534/100</f>
        <v>1372</v>
      </c>
      <c r="S534" s="3">
        <f>$D534*TCA!R534/100</f>
        <v>623</v>
      </c>
      <c r="T534" s="3">
        <f>$D534*TCA!S534/100</f>
        <v>3.08</v>
      </c>
      <c r="U534" s="3">
        <f>$D534*TCA!T534/100</f>
        <v>1</v>
      </c>
      <c r="V534" s="3">
        <f>$D534*TCA!U534/100</f>
        <v>4</v>
      </c>
      <c r="W534" s="3">
        <f>$D534*TCA!V534/100</f>
        <v>8</v>
      </c>
      <c r="X534" s="3">
        <f>$D534*TCA!W534/100</f>
        <v>1.76</v>
      </c>
    </row>
    <row r="535" spans="1:24" x14ac:dyDescent="0.25">
      <c r="A535" s="3" t="s">
        <v>2029</v>
      </c>
      <c r="B535" s="3" t="s">
        <v>1055</v>
      </c>
      <c r="C535" s="3" t="s">
        <v>1056</v>
      </c>
      <c r="D535" s="3">
        <v>100</v>
      </c>
      <c r="E535" s="3">
        <f>$D535*TCA!E535/100</f>
        <v>222.38</v>
      </c>
      <c r="F535" s="3">
        <f>$D535*TCA!F535/100</f>
        <v>14.28</v>
      </c>
      <c r="G535" s="3">
        <f>$D535*TCA!G535/100</f>
        <v>17.7</v>
      </c>
      <c r="H535" s="3">
        <f>$D535*TCA!H535/100</f>
        <v>1.49</v>
      </c>
      <c r="I535" s="3">
        <f>$D535*TCA!I535/100</f>
        <v>0</v>
      </c>
      <c r="J535" s="3">
        <f>$D535*TCA!J535/100</f>
        <v>5.89</v>
      </c>
      <c r="K535" s="3">
        <f>$D535*TCA!K535/100</f>
        <v>5.58</v>
      </c>
      <c r="L535" s="3">
        <f>$D535*TCA!L535/100</f>
        <v>5</v>
      </c>
      <c r="M535" s="3">
        <f>$D535*TCA!M535/100</f>
        <v>107</v>
      </c>
      <c r="N535" s="3">
        <f>$D535*TCA!N535/100</f>
        <v>106</v>
      </c>
      <c r="O535" s="3">
        <f>$D535*TCA!O535/100</f>
        <v>134</v>
      </c>
      <c r="P535" s="3">
        <f t="shared" si="8"/>
        <v>9.3837535014005606</v>
      </c>
      <c r="Q535" s="3">
        <f>$D535*TCA!P535/100</f>
        <v>1.84</v>
      </c>
      <c r="R535" s="3">
        <f>$D535*TCA!Q535/100</f>
        <v>179</v>
      </c>
      <c r="S535" s="3">
        <f>$D535*TCA!R535/100</f>
        <v>1426</v>
      </c>
      <c r="T535" s="3">
        <f>$D535*TCA!S535/100</f>
        <v>3.11</v>
      </c>
      <c r="U535" s="3">
        <f>$D535*TCA!T535/100</f>
        <v>0</v>
      </c>
      <c r="V535" s="3">
        <f>$D535*TCA!U535/100</f>
        <v>0</v>
      </c>
      <c r="W535" s="3">
        <f>$D535*TCA!V535/100</f>
        <v>8</v>
      </c>
      <c r="X535" s="3">
        <f>$D535*TCA!W535/100</f>
        <v>0.28000000000000003</v>
      </c>
    </row>
    <row r="536" spans="1:24" x14ac:dyDescent="0.25">
      <c r="A536" s="3" t="s">
        <v>2029</v>
      </c>
      <c r="B536" s="3" t="s">
        <v>1057</v>
      </c>
      <c r="C536" s="3" t="s">
        <v>1058</v>
      </c>
      <c r="D536" s="3">
        <v>100</v>
      </c>
      <c r="E536" s="3">
        <f>$D536*TCA!E536/100</f>
        <v>254.16</v>
      </c>
      <c r="F536" s="3">
        <f>$D536*TCA!F536/100</f>
        <v>12.93</v>
      </c>
      <c r="G536" s="3">
        <f>$D536*TCA!G536/100</f>
        <v>19.48</v>
      </c>
      <c r="H536" s="3">
        <f>$D536*TCA!H536/100</f>
        <v>6.78</v>
      </c>
      <c r="I536" s="3">
        <f>$D536*TCA!I536/100</f>
        <v>0</v>
      </c>
      <c r="J536" s="3">
        <f>$D536*TCA!J536/100</f>
        <v>5.54</v>
      </c>
      <c r="K536" s="3">
        <f>$D536*TCA!K536/100</f>
        <v>8.48</v>
      </c>
      <c r="L536" s="3">
        <f>$D536*TCA!L536/100</f>
        <v>4.04</v>
      </c>
      <c r="M536" s="3">
        <f>$D536*TCA!M536/100</f>
        <v>101</v>
      </c>
      <c r="N536" s="3">
        <f>$D536*TCA!N536/100</f>
        <v>95</v>
      </c>
      <c r="O536" s="3">
        <f>$D536*TCA!O536/100</f>
        <v>107</v>
      </c>
      <c r="P536" s="3">
        <f t="shared" si="8"/>
        <v>8.2753286929621037</v>
      </c>
      <c r="Q536" s="3">
        <f>$D536*TCA!P536/100</f>
        <v>2</v>
      </c>
      <c r="R536" s="3">
        <f>$D536*TCA!Q536/100</f>
        <v>84</v>
      </c>
      <c r="S536" s="3">
        <f>$D536*TCA!R536/100</f>
        <v>1370</v>
      </c>
      <c r="T536" s="3">
        <f>$D536*TCA!S536/100</f>
        <v>1.04</v>
      </c>
      <c r="U536" s="3">
        <f>$D536*TCA!T536/100</f>
        <v>0</v>
      </c>
      <c r="V536" s="3">
        <f>$D536*TCA!U536/100</f>
        <v>39</v>
      </c>
      <c r="W536" s="3">
        <f>$D536*TCA!V536/100</f>
        <v>4</v>
      </c>
      <c r="X536" s="3">
        <f>$D536*TCA!W536/100</f>
        <v>0.24</v>
      </c>
    </row>
    <row r="537" spans="1:24" x14ac:dyDescent="0.25">
      <c r="A537" s="3" t="s">
        <v>2029</v>
      </c>
      <c r="B537" s="3" t="s">
        <v>1059</v>
      </c>
      <c r="C537" s="3" t="s">
        <v>1060</v>
      </c>
      <c r="D537" s="3">
        <v>100</v>
      </c>
      <c r="E537" s="3">
        <f>$D537*TCA!E537/100</f>
        <v>327.33</v>
      </c>
      <c r="F537" s="3">
        <f>$D537*TCA!F537/100</f>
        <v>11.24</v>
      </c>
      <c r="G537" s="3">
        <f>$D537*TCA!G537/100</f>
        <v>29.57</v>
      </c>
      <c r="H537" s="3">
        <f>$D537*TCA!H537/100</f>
        <v>4.0599999999999996</v>
      </c>
      <c r="I537" s="3">
        <f>$D537*TCA!I537/100</f>
        <v>0</v>
      </c>
      <c r="J537" s="3">
        <f>$D537*TCA!J537/100</f>
        <v>11.69</v>
      </c>
      <c r="K537" s="3">
        <f>$D537*TCA!K537/100</f>
        <v>14.31</v>
      </c>
      <c r="L537" s="3">
        <f>$D537*TCA!L537/100</f>
        <v>1.18</v>
      </c>
      <c r="M537" s="3">
        <f>$D537*TCA!M537/100</f>
        <v>53</v>
      </c>
      <c r="N537" s="3">
        <f>$D537*TCA!N537/100</f>
        <v>14</v>
      </c>
      <c r="O537" s="3">
        <f>$D537*TCA!O537/100</f>
        <v>160</v>
      </c>
      <c r="P537" s="3">
        <f t="shared" si="8"/>
        <v>14.234875444839858</v>
      </c>
      <c r="Q537" s="3">
        <f>$D537*TCA!P537/100</f>
        <v>1.51</v>
      </c>
      <c r="R537" s="3">
        <f>$D537*TCA!Q537/100</f>
        <v>156</v>
      </c>
      <c r="S537" s="3">
        <f>$D537*TCA!R537/100</f>
        <v>1140</v>
      </c>
      <c r="T537" s="3">
        <f>$D537*TCA!S537/100</f>
        <v>2.46</v>
      </c>
      <c r="U537" s="3">
        <f>$D537*TCA!T537/100</f>
        <v>0</v>
      </c>
      <c r="V537" s="3">
        <f>$D537*TCA!U537/100</f>
        <v>0</v>
      </c>
      <c r="W537" s="3">
        <f>$D537*TCA!V537/100</f>
        <v>5</v>
      </c>
      <c r="X537" s="3">
        <f>$D537*TCA!W537/100</f>
        <v>1.72</v>
      </c>
    </row>
    <row r="538" spans="1:24" x14ac:dyDescent="0.25">
      <c r="A538" s="3" t="s">
        <v>2029</v>
      </c>
      <c r="B538" s="3" t="s">
        <v>1061</v>
      </c>
      <c r="C538" s="3" t="s">
        <v>1062</v>
      </c>
      <c r="D538" s="3">
        <v>100</v>
      </c>
      <c r="E538" s="3">
        <f>$D538*TCA!E538/100</f>
        <v>186.82</v>
      </c>
      <c r="F538" s="3">
        <f>$D538*TCA!F538/100</f>
        <v>31.9</v>
      </c>
      <c r="G538" s="3">
        <f>$D538*TCA!G538/100</f>
        <v>6.58</v>
      </c>
      <c r="H538" s="3">
        <f>$D538*TCA!H538/100</f>
        <v>0</v>
      </c>
      <c r="I538" s="3">
        <f>$D538*TCA!I538/100</f>
        <v>0</v>
      </c>
      <c r="J538" s="3">
        <f>$D538*TCA!J538/100</f>
        <v>1.84</v>
      </c>
      <c r="K538" s="3">
        <f>$D538*TCA!K538/100</f>
        <v>2.35</v>
      </c>
      <c r="L538" s="3">
        <f>$D538*TCA!L538/100</f>
        <v>0.59</v>
      </c>
      <c r="M538" s="3">
        <f>$D538*TCA!M538/100</f>
        <v>118</v>
      </c>
      <c r="N538" s="3">
        <f>$D538*TCA!N538/100</f>
        <v>24</v>
      </c>
      <c r="O538" s="3">
        <f>$D538*TCA!O538/100</f>
        <v>250</v>
      </c>
      <c r="P538" s="3">
        <f t="shared" si="8"/>
        <v>7.8369905956112857</v>
      </c>
      <c r="Q538" s="3">
        <f>$D538*TCA!P538/100</f>
        <v>1.1599999999999999</v>
      </c>
      <c r="R538" s="3">
        <f>$D538*TCA!Q538/100</f>
        <v>338</v>
      </c>
      <c r="S538" s="3">
        <f>$D538*TCA!R538/100</f>
        <v>89</v>
      </c>
      <c r="T538" s="3">
        <f>$D538*TCA!S538/100</f>
        <v>5.0999999999999996</v>
      </c>
      <c r="U538" s="3">
        <f>$D538*TCA!T538/100</f>
        <v>0</v>
      </c>
      <c r="V538" s="3">
        <f>$D538*TCA!U538/100</f>
        <v>0</v>
      </c>
      <c r="W538" s="3">
        <f>$D538*TCA!V538/100</f>
        <v>16</v>
      </c>
      <c r="X538" s="3">
        <f>$D538*TCA!W538/100</f>
        <v>1.65</v>
      </c>
    </row>
    <row r="539" spans="1:24" x14ac:dyDescent="0.25">
      <c r="A539" s="3" t="s">
        <v>2029</v>
      </c>
      <c r="B539" s="3" t="s">
        <v>1063</v>
      </c>
      <c r="C539" s="3" t="s">
        <v>1064</v>
      </c>
      <c r="D539" s="3">
        <v>100</v>
      </c>
      <c r="E539" s="3">
        <f>$D539*TCA!E539/100</f>
        <v>106.63</v>
      </c>
      <c r="F539" s="3">
        <f>$D539*TCA!F539/100</f>
        <v>20.2</v>
      </c>
      <c r="G539" s="3">
        <f>$D539*TCA!G539/100</f>
        <v>2.87</v>
      </c>
      <c r="H539" s="3">
        <f>$D539*TCA!H539/100</f>
        <v>0</v>
      </c>
      <c r="I539" s="3">
        <f>$D539*TCA!I539/100</f>
        <v>0</v>
      </c>
      <c r="J539" s="3">
        <f>$D539*TCA!J539/100</f>
        <v>0.86</v>
      </c>
      <c r="K539" s="3">
        <f>$D539*TCA!K539/100</f>
        <v>0.92</v>
      </c>
      <c r="L539" s="3">
        <f>$D539*TCA!L539/100</f>
        <v>0.3</v>
      </c>
      <c r="M539" s="3">
        <f>$D539*TCA!M539/100</f>
        <v>83</v>
      </c>
      <c r="N539" s="3">
        <f>$D539*TCA!N539/100</f>
        <v>15</v>
      </c>
      <c r="O539" s="3">
        <f>$D539*TCA!O539/100</f>
        <v>211</v>
      </c>
      <c r="P539" s="3">
        <f t="shared" si="8"/>
        <v>10.445544554455445</v>
      </c>
      <c r="Q539" s="3">
        <f>$D539*TCA!P539/100</f>
        <v>0.85</v>
      </c>
      <c r="R539" s="3">
        <f>$D539*TCA!Q539/100</f>
        <v>328</v>
      </c>
      <c r="S539" s="3">
        <f>$D539*TCA!R539/100</f>
        <v>86</v>
      </c>
      <c r="T539" s="3">
        <f>$D539*TCA!S539/100</f>
        <v>3.23</v>
      </c>
      <c r="U539" s="3">
        <f>$D539*TCA!T539/100</f>
        <v>0</v>
      </c>
      <c r="V539" s="3">
        <f>$D539*TCA!U539/100</f>
        <v>0</v>
      </c>
      <c r="W539" s="3">
        <f>$D539*TCA!V539/100</f>
        <v>13</v>
      </c>
      <c r="X539" s="3">
        <f>$D539*TCA!W539/100</f>
        <v>1.4</v>
      </c>
    </row>
    <row r="540" spans="1:24" x14ac:dyDescent="0.25">
      <c r="A540" s="3" t="s">
        <v>2029</v>
      </c>
      <c r="B540" s="3" t="s">
        <v>1065</v>
      </c>
      <c r="C540" s="3" t="s">
        <v>1066</v>
      </c>
      <c r="D540" s="3">
        <v>100</v>
      </c>
      <c r="E540" s="3">
        <f>$D540*TCA!E540/100</f>
        <v>104.4</v>
      </c>
      <c r="F540" s="3">
        <f>$D540*TCA!F540/100</f>
        <v>22.9</v>
      </c>
      <c r="G540" s="3">
        <f>$D540*TCA!G540/100</f>
        <v>0.8</v>
      </c>
      <c r="H540" s="3">
        <f>$D540*TCA!H540/100</f>
        <v>1.4</v>
      </c>
      <c r="I540" s="3">
        <f>$D540*TCA!I540/100</f>
        <v>0</v>
      </c>
      <c r="J540" s="3">
        <f>$D540*TCA!J540/100</f>
        <v>0</v>
      </c>
      <c r="K540" s="3">
        <f>$D540*TCA!K540/100</f>
        <v>0</v>
      </c>
      <c r="L540" s="3">
        <f>$D540*TCA!L540/100</f>
        <v>0</v>
      </c>
      <c r="M540" s="3">
        <f>$D540*TCA!M540/100</f>
        <v>0</v>
      </c>
      <c r="N540" s="3">
        <f>$D540*TCA!N540/100</f>
        <v>65</v>
      </c>
      <c r="O540" s="3">
        <f>$D540*TCA!O540/100</f>
        <v>2</v>
      </c>
      <c r="P540" s="3">
        <f t="shared" si="8"/>
        <v>8.7336244541484725E-2</v>
      </c>
      <c r="Q540" s="3">
        <f>$D540*TCA!P540/100</f>
        <v>0</v>
      </c>
      <c r="R540" s="3">
        <f>$D540*TCA!Q540/100</f>
        <v>0</v>
      </c>
      <c r="S540" s="3">
        <f>$D540*TCA!R540/100</f>
        <v>0</v>
      </c>
      <c r="T540" s="3">
        <f>$D540*TCA!S540/100</f>
        <v>0</v>
      </c>
      <c r="U540" s="3">
        <f>$D540*TCA!T540/100</f>
        <v>0</v>
      </c>
      <c r="V540" s="3">
        <f>$D540*TCA!U540/100</f>
        <v>0</v>
      </c>
      <c r="W540" s="3">
        <f>$D540*TCA!V540/100</f>
        <v>0</v>
      </c>
      <c r="X540" s="3">
        <f>$D540*TCA!W540/100</f>
        <v>0</v>
      </c>
    </row>
    <row r="541" spans="1:24" x14ac:dyDescent="0.25">
      <c r="A541" s="9"/>
      <c r="B541" s="9"/>
      <c r="C541" s="9"/>
      <c r="D541" s="3">
        <v>100</v>
      </c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spans="1:24" x14ac:dyDescent="0.25">
      <c r="A542" s="3" t="s">
        <v>2030</v>
      </c>
      <c r="B542" s="3" t="s">
        <v>1067</v>
      </c>
      <c r="C542" s="3" t="s">
        <v>1068</v>
      </c>
      <c r="D542" s="3">
        <v>100</v>
      </c>
      <c r="E542" s="3">
        <f>$D542*TCA!E542/100</f>
        <v>70.09</v>
      </c>
      <c r="F542" s="3">
        <f>$D542*TCA!F542/100</f>
        <v>12.77</v>
      </c>
      <c r="G542" s="3">
        <f>$D542*TCA!G542/100</f>
        <v>0.97</v>
      </c>
      <c r="H542" s="3">
        <f>$D542*TCA!H542/100</f>
        <v>2.57</v>
      </c>
      <c r="I542" s="3">
        <f>$D542*TCA!I542/100</f>
        <v>0</v>
      </c>
      <c r="J542" s="3">
        <f>$D542*TCA!J542/100</f>
        <v>0.09</v>
      </c>
      <c r="K542" s="3">
        <f>$D542*TCA!K542/100</f>
        <v>0.08</v>
      </c>
      <c r="L542" s="3">
        <f>$D542*TCA!L542/100</f>
        <v>0.28000000000000003</v>
      </c>
      <c r="M542" s="3">
        <f>$D542*TCA!M542/100</f>
        <v>34</v>
      </c>
      <c r="N542" s="3">
        <f>$D542*TCA!N542/100</f>
        <v>46</v>
      </c>
      <c r="O542" s="3">
        <f>$D542*TCA!O542/100</f>
        <v>169</v>
      </c>
      <c r="P542" s="3">
        <f t="shared" si="8"/>
        <v>13.234142521534848</v>
      </c>
      <c r="Q542" s="3">
        <f>$D542*TCA!P542/100</f>
        <v>13.98</v>
      </c>
      <c r="R542" s="3">
        <f>$D542*TCA!Q542/100</f>
        <v>314</v>
      </c>
      <c r="S542" s="3">
        <f>$D542*TCA!R542/100</f>
        <v>56</v>
      </c>
      <c r="T542" s="3">
        <f>$D542*TCA!S542/100</f>
        <v>1.37</v>
      </c>
      <c r="U542" s="3">
        <f>$D542*TCA!T542/100</f>
        <v>13</v>
      </c>
      <c r="V542" s="3">
        <f>$D542*TCA!U542/100</f>
        <v>90</v>
      </c>
      <c r="W542" s="3">
        <f>$D542*TCA!V542/100</f>
        <v>16</v>
      </c>
      <c r="X542" s="3">
        <f>$D542*TCA!W542/100</f>
        <v>49.44</v>
      </c>
    </row>
    <row r="543" spans="1:24" x14ac:dyDescent="0.25">
      <c r="A543" s="3" t="s">
        <v>2030</v>
      </c>
      <c r="B543" s="3" t="s">
        <v>1069</v>
      </c>
      <c r="C543" s="3" t="s">
        <v>1070</v>
      </c>
      <c r="D543" s="3">
        <v>100</v>
      </c>
      <c r="E543" s="3">
        <f>$D543*TCA!E543/100</f>
        <v>116.07</v>
      </c>
      <c r="F543" s="3">
        <f>$D543*TCA!F543/100</f>
        <v>23.46</v>
      </c>
      <c r="G543" s="3">
        <f>$D543*TCA!G543/100</f>
        <v>2.4700000000000002</v>
      </c>
      <c r="H543" s="3">
        <f>$D543*TCA!H543/100</f>
        <v>0</v>
      </c>
      <c r="I543" s="3">
        <f>$D543*TCA!I543/100</f>
        <v>0</v>
      </c>
      <c r="J543" s="3">
        <f>$D543*TCA!J543/100</f>
        <v>0.62</v>
      </c>
      <c r="K543" s="3">
        <f>$D543*TCA!K543/100</f>
        <v>0</v>
      </c>
      <c r="L543" s="3">
        <f>$D543*TCA!L543/100</f>
        <v>0</v>
      </c>
      <c r="M543" s="3">
        <f>$D543*TCA!M543/100</f>
        <v>31</v>
      </c>
      <c r="N543" s="3">
        <f>$D543*TCA!N543/100</f>
        <v>0</v>
      </c>
      <c r="O543" s="3">
        <f>$D543*TCA!O543/100</f>
        <v>0</v>
      </c>
      <c r="P543" s="3">
        <f t="shared" si="8"/>
        <v>0</v>
      </c>
      <c r="Q543" s="3">
        <f>$D543*TCA!P543/100</f>
        <v>1.33</v>
      </c>
      <c r="R543" s="3">
        <f>$D543*TCA!Q543/100</f>
        <v>0</v>
      </c>
      <c r="S543" s="3">
        <f>$D543*TCA!R543/100</f>
        <v>259</v>
      </c>
      <c r="T543" s="3">
        <f>$D543*TCA!S543/100</f>
        <v>0</v>
      </c>
      <c r="U543" s="3">
        <f>$D543*TCA!T543/100</f>
        <v>0</v>
      </c>
      <c r="V543" s="3">
        <f>$D543*TCA!U543/100</f>
        <v>0</v>
      </c>
      <c r="W543" s="3">
        <f>$D543*TCA!V543/100</f>
        <v>0</v>
      </c>
      <c r="X543" s="3">
        <f>$D543*TCA!W543/100</f>
        <v>0</v>
      </c>
    </row>
    <row r="544" spans="1:24" x14ac:dyDescent="0.25">
      <c r="A544" s="3" t="s">
        <v>2030</v>
      </c>
      <c r="B544" s="3" t="s">
        <v>1071</v>
      </c>
      <c r="C544" s="3" t="s">
        <v>1072</v>
      </c>
      <c r="D544" s="3">
        <v>100</v>
      </c>
      <c r="E544" s="3">
        <f>$D544*TCA!E544/100</f>
        <v>178.84</v>
      </c>
      <c r="F544" s="3">
        <f>$D544*TCA!F544/100</f>
        <v>26.53</v>
      </c>
      <c r="G544" s="3">
        <f>$D544*TCA!G544/100</f>
        <v>8.08</v>
      </c>
      <c r="H544" s="3">
        <f>$D544*TCA!H544/100</f>
        <v>0</v>
      </c>
      <c r="I544" s="3">
        <f>$D544*TCA!I544/100</f>
        <v>0</v>
      </c>
      <c r="J544" s="3">
        <f>$D544*TCA!J544/100</f>
        <v>1.28</v>
      </c>
      <c r="K544" s="3">
        <f>$D544*TCA!K544/100</f>
        <v>3.26</v>
      </c>
      <c r="L544" s="3">
        <f>$D544*TCA!L544/100</f>
        <v>2.97</v>
      </c>
      <c r="M544" s="3">
        <f>$D544*TCA!M544/100</f>
        <v>31</v>
      </c>
      <c r="N544" s="3">
        <f>$D544*TCA!N544/100</f>
        <v>4</v>
      </c>
      <c r="O544" s="3">
        <f>$D544*TCA!O544/100</f>
        <v>267</v>
      </c>
      <c r="P544" s="3">
        <f t="shared" si="8"/>
        <v>10.064078401809272</v>
      </c>
      <c r="Q544" s="3">
        <f>$D544*TCA!P544/100</f>
        <v>0.65</v>
      </c>
      <c r="R544" s="3">
        <f>$D544*TCA!Q544/100</f>
        <v>333</v>
      </c>
      <c r="S544" s="3">
        <f>$D544*TCA!R544/100</f>
        <v>396</v>
      </c>
      <c r="T544" s="3">
        <f>$D544*TCA!S544/100</f>
        <v>0.47</v>
      </c>
      <c r="U544" s="3">
        <f>$D544*TCA!T544/100</f>
        <v>0</v>
      </c>
      <c r="V544" s="3">
        <f>$D544*TCA!U544/100</f>
        <v>5</v>
      </c>
      <c r="W544" s="3">
        <f>$D544*TCA!V544/100</f>
        <v>5</v>
      </c>
      <c r="X544" s="3">
        <f>$D544*TCA!W544/100</f>
        <v>2.2000000000000002</v>
      </c>
    </row>
    <row r="545" spans="1:24" x14ac:dyDescent="0.25">
      <c r="A545" s="3" t="s">
        <v>2030</v>
      </c>
      <c r="B545" s="3" t="s">
        <v>1073</v>
      </c>
      <c r="C545" s="3" t="s">
        <v>1074</v>
      </c>
      <c r="D545" s="3">
        <v>100</v>
      </c>
      <c r="E545" s="3">
        <f>$D545*TCA!E545/100</f>
        <v>121.21</v>
      </c>
      <c r="F545" s="3">
        <f>$D545*TCA!F545/100</f>
        <v>23.62</v>
      </c>
      <c r="G545" s="3">
        <f>$D545*TCA!G545/100</f>
        <v>2.97</v>
      </c>
      <c r="H545" s="3">
        <f>$D545*TCA!H545/100</f>
        <v>0</v>
      </c>
      <c r="I545" s="3">
        <f>$D545*TCA!I545/100</f>
        <v>0</v>
      </c>
      <c r="J545" s="3">
        <f>$D545*TCA!J545/100</f>
        <v>0.79</v>
      </c>
      <c r="K545" s="3">
        <f>$D545*TCA!K545/100</f>
        <v>0.78</v>
      </c>
      <c r="L545" s="3">
        <f>$D545*TCA!L545/100</f>
        <v>1.1100000000000001</v>
      </c>
      <c r="M545" s="3">
        <f>$D545*TCA!M545/100</f>
        <v>42</v>
      </c>
      <c r="N545" s="3">
        <f>$D545*TCA!N545/100</f>
        <v>14</v>
      </c>
      <c r="O545" s="3">
        <f>$D545*TCA!O545/100</f>
        <v>217</v>
      </c>
      <c r="P545" s="3">
        <f t="shared" si="8"/>
        <v>9.1871295512277733</v>
      </c>
      <c r="Q545" s="3">
        <f>$D545*TCA!P545/100</f>
        <v>0.97</v>
      </c>
      <c r="R545" s="3">
        <f>$D545*TCA!Q545/100</f>
        <v>237</v>
      </c>
      <c r="S545" s="3">
        <f>$D545*TCA!R545/100</f>
        <v>377</v>
      </c>
      <c r="T545" s="3">
        <f>$D545*TCA!S545/100</f>
        <v>0.48</v>
      </c>
      <c r="U545" s="3">
        <f>$D545*TCA!T545/100</f>
        <v>0</v>
      </c>
      <c r="V545" s="3">
        <f>$D545*TCA!U545/100</f>
        <v>6</v>
      </c>
      <c r="W545" s="3">
        <f>$D545*TCA!V545/100</f>
        <v>2</v>
      </c>
      <c r="X545" s="3">
        <f>$D545*TCA!W545/100</f>
        <v>1.17</v>
      </c>
    </row>
    <row r="546" spans="1:24" x14ac:dyDescent="0.25">
      <c r="A546" s="3" t="s">
        <v>2030</v>
      </c>
      <c r="B546" s="3" t="s">
        <v>1075</v>
      </c>
      <c r="C546" s="3" t="s">
        <v>1076</v>
      </c>
      <c r="D546" s="3">
        <v>100</v>
      </c>
      <c r="E546" s="3">
        <f>$D546*TCA!E546/100</f>
        <v>109.42</v>
      </c>
      <c r="F546" s="3">
        <f>$D546*TCA!F546/100</f>
        <v>25.51</v>
      </c>
      <c r="G546" s="3">
        <f>$D546*TCA!G546/100</f>
        <v>0.82</v>
      </c>
      <c r="H546" s="3">
        <f>$D546*TCA!H546/100</f>
        <v>0</v>
      </c>
      <c r="I546" s="3">
        <f>$D546*TCA!I546/100</f>
        <v>0</v>
      </c>
      <c r="J546" s="3">
        <f>$D546*TCA!J546/100</f>
        <v>0.23</v>
      </c>
      <c r="K546" s="3">
        <f>$D546*TCA!K546/100</f>
        <v>0.16</v>
      </c>
      <c r="L546" s="3">
        <f>$D546*TCA!L546/100</f>
        <v>0.34</v>
      </c>
      <c r="M546" s="3">
        <f>$D546*TCA!M546/100</f>
        <v>30</v>
      </c>
      <c r="N546" s="3">
        <f>$D546*TCA!N546/100</f>
        <v>11</v>
      </c>
      <c r="O546" s="3">
        <f>$D546*TCA!O546/100</f>
        <v>163</v>
      </c>
      <c r="P546" s="3">
        <f t="shared" si="8"/>
        <v>6.3896511172089374</v>
      </c>
      <c r="Q546" s="3">
        <f>$D546*TCA!P546/100</f>
        <v>1.53</v>
      </c>
      <c r="R546" s="3">
        <f>$D546*TCA!Q546/100</f>
        <v>237</v>
      </c>
      <c r="S546" s="3">
        <f>$D546*TCA!R546/100</f>
        <v>50</v>
      </c>
      <c r="T546" s="3">
        <f>$D546*TCA!S546/100</f>
        <v>0.77</v>
      </c>
      <c r="U546" s="3">
        <f>$D546*TCA!T546/100</f>
        <v>0</v>
      </c>
      <c r="V546" s="3">
        <f>$D546*TCA!U546/100</f>
        <v>16.8</v>
      </c>
      <c r="W546" s="3">
        <f>$D546*TCA!V546/100</f>
        <v>4</v>
      </c>
      <c r="X546" s="3">
        <f>$D546*TCA!W546/100</f>
        <v>2.99</v>
      </c>
    </row>
    <row r="547" spans="1:24" x14ac:dyDescent="0.25">
      <c r="A547" s="3" t="s">
        <v>2030</v>
      </c>
      <c r="B547" s="3" t="s">
        <v>1077</v>
      </c>
      <c r="C547" s="3" t="s">
        <v>1078</v>
      </c>
      <c r="D547" s="3">
        <v>100</v>
      </c>
      <c r="E547" s="3">
        <f>$D547*TCA!E547/100</f>
        <v>207.27</v>
      </c>
      <c r="F547" s="3">
        <f>$D547*TCA!F547/100</f>
        <v>27.27</v>
      </c>
      <c r="G547" s="3">
        <f>$D547*TCA!G547/100</f>
        <v>10.91</v>
      </c>
      <c r="H547" s="3">
        <f>$D547*TCA!H547/100</f>
        <v>0</v>
      </c>
      <c r="I547" s="3">
        <f>$D547*TCA!I547/100</f>
        <v>0</v>
      </c>
      <c r="J547" s="3">
        <f>$D547*TCA!J547/100</f>
        <v>1.82</v>
      </c>
      <c r="K547" s="3">
        <f>$D547*TCA!K547/100</f>
        <v>1.82</v>
      </c>
      <c r="L547" s="3">
        <f>$D547*TCA!L547/100</f>
        <v>5.45</v>
      </c>
      <c r="M547" s="3">
        <f>$D547*TCA!M547/100</f>
        <v>18.18</v>
      </c>
      <c r="N547" s="3">
        <f>$D547*TCA!N547/100</f>
        <v>0</v>
      </c>
      <c r="O547" s="3">
        <f>$D547*TCA!O547/100</f>
        <v>0</v>
      </c>
      <c r="P547" s="3">
        <f t="shared" si="8"/>
        <v>0</v>
      </c>
      <c r="Q547" s="3">
        <f>$D547*TCA!P547/100</f>
        <v>0</v>
      </c>
      <c r="R547" s="3">
        <f>$D547*TCA!Q547/100</f>
        <v>0</v>
      </c>
      <c r="S547" s="3">
        <f>$D547*TCA!R547/100</f>
        <v>472.73</v>
      </c>
      <c r="T547" s="3">
        <f>$D547*TCA!S547/100</f>
        <v>0</v>
      </c>
      <c r="U547" s="3">
        <f>$D547*TCA!T547/100</f>
        <v>0</v>
      </c>
      <c r="V547" s="3">
        <f>$D547*TCA!U547/100</f>
        <v>0</v>
      </c>
      <c r="W547" s="3">
        <f>$D547*TCA!V547/100</f>
        <v>0</v>
      </c>
      <c r="X547" s="3">
        <f>$D547*TCA!W547/100</f>
        <v>0</v>
      </c>
    </row>
    <row r="548" spans="1:24" x14ac:dyDescent="0.25">
      <c r="A548" s="3" t="s">
        <v>2030</v>
      </c>
      <c r="B548" s="3" t="s">
        <v>1079</v>
      </c>
      <c r="C548" s="3" t="s">
        <v>1080</v>
      </c>
      <c r="D548" s="3">
        <v>100</v>
      </c>
      <c r="E548" s="3">
        <f>$D548*TCA!E548/100</f>
        <v>82.9</v>
      </c>
      <c r="F548" s="3">
        <f>$D548*TCA!F548/100</f>
        <v>19.600000000000001</v>
      </c>
      <c r="G548" s="3">
        <f>$D548*TCA!G548/100</f>
        <v>0.5</v>
      </c>
      <c r="H548" s="3">
        <f>$D548*TCA!H548/100</f>
        <v>0</v>
      </c>
      <c r="I548" s="3">
        <f>$D548*TCA!I548/100</f>
        <v>0</v>
      </c>
      <c r="J548" s="3">
        <f>$D548*TCA!J548/100</f>
        <v>0</v>
      </c>
      <c r="K548" s="3">
        <f>$D548*TCA!K548/100</f>
        <v>0</v>
      </c>
      <c r="L548" s="3">
        <f>$D548*TCA!L548/100</f>
        <v>0</v>
      </c>
      <c r="M548" s="3">
        <f>$D548*TCA!M548/100</f>
        <v>0</v>
      </c>
      <c r="N548" s="3">
        <f>$D548*TCA!N548/100</f>
        <v>126</v>
      </c>
      <c r="O548" s="3">
        <f>$D548*TCA!O548/100</f>
        <v>240</v>
      </c>
      <c r="P548" s="3">
        <f t="shared" si="8"/>
        <v>12.244897959183673</v>
      </c>
      <c r="Q548" s="3">
        <f>$D548*TCA!P548/100</f>
        <v>0.3</v>
      </c>
      <c r="R548" s="3">
        <f>$D548*TCA!Q548/100</f>
        <v>0</v>
      </c>
      <c r="S548" s="3">
        <f>$D548*TCA!R548/100</f>
        <v>0</v>
      </c>
      <c r="T548" s="3">
        <f>$D548*TCA!S548/100</f>
        <v>0</v>
      </c>
      <c r="U548" s="3">
        <f>$D548*TCA!T548/100</f>
        <v>4.7</v>
      </c>
      <c r="V548" s="3">
        <f>$D548*TCA!U548/100</f>
        <v>0</v>
      </c>
      <c r="W548" s="3">
        <f>$D548*TCA!V548/100</f>
        <v>0</v>
      </c>
      <c r="X548" s="3">
        <f>$D548*TCA!W548/100</f>
        <v>0</v>
      </c>
    </row>
    <row r="549" spans="1:24" x14ac:dyDescent="0.25">
      <c r="A549" s="3" t="s">
        <v>2030</v>
      </c>
      <c r="B549" s="3" t="s">
        <v>1081</v>
      </c>
      <c r="C549" s="3" t="s">
        <v>1082</v>
      </c>
      <c r="D549" s="3">
        <v>100</v>
      </c>
      <c r="E549" s="3">
        <f>$D549*TCA!E549/100</f>
        <v>272.61</v>
      </c>
      <c r="F549" s="3">
        <f>$D549*TCA!F549/100</f>
        <v>62.82</v>
      </c>
      <c r="G549" s="3">
        <f>$D549*TCA!G549/100</f>
        <v>2.37</v>
      </c>
      <c r="H549" s="3">
        <f>$D549*TCA!H549/100</f>
        <v>0</v>
      </c>
      <c r="I549" s="3">
        <f>$D549*TCA!I549/100</f>
        <v>0</v>
      </c>
      <c r="J549" s="3">
        <f>$D549*TCA!J549/100</f>
        <v>0.46</v>
      </c>
      <c r="K549" s="3">
        <f>$D549*TCA!K549/100</f>
        <v>0.34</v>
      </c>
      <c r="L549" s="3">
        <f>$D549*TCA!L549/100</f>
        <v>0.8</v>
      </c>
      <c r="M549" s="3">
        <f>$D549*TCA!M549/100</f>
        <v>152</v>
      </c>
      <c r="N549" s="3">
        <f>$D549*TCA!N549/100</f>
        <v>160</v>
      </c>
      <c r="O549" s="3">
        <f>$D549*TCA!O549/100</f>
        <v>950</v>
      </c>
      <c r="P549" s="3">
        <f t="shared" si="8"/>
        <v>15.122572429162688</v>
      </c>
      <c r="Q549" s="3">
        <f>$D549*TCA!P549/100</f>
        <v>2.5</v>
      </c>
      <c r="R549" s="3">
        <f>$D549*TCA!Q549/100</f>
        <v>1458</v>
      </c>
      <c r="S549" s="3">
        <f>$D549*TCA!R549/100</f>
        <v>7027</v>
      </c>
      <c r="T549" s="3">
        <f>$D549*TCA!S549/100</f>
        <v>1.59</v>
      </c>
      <c r="U549" s="3">
        <f>$D549*TCA!T549/100</f>
        <v>4</v>
      </c>
      <c r="V549" s="3">
        <f>$D549*TCA!U549/100</f>
        <v>42</v>
      </c>
      <c r="W549" s="3">
        <f>$D549*TCA!V549/100</f>
        <v>25</v>
      </c>
      <c r="X549" s="3">
        <f>$D549*TCA!W549/100</f>
        <v>10</v>
      </c>
    </row>
    <row r="550" spans="1:24" x14ac:dyDescent="0.25">
      <c r="A550" s="3" t="s">
        <v>2030</v>
      </c>
      <c r="B550" s="3" t="s">
        <v>1083</v>
      </c>
      <c r="C550" s="3" t="s">
        <v>1084</v>
      </c>
      <c r="D550" s="3">
        <v>100</v>
      </c>
      <c r="E550" s="3">
        <f>$D550*TCA!E550/100</f>
        <v>90.9</v>
      </c>
      <c r="F550" s="3">
        <f>$D550*TCA!F550/100</f>
        <v>16.38</v>
      </c>
      <c r="G550" s="3">
        <f>$D550*TCA!G550/100</f>
        <v>2.82</v>
      </c>
      <c r="H550" s="3">
        <f>$D550*TCA!H550/100</f>
        <v>0</v>
      </c>
      <c r="I550" s="3">
        <f>$D550*TCA!I550/100</f>
        <v>0</v>
      </c>
      <c r="J550" s="3">
        <f>$D550*TCA!J550/100</f>
        <v>0.72</v>
      </c>
      <c r="K550" s="3">
        <f>$D550*TCA!K550/100</f>
        <v>0.84</v>
      </c>
      <c r="L550" s="3">
        <f>$D550*TCA!L550/100</f>
        <v>0.87</v>
      </c>
      <c r="M550" s="3">
        <f>$D550*TCA!M550/100</f>
        <v>58</v>
      </c>
      <c r="N550" s="3">
        <f>$D550*TCA!N550/100</f>
        <v>14</v>
      </c>
      <c r="O550" s="3">
        <f>$D550*TCA!O550/100</f>
        <v>209</v>
      </c>
      <c r="P550" s="3">
        <f t="shared" si="8"/>
        <v>12.75946275946276</v>
      </c>
      <c r="Q550" s="3">
        <f>$D550*TCA!P550/100</f>
        <v>0.3</v>
      </c>
      <c r="R550" s="3">
        <f>$D550*TCA!Q550/100</f>
        <v>358</v>
      </c>
      <c r="S550" s="3">
        <f>$D550*TCA!R550/100</f>
        <v>43</v>
      </c>
      <c r="T550" s="3">
        <f>$D550*TCA!S550/100</f>
        <v>0.51</v>
      </c>
      <c r="U550" s="3">
        <f>$D550*TCA!T550/100</f>
        <v>1</v>
      </c>
      <c r="V550" s="3">
        <f>$D550*TCA!U550/100</f>
        <v>15</v>
      </c>
      <c r="W550" s="3">
        <f>$D550*TCA!V550/100</f>
        <v>10</v>
      </c>
      <c r="X550" s="3">
        <f>$D550*TCA!W550/100</f>
        <v>2.23</v>
      </c>
    </row>
    <row r="551" spans="1:24" x14ac:dyDescent="0.25">
      <c r="A551" s="3" t="s">
        <v>2030</v>
      </c>
      <c r="B551" s="3" t="s">
        <v>1085</v>
      </c>
      <c r="C551" s="3" t="s">
        <v>1086</v>
      </c>
      <c r="D551" s="3">
        <v>100</v>
      </c>
      <c r="E551" s="3">
        <f>$D551*TCA!E551/100</f>
        <v>138.49</v>
      </c>
      <c r="F551" s="3">
        <f>$D551*TCA!F551/100</f>
        <v>19.66</v>
      </c>
      <c r="G551" s="3">
        <f>$D551*TCA!G551/100</f>
        <v>6.65</v>
      </c>
      <c r="H551" s="3">
        <f>$D551*TCA!H551/100</f>
        <v>0</v>
      </c>
      <c r="I551" s="3">
        <f>$D551*TCA!I551/100</f>
        <v>0</v>
      </c>
      <c r="J551" s="3">
        <f>$D551*TCA!J551/100</f>
        <v>1.61</v>
      </c>
      <c r="K551" s="3">
        <f>$D551*TCA!K551/100</f>
        <v>3</v>
      </c>
      <c r="L551" s="3">
        <f>$D551*TCA!L551/100</f>
        <v>1.1499999999999999</v>
      </c>
      <c r="M551" s="3">
        <f>$D551*TCA!M551/100</f>
        <v>66</v>
      </c>
      <c r="N551" s="3">
        <f>$D551*TCA!N551/100</f>
        <v>5</v>
      </c>
      <c r="O551" s="3">
        <f>$D551*TCA!O551/100</f>
        <v>255</v>
      </c>
      <c r="P551" s="3">
        <f t="shared" si="8"/>
        <v>12.970498474059003</v>
      </c>
      <c r="Q551" s="3">
        <f>$D551*TCA!P551/100</f>
        <v>0.38</v>
      </c>
      <c r="R551" s="3">
        <f>$D551*TCA!Q551/100</f>
        <v>418</v>
      </c>
      <c r="S551" s="3">
        <f>$D551*TCA!R551/100</f>
        <v>81</v>
      </c>
      <c r="T551" s="3">
        <f>$D551*TCA!S551/100</f>
        <v>0.66</v>
      </c>
      <c r="U551" s="3">
        <f>$D551*TCA!T551/100</f>
        <v>0</v>
      </c>
      <c r="V551" s="3">
        <f>$D551*TCA!U551/100</f>
        <v>36</v>
      </c>
      <c r="W551" s="3">
        <f>$D551*TCA!V551/100</f>
        <v>2</v>
      </c>
      <c r="X551" s="3">
        <f>$D551*TCA!W551/100</f>
        <v>1.7</v>
      </c>
    </row>
    <row r="552" spans="1:24" x14ac:dyDescent="0.25">
      <c r="A552" s="3" t="s">
        <v>2030</v>
      </c>
      <c r="B552" s="3" t="s">
        <v>1087</v>
      </c>
      <c r="C552" s="3" t="s">
        <v>1088</v>
      </c>
      <c r="D552" s="3">
        <v>100</v>
      </c>
      <c r="E552" s="3">
        <f>$D552*TCA!E552/100</f>
        <v>161.69999999999999</v>
      </c>
      <c r="F552" s="3">
        <f>$D552*TCA!F552/100</f>
        <v>24</v>
      </c>
      <c r="G552" s="3">
        <f>$D552*TCA!G552/100</f>
        <v>7.3</v>
      </c>
      <c r="H552" s="3">
        <f>$D552*TCA!H552/100</f>
        <v>0</v>
      </c>
      <c r="I552" s="3">
        <f>$D552*TCA!I552/100</f>
        <v>0</v>
      </c>
      <c r="J552" s="3">
        <f>$D552*TCA!J552/100</f>
        <v>0</v>
      </c>
      <c r="K552" s="3">
        <f>$D552*TCA!K552/100</f>
        <v>0</v>
      </c>
      <c r="L552" s="3">
        <f>$D552*TCA!L552/100</f>
        <v>0</v>
      </c>
      <c r="M552" s="3">
        <f>$D552*TCA!M552/100</f>
        <v>0</v>
      </c>
      <c r="N552" s="3">
        <f>$D552*TCA!N552/100</f>
        <v>26</v>
      </c>
      <c r="O552" s="3">
        <f>$D552*TCA!O552/100</f>
        <v>0</v>
      </c>
      <c r="P552" s="3">
        <f t="shared" si="8"/>
        <v>0</v>
      </c>
      <c r="Q552" s="3">
        <f>$D552*TCA!P552/100</f>
        <v>0.7</v>
      </c>
      <c r="R552" s="3">
        <f>$D552*TCA!Q552/100</f>
        <v>293</v>
      </c>
      <c r="S552" s="3">
        <f>$D552*TCA!R552/100</f>
        <v>40</v>
      </c>
      <c r="T552" s="3">
        <f>$D552*TCA!S552/100</f>
        <v>0.3</v>
      </c>
      <c r="U552" s="3">
        <f>$D552*TCA!T552/100</f>
        <v>0</v>
      </c>
      <c r="V552" s="3">
        <f>$D552*TCA!U552/100</f>
        <v>0</v>
      </c>
      <c r="W552" s="3">
        <f>$D552*TCA!V552/100</f>
        <v>0</v>
      </c>
      <c r="X552" s="3">
        <f>$D552*TCA!W552/100</f>
        <v>0</v>
      </c>
    </row>
    <row r="553" spans="1:24" x14ac:dyDescent="0.25">
      <c r="A553" s="3" t="s">
        <v>2030</v>
      </c>
      <c r="B553" s="3" t="s">
        <v>1089</v>
      </c>
      <c r="C553" s="3" t="s">
        <v>1090</v>
      </c>
      <c r="D553" s="3">
        <v>100</v>
      </c>
      <c r="E553" s="3">
        <f>$D553*TCA!E553/100</f>
        <v>122.1</v>
      </c>
      <c r="F553" s="3">
        <f>$D553*TCA!F553/100</f>
        <v>19.5</v>
      </c>
      <c r="G553" s="3">
        <f>$D553*TCA!G553/100</f>
        <v>4.9000000000000004</v>
      </c>
      <c r="H553" s="3">
        <f>$D553*TCA!H553/100</f>
        <v>0</v>
      </c>
      <c r="I553" s="3">
        <f>$D553*TCA!I553/100</f>
        <v>0</v>
      </c>
      <c r="J553" s="3">
        <f>$D553*TCA!J553/100</f>
        <v>0</v>
      </c>
      <c r="K553" s="3">
        <f>$D553*TCA!K553/100</f>
        <v>0</v>
      </c>
      <c r="L553" s="3">
        <f>$D553*TCA!L553/100</f>
        <v>0</v>
      </c>
      <c r="M553" s="3">
        <f>$D553*TCA!M553/100</f>
        <v>0</v>
      </c>
      <c r="N553" s="3">
        <f>$D553*TCA!N553/100</f>
        <v>0</v>
      </c>
      <c r="O553" s="3">
        <f>$D553*TCA!O553/100</f>
        <v>0</v>
      </c>
      <c r="P553" s="3">
        <f t="shared" si="8"/>
        <v>0</v>
      </c>
      <c r="Q553" s="3">
        <f>$D553*TCA!P553/100</f>
        <v>0</v>
      </c>
      <c r="R553" s="3">
        <f>$D553*TCA!Q553/100</f>
        <v>0</v>
      </c>
      <c r="S553" s="3">
        <f>$D553*TCA!R553/100</f>
        <v>0</v>
      </c>
      <c r="T553" s="3">
        <f>$D553*TCA!S553/100</f>
        <v>0</v>
      </c>
      <c r="U553" s="3">
        <f>$D553*TCA!T553/100</f>
        <v>0</v>
      </c>
      <c r="V553" s="3">
        <f>$D553*TCA!U553/100</f>
        <v>0</v>
      </c>
      <c r="W553" s="3">
        <f>$D553*TCA!V553/100</f>
        <v>0</v>
      </c>
      <c r="X553" s="3">
        <f>$D553*TCA!W553/100</f>
        <v>0</v>
      </c>
    </row>
    <row r="554" spans="1:24" x14ac:dyDescent="0.25">
      <c r="A554" s="3" t="s">
        <v>2030</v>
      </c>
      <c r="B554" s="3" t="s">
        <v>1091</v>
      </c>
      <c r="C554" s="3" t="s">
        <v>1092</v>
      </c>
      <c r="D554" s="3">
        <v>100</v>
      </c>
      <c r="E554" s="3">
        <f>$D554*TCA!E554/100</f>
        <v>87.06</v>
      </c>
      <c r="F554" s="3">
        <f>$D554*TCA!F554/100</f>
        <v>15.58</v>
      </c>
      <c r="G554" s="3">
        <f>$D554*TCA!G554/100</f>
        <v>1.38</v>
      </c>
      <c r="H554" s="3">
        <f>$D554*TCA!H554/100</f>
        <v>3.08</v>
      </c>
      <c r="I554" s="3">
        <f>$D554*TCA!I554/100</f>
        <v>0</v>
      </c>
      <c r="J554" s="3">
        <f>$D554*TCA!J554/100</f>
        <v>0.36</v>
      </c>
      <c r="K554" s="3">
        <f>$D554*TCA!K554/100</f>
        <v>0.11</v>
      </c>
      <c r="L554" s="3">
        <f>$D554*TCA!L554/100</f>
        <v>0.52</v>
      </c>
      <c r="M554" s="3">
        <f>$D554*TCA!M554/100</f>
        <v>233</v>
      </c>
      <c r="N554" s="3">
        <f>$D554*TCA!N554/100</f>
        <v>32</v>
      </c>
      <c r="O554" s="3">
        <f>$D554*TCA!O554/100</f>
        <v>221</v>
      </c>
      <c r="P554" s="3">
        <f t="shared" si="8"/>
        <v>14.184852374839538</v>
      </c>
      <c r="Q554" s="3">
        <f>$D554*TCA!P554/100</f>
        <v>0.68</v>
      </c>
      <c r="R554" s="3">
        <f>$D554*TCA!Q554/100</f>
        <v>246</v>
      </c>
      <c r="S554" s="3">
        <f>$D554*TCA!R554/100</f>
        <v>44</v>
      </c>
      <c r="T554" s="3">
        <f>$D554*TCA!S554/100</f>
        <v>1.53</v>
      </c>
      <c r="U554" s="3">
        <f>$D554*TCA!T554/100</f>
        <v>5</v>
      </c>
      <c r="V554" s="3">
        <f>$D554*TCA!U554/100</f>
        <v>10</v>
      </c>
      <c r="W554" s="3">
        <f>$D554*TCA!V554/100</f>
        <v>5</v>
      </c>
      <c r="X554" s="3">
        <f>$D554*TCA!W554/100</f>
        <v>1.3</v>
      </c>
    </row>
    <row r="555" spans="1:24" x14ac:dyDescent="0.25">
      <c r="A555" s="3" t="s">
        <v>2030</v>
      </c>
      <c r="B555" s="3" t="s">
        <v>1093</v>
      </c>
      <c r="C555" s="3" t="s">
        <v>1094</v>
      </c>
      <c r="D555" s="3">
        <v>100</v>
      </c>
      <c r="E555" s="3">
        <f>$D555*TCA!E555/100</f>
        <v>93.36</v>
      </c>
      <c r="F555" s="3">
        <f>$D555*TCA!F555/100</f>
        <v>20.91</v>
      </c>
      <c r="G555" s="3">
        <f>$D555*TCA!G555/100</f>
        <v>1.08</v>
      </c>
      <c r="H555" s="3">
        <f>$D555*TCA!H555/100</f>
        <v>0</v>
      </c>
      <c r="I555" s="3">
        <f>$D555*TCA!I555/100</f>
        <v>0</v>
      </c>
      <c r="J555" s="3">
        <f>$D555*TCA!J555/100</f>
        <v>0.28999999999999998</v>
      </c>
      <c r="K555" s="3">
        <f>$D555*TCA!K555/100</f>
        <v>0.2</v>
      </c>
      <c r="L555" s="3">
        <f>$D555*TCA!L555/100</f>
        <v>0.44</v>
      </c>
      <c r="M555" s="3">
        <f>$D555*TCA!M555/100</f>
        <v>195</v>
      </c>
      <c r="N555" s="3">
        <f>$D555*TCA!N555/100</f>
        <v>39</v>
      </c>
      <c r="O555" s="3">
        <f>$D555*TCA!O555/100</f>
        <v>137</v>
      </c>
      <c r="P555" s="3">
        <f t="shared" si="8"/>
        <v>6.5518890483022476</v>
      </c>
      <c r="Q555" s="3">
        <f>$D555*TCA!P555/100</f>
        <v>3.09</v>
      </c>
      <c r="R555" s="3">
        <f>$D555*TCA!Q555/100</f>
        <v>182</v>
      </c>
      <c r="S555" s="3">
        <f>$D555*TCA!R555/100</f>
        <v>224</v>
      </c>
      <c r="T555" s="3">
        <f>$D555*TCA!S555/100</f>
        <v>1.56</v>
      </c>
      <c r="U555" s="3">
        <f>$D555*TCA!T555/100</f>
        <v>2</v>
      </c>
      <c r="V555" s="3">
        <f>$D555*TCA!U555/100</f>
        <v>68</v>
      </c>
      <c r="W555" s="3">
        <f>$D555*TCA!V555/100</f>
        <v>4</v>
      </c>
      <c r="X555" s="3">
        <f>$D555*TCA!W555/100</f>
        <v>1.49</v>
      </c>
    </row>
    <row r="556" spans="1:24" x14ac:dyDescent="0.25">
      <c r="A556" s="3" t="s">
        <v>2030</v>
      </c>
      <c r="B556" s="3" t="s">
        <v>1095</v>
      </c>
      <c r="C556" s="3" t="s">
        <v>1096</v>
      </c>
      <c r="D556" s="3">
        <v>100</v>
      </c>
      <c r="E556" s="3">
        <f>$D556*TCA!E556/100</f>
        <v>100.45</v>
      </c>
      <c r="F556" s="3">
        <f>$D556*TCA!F556/100</f>
        <v>20.309999999999999</v>
      </c>
      <c r="G556" s="3">
        <f>$D556*TCA!G556/100</f>
        <v>1.73</v>
      </c>
      <c r="H556" s="3">
        <f>$D556*TCA!H556/100</f>
        <v>0.91</v>
      </c>
      <c r="I556" s="3">
        <f>$D556*TCA!I556/100</f>
        <v>0</v>
      </c>
      <c r="J556" s="3">
        <f>$D556*TCA!J556/100</f>
        <v>0.33</v>
      </c>
      <c r="K556" s="3">
        <f>$D556*TCA!K556/100</f>
        <v>0.25</v>
      </c>
      <c r="L556" s="3">
        <f>$D556*TCA!L556/100</f>
        <v>0.67</v>
      </c>
      <c r="M556" s="3">
        <f>$D556*TCA!M556/100</f>
        <v>152</v>
      </c>
      <c r="N556" s="3">
        <f>$D556*TCA!N556/100</f>
        <v>52</v>
      </c>
      <c r="O556" s="3">
        <f>$D556*TCA!O556/100</f>
        <v>205</v>
      </c>
      <c r="P556" s="3">
        <f t="shared" si="8"/>
        <v>10.093549975381586</v>
      </c>
      <c r="Q556" s="3">
        <f>$D556*TCA!P556/100</f>
        <v>2.41</v>
      </c>
      <c r="R556" s="3">
        <f>$D556*TCA!Q556/100</f>
        <v>185</v>
      </c>
      <c r="S556" s="3">
        <f>$D556*TCA!R556/100</f>
        <v>148</v>
      </c>
      <c r="T556" s="3">
        <f>$D556*TCA!S556/100</f>
        <v>1.1100000000000001</v>
      </c>
      <c r="U556" s="3">
        <f>$D556*TCA!T556/100</f>
        <v>2</v>
      </c>
      <c r="V556" s="3">
        <f>$D556*TCA!U556/100</f>
        <v>54</v>
      </c>
      <c r="W556" s="3">
        <f>$D556*TCA!V556/100</f>
        <v>3</v>
      </c>
      <c r="X556" s="3">
        <f>$D556*TCA!W556/100</f>
        <v>1.1599999999999999</v>
      </c>
    </row>
    <row r="557" spans="1:24" x14ac:dyDescent="0.25">
      <c r="A557" s="3" t="s">
        <v>2030</v>
      </c>
      <c r="B557" s="3" t="s">
        <v>1097</v>
      </c>
      <c r="C557" s="3" t="s">
        <v>1098</v>
      </c>
      <c r="D557" s="3">
        <v>100</v>
      </c>
      <c r="E557" s="3">
        <f>$D557*TCA!E557/100</f>
        <v>78.180000000000007</v>
      </c>
      <c r="F557" s="3">
        <f>$D557*TCA!F557/100</f>
        <v>17.88</v>
      </c>
      <c r="G557" s="3">
        <f>$D557*TCA!G557/100</f>
        <v>0.74</v>
      </c>
      <c r="H557" s="3">
        <f>$D557*TCA!H557/100</f>
        <v>0</v>
      </c>
      <c r="I557" s="3">
        <f>$D557*TCA!I557/100</f>
        <v>0</v>
      </c>
      <c r="J557" s="3">
        <f>$D557*TCA!J557/100</f>
        <v>0.2</v>
      </c>
      <c r="K557" s="3">
        <f>$D557*TCA!K557/100</f>
        <v>0.13</v>
      </c>
      <c r="L557" s="3">
        <f>$D557*TCA!L557/100</f>
        <v>0.26</v>
      </c>
      <c r="M557" s="3">
        <f>$D557*TCA!M557/100</f>
        <v>97</v>
      </c>
      <c r="N557" s="3">
        <f>$D557*TCA!N557/100</f>
        <v>91</v>
      </c>
      <c r="O557" s="3">
        <f>$D557*TCA!O557/100</f>
        <v>234</v>
      </c>
      <c r="P557" s="3">
        <f t="shared" si="8"/>
        <v>13.087248322147651</v>
      </c>
      <c r="Q557" s="3">
        <f>$D557*TCA!P557/100</f>
        <v>0.5</v>
      </c>
      <c r="R557" s="3">
        <f>$D557*TCA!Q557/100</f>
        <v>259</v>
      </c>
      <c r="S557" s="3">
        <f>$D557*TCA!R557/100</f>
        <v>563</v>
      </c>
      <c r="T557" s="3">
        <f>$D557*TCA!S557/100</f>
        <v>3.81</v>
      </c>
      <c r="U557" s="3">
        <f>$D557*TCA!T557/100</f>
        <v>3.3</v>
      </c>
      <c r="V557" s="3">
        <f>$D557*TCA!U557/100</f>
        <v>1</v>
      </c>
      <c r="W557" s="3">
        <f>$D557*TCA!V557/100</f>
        <v>51</v>
      </c>
      <c r="X557" s="3">
        <f>$D557*TCA!W557/100</f>
        <v>3.33</v>
      </c>
    </row>
    <row r="558" spans="1:24" x14ac:dyDescent="0.25">
      <c r="A558" s="3" t="s">
        <v>2030</v>
      </c>
      <c r="B558" s="3" t="s">
        <v>1099</v>
      </c>
      <c r="C558" s="3" t="s">
        <v>1100</v>
      </c>
      <c r="D558" s="3">
        <v>100</v>
      </c>
      <c r="E558" s="3">
        <f>$D558*TCA!E558/100</f>
        <v>92.9</v>
      </c>
      <c r="F558" s="3">
        <f>$D558*TCA!F558/100</f>
        <v>14.8</v>
      </c>
      <c r="G558" s="3">
        <f>$D558*TCA!G558/100</f>
        <v>2.9</v>
      </c>
      <c r="H558" s="3">
        <f>$D558*TCA!H558/100</f>
        <v>1.9</v>
      </c>
      <c r="I558" s="3">
        <f>$D558*TCA!I558/100</f>
        <v>0</v>
      </c>
      <c r="J558" s="3">
        <f>$D558*TCA!J558/100</f>
        <v>0.2</v>
      </c>
      <c r="K558" s="3">
        <f>$D558*TCA!K558/100</f>
        <v>0.2</v>
      </c>
      <c r="L558" s="3">
        <f>$D558*TCA!L558/100</f>
        <v>0.5</v>
      </c>
      <c r="M558" s="3">
        <f>$D558*TCA!M558/100</f>
        <v>78</v>
      </c>
      <c r="N558" s="3">
        <f>$D558*TCA!N558/100</f>
        <v>423</v>
      </c>
      <c r="O558" s="3">
        <f>$D558*TCA!O558/100</f>
        <v>203</v>
      </c>
      <c r="P558" s="3">
        <f t="shared" si="8"/>
        <v>13.716216216216216</v>
      </c>
      <c r="Q558" s="3">
        <f>$D558*TCA!P558/100</f>
        <v>4.0999999999999996</v>
      </c>
      <c r="R558" s="3">
        <f>$D558*TCA!Q558/100</f>
        <v>265</v>
      </c>
      <c r="S558" s="3">
        <f>$D558*TCA!R558/100</f>
        <v>41</v>
      </c>
      <c r="T558" s="3">
        <f>$D558*TCA!S558/100</f>
        <v>4.3</v>
      </c>
      <c r="U558" s="3">
        <f>$D558*TCA!T558/100</f>
        <v>0</v>
      </c>
      <c r="V558" s="3">
        <f>$D558*TCA!U558/100</f>
        <v>651</v>
      </c>
      <c r="W558" s="3">
        <f>$D558*TCA!V558/100</f>
        <v>0</v>
      </c>
      <c r="X558" s="3">
        <f>$D558*TCA!W558/100</f>
        <v>0</v>
      </c>
    </row>
    <row r="559" spans="1:24" x14ac:dyDescent="0.25">
      <c r="A559" s="3" t="s">
        <v>2030</v>
      </c>
      <c r="B559" s="3" t="s">
        <v>1101</v>
      </c>
      <c r="C559" s="3" t="s">
        <v>1102</v>
      </c>
      <c r="D559" s="3">
        <v>100</v>
      </c>
      <c r="E559" s="3">
        <f>$D559*TCA!E559/100</f>
        <v>88.3</v>
      </c>
      <c r="F559" s="3">
        <f>$D559*TCA!F559/100</f>
        <v>17.3</v>
      </c>
      <c r="G559" s="3">
        <f>$D559*TCA!G559/100</f>
        <v>1.9</v>
      </c>
      <c r="H559" s="3">
        <f>$D559*TCA!H559/100</f>
        <v>0.5</v>
      </c>
      <c r="I559" s="3">
        <f>$D559*TCA!I559/100</f>
        <v>0</v>
      </c>
      <c r="J559" s="3">
        <f>$D559*TCA!J559/100</f>
        <v>0.3</v>
      </c>
      <c r="K559" s="3">
        <f>$D559*TCA!K559/100</f>
        <v>0.3</v>
      </c>
      <c r="L559" s="3">
        <f>$D559*TCA!L559/100</f>
        <v>0.9</v>
      </c>
      <c r="M559" s="3">
        <f>$D559*TCA!M559/100</f>
        <v>150</v>
      </c>
      <c r="N559" s="3">
        <f>$D559*TCA!N559/100</f>
        <v>43</v>
      </c>
      <c r="O559" s="3">
        <f>$D559*TCA!O559/100</f>
        <v>175</v>
      </c>
      <c r="P559" s="3">
        <f t="shared" si="8"/>
        <v>10.115606936416185</v>
      </c>
      <c r="Q559" s="3">
        <f>$D559*TCA!P559/100</f>
        <v>0.8</v>
      </c>
      <c r="R559" s="3">
        <f>$D559*TCA!Q559/100</f>
        <v>110</v>
      </c>
      <c r="S559" s="3">
        <f>$D559*TCA!R559/100</f>
        <v>1000</v>
      </c>
      <c r="T559" s="3">
        <f>$D559*TCA!S559/100</f>
        <v>4.3</v>
      </c>
      <c r="U559" s="3">
        <f>$D559*TCA!T559/100</f>
        <v>2</v>
      </c>
      <c r="V559" s="3">
        <f>$D559*TCA!U559/100</f>
        <v>0</v>
      </c>
      <c r="W559" s="3">
        <f>$D559*TCA!V559/100</f>
        <v>0</v>
      </c>
      <c r="X559" s="3">
        <f>$D559*TCA!W559/100</f>
        <v>0</v>
      </c>
    </row>
    <row r="560" spans="1:24" x14ac:dyDescent="0.25">
      <c r="A560" s="3" t="s">
        <v>2030</v>
      </c>
      <c r="B560" s="3" t="s">
        <v>1103</v>
      </c>
      <c r="C560" s="3" t="s">
        <v>1104</v>
      </c>
      <c r="D560" s="3">
        <v>100</v>
      </c>
      <c r="E560" s="3">
        <f>$D560*TCA!E560/100</f>
        <v>85</v>
      </c>
      <c r="F560" s="3">
        <f>$D560*TCA!F560/100</f>
        <v>16.100000000000001</v>
      </c>
      <c r="G560" s="3">
        <f>$D560*TCA!G560/100</f>
        <v>1.4</v>
      </c>
      <c r="H560" s="3">
        <f>$D560*TCA!H560/100</f>
        <v>2</v>
      </c>
      <c r="I560" s="3">
        <f>$D560*TCA!I560/100</f>
        <v>0</v>
      </c>
      <c r="J560" s="3">
        <f>$D560*TCA!J560/100</f>
        <v>0.36</v>
      </c>
      <c r="K560" s="3">
        <f>$D560*TCA!K560/100</f>
        <v>0.26</v>
      </c>
      <c r="L560" s="3">
        <f>$D560*TCA!L560/100</f>
        <v>0.25</v>
      </c>
      <c r="M560" s="3">
        <f>$D560*TCA!M560/100</f>
        <v>50</v>
      </c>
      <c r="N560" s="3">
        <f>$D560*TCA!N560/100</f>
        <v>10</v>
      </c>
      <c r="O560" s="3">
        <f>$D560*TCA!O560/100</f>
        <v>272</v>
      </c>
      <c r="P560" s="3">
        <f t="shared" si="8"/>
        <v>16.894409937888199</v>
      </c>
      <c r="Q560" s="3">
        <f>$D560*TCA!P560/100</f>
        <v>3.5</v>
      </c>
      <c r="R560" s="3">
        <f>$D560*TCA!Q560/100</f>
        <v>382</v>
      </c>
      <c r="S560" s="3">
        <f>$D560*TCA!R560/100</f>
        <v>70</v>
      </c>
      <c r="T560" s="3">
        <f>$D560*TCA!S560/100</f>
        <v>1</v>
      </c>
      <c r="U560" s="3">
        <f>$D560*TCA!T560/100</f>
        <v>0</v>
      </c>
      <c r="V560" s="3">
        <f>$D560*TCA!U560/100</f>
        <v>30</v>
      </c>
      <c r="W560" s="3">
        <f>$D560*TCA!V560/100</f>
        <v>6</v>
      </c>
      <c r="X560" s="3">
        <f>$D560*TCA!W560/100</f>
        <v>0.5</v>
      </c>
    </row>
    <row r="561" spans="1:24" x14ac:dyDescent="0.25">
      <c r="A561" s="3" t="s">
        <v>2030</v>
      </c>
      <c r="B561" s="3" t="s">
        <v>1105</v>
      </c>
      <c r="C561" s="3" t="s">
        <v>1106</v>
      </c>
      <c r="D561" s="3">
        <v>100</v>
      </c>
      <c r="E561" s="3">
        <f>$D561*TCA!E561/100</f>
        <v>83.4</v>
      </c>
      <c r="F561" s="3">
        <f>$D561*TCA!F561/100</f>
        <v>16.78</v>
      </c>
      <c r="G561" s="3">
        <f>$D561*TCA!G561/100</f>
        <v>0.76</v>
      </c>
      <c r="H561" s="3">
        <f>$D561*TCA!H561/100</f>
        <v>2.36</v>
      </c>
      <c r="I561" s="3">
        <f>$D561*TCA!I561/100</f>
        <v>0</v>
      </c>
      <c r="J561" s="3">
        <f>$D561*TCA!J561/100</f>
        <v>0.08</v>
      </c>
      <c r="K561" s="3">
        <f>$D561*TCA!K561/100</f>
        <v>0.04</v>
      </c>
      <c r="L561" s="3">
        <f>$D561*TCA!L561/100</f>
        <v>0.26</v>
      </c>
      <c r="M561" s="3">
        <f>$D561*TCA!M561/100</f>
        <v>33</v>
      </c>
      <c r="N561" s="3">
        <f>$D561*TCA!N561/100</f>
        <v>24</v>
      </c>
      <c r="O561" s="3">
        <f>$D561*TCA!O561/100</f>
        <v>219</v>
      </c>
      <c r="P561" s="3">
        <f t="shared" si="8"/>
        <v>13.051251489868891</v>
      </c>
      <c r="Q561" s="3">
        <f>$D561*TCA!P561/100</f>
        <v>0.28999999999999998</v>
      </c>
      <c r="R561" s="3">
        <f>$D561*TCA!Q561/100</f>
        <v>322</v>
      </c>
      <c r="S561" s="3">
        <f>$D561*TCA!R561/100</f>
        <v>161</v>
      </c>
      <c r="T561" s="3">
        <f>$D561*TCA!S561/100</f>
        <v>0.95</v>
      </c>
      <c r="U561" s="3">
        <f>$D561*TCA!T561/100</f>
        <v>3</v>
      </c>
      <c r="V561" s="3">
        <f>$D561*TCA!U561/100</f>
        <v>15</v>
      </c>
      <c r="W561" s="3">
        <f>$D561*TCA!V561/100</f>
        <v>16</v>
      </c>
      <c r="X561" s="3">
        <f>$D561*TCA!W561/100</f>
        <v>1.53</v>
      </c>
    </row>
    <row r="562" spans="1:24" x14ac:dyDescent="0.25">
      <c r="A562" s="3" t="s">
        <v>2030</v>
      </c>
      <c r="B562" s="3" t="s">
        <v>1107</v>
      </c>
      <c r="C562" s="3" t="s">
        <v>1108</v>
      </c>
      <c r="D562" s="3">
        <v>100</v>
      </c>
      <c r="E562" s="3">
        <f>$D562*TCA!E562/100</f>
        <v>99.65</v>
      </c>
      <c r="F562" s="3">
        <f>$D562*TCA!F562/100</f>
        <v>17.78</v>
      </c>
      <c r="G562" s="3">
        <f>$D562*TCA!G562/100</f>
        <v>3.17</v>
      </c>
      <c r="H562" s="3">
        <f>$D562*TCA!H562/100</f>
        <v>0</v>
      </c>
      <c r="I562" s="3">
        <f>$D562*TCA!I562/100</f>
        <v>0</v>
      </c>
      <c r="J562" s="3">
        <f>$D562*TCA!J562/100</f>
        <v>1.0900000000000001</v>
      </c>
      <c r="K562" s="3">
        <f>$D562*TCA!K562/100</f>
        <v>1.1499999999999999</v>
      </c>
      <c r="L562" s="3">
        <f>$D562*TCA!L562/100</f>
        <v>0.46</v>
      </c>
      <c r="M562" s="3">
        <f>$D562*TCA!M562/100</f>
        <v>61</v>
      </c>
      <c r="N562" s="3">
        <f>$D562*TCA!N562/100</f>
        <v>15</v>
      </c>
      <c r="O562" s="3">
        <f>$D562*TCA!O562/100</f>
        <v>210</v>
      </c>
      <c r="P562" s="3">
        <f t="shared" si="8"/>
        <v>11.811023622047243</v>
      </c>
      <c r="Q562" s="3">
        <f>$D562*TCA!P562/100</f>
        <v>0.37</v>
      </c>
      <c r="R562" s="3">
        <f>$D562*TCA!Q562/100</f>
        <v>345</v>
      </c>
      <c r="S562" s="3">
        <f>$D562*TCA!R562/100</f>
        <v>56</v>
      </c>
      <c r="T562" s="3">
        <f>$D562*TCA!S562/100</f>
        <v>0.42</v>
      </c>
      <c r="U562" s="3">
        <f>$D562*TCA!T562/100</f>
        <v>0</v>
      </c>
      <c r="V562" s="3">
        <f>$D562*TCA!U562/100</f>
        <v>18</v>
      </c>
      <c r="W562" s="3">
        <f>$D562*TCA!V562/100</f>
        <v>15</v>
      </c>
      <c r="X562" s="3">
        <f>$D562*TCA!W562/100</f>
        <v>2.5</v>
      </c>
    </row>
    <row r="563" spans="1:24" x14ac:dyDescent="0.25">
      <c r="A563" s="3" t="s">
        <v>2030</v>
      </c>
      <c r="B563" s="3" t="s">
        <v>1109</v>
      </c>
      <c r="C563" s="3" t="s">
        <v>1110</v>
      </c>
      <c r="D563" s="3">
        <v>100</v>
      </c>
      <c r="E563" s="3">
        <f>$D563*TCA!E563/100</f>
        <v>80.3</v>
      </c>
      <c r="F563" s="3">
        <f>$D563*TCA!F563/100</f>
        <v>18.5</v>
      </c>
      <c r="G563" s="3">
        <f>$D563*TCA!G563/100</f>
        <v>0.7</v>
      </c>
      <c r="H563" s="3">
        <f>$D563*TCA!H563/100</f>
        <v>0</v>
      </c>
      <c r="I563" s="3">
        <f>$D563*TCA!I563/100</f>
        <v>0</v>
      </c>
      <c r="J563" s="3">
        <f>$D563*TCA!J563/100</f>
        <v>0.19</v>
      </c>
      <c r="K563" s="3">
        <f>$D563*TCA!K563/100</f>
        <v>0.12</v>
      </c>
      <c r="L563" s="3">
        <f>$D563*TCA!L563/100</f>
        <v>0.17</v>
      </c>
      <c r="M563" s="3">
        <f>$D563*TCA!M563/100</f>
        <v>73</v>
      </c>
      <c r="N563" s="3">
        <f>$D563*TCA!N563/100</f>
        <v>15</v>
      </c>
      <c r="O563" s="3">
        <f>$D563*TCA!O563/100</f>
        <v>143</v>
      </c>
      <c r="P563" s="3">
        <f t="shared" si="8"/>
        <v>7.7297297297297298</v>
      </c>
      <c r="Q563" s="3">
        <f>$D563*TCA!P563/100</f>
        <v>1.1299999999999999</v>
      </c>
      <c r="R563" s="3">
        <f>$D563*TCA!Q563/100</f>
        <v>416</v>
      </c>
      <c r="S563" s="3">
        <f>$D563*TCA!R563/100</f>
        <v>88</v>
      </c>
      <c r="T563" s="3">
        <f>$D563*TCA!S563/100</f>
        <v>0.46</v>
      </c>
      <c r="U563" s="3">
        <f>$D563*TCA!T563/100</f>
        <v>0</v>
      </c>
      <c r="V563" s="3">
        <f>$D563*TCA!U563/100</f>
        <v>54</v>
      </c>
      <c r="W563" s="3">
        <f>$D563*TCA!V563/100</f>
        <v>5</v>
      </c>
      <c r="X563" s="3">
        <f>$D563*TCA!W563/100</f>
        <v>0.6</v>
      </c>
    </row>
    <row r="564" spans="1:24" x14ac:dyDescent="0.25">
      <c r="A564" s="3" t="s">
        <v>2030</v>
      </c>
      <c r="B564" s="3" t="s">
        <v>1111</v>
      </c>
      <c r="C564" s="3" t="s">
        <v>1112</v>
      </c>
      <c r="D564" s="3">
        <v>100</v>
      </c>
      <c r="E564" s="3">
        <f>$D564*TCA!E564/100</f>
        <v>95.8</v>
      </c>
      <c r="F564" s="3">
        <f>$D564*TCA!F564/100</f>
        <v>17.2</v>
      </c>
      <c r="G564" s="3">
        <f>$D564*TCA!G564/100</f>
        <v>3</v>
      </c>
      <c r="H564" s="3">
        <f>$D564*TCA!H564/100</f>
        <v>0</v>
      </c>
      <c r="I564" s="3">
        <f>$D564*TCA!I564/100</f>
        <v>0</v>
      </c>
      <c r="J564" s="3">
        <f>$D564*TCA!J564/100</f>
        <v>0</v>
      </c>
      <c r="K564" s="3">
        <f>$D564*TCA!K564/100</f>
        <v>0</v>
      </c>
      <c r="L564" s="3">
        <f>$D564*TCA!L564/100</f>
        <v>0</v>
      </c>
      <c r="M564" s="3">
        <f>$D564*TCA!M564/100</f>
        <v>0</v>
      </c>
      <c r="N564" s="3">
        <f>$D564*TCA!N564/100</f>
        <v>24</v>
      </c>
      <c r="O564" s="3">
        <f>$D564*TCA!O564/100</f>
        <v>274</v>
      </c>
      <c r="P564" s="3">
        <f t="shared" si="8"/>
        <v>15.930232558139535</v>
      </c>
      <c r="Q564" s="3">
        <f>$D564*TCA!P564/100</f>
        <v>1.8</v>
      </c>
      <c r="R564" s="3">
        <f>$D564*TCA!Q564/100</f>
        <v>0</v>
      </c>
      <c r="S564" s="3">
        <f>$D564*TCA!R564/100</f>
        <v>0</v>
      </c>
      <c r="T564" s="3">
        <f>$D564*TCA!S564/100</f>
        <v>0</v>
      </c>
      <c r="U564" s="3">
        <f>$D564*TCA!T564/100</f>
        <v>10</v>
      </c>
      <c r="V564" s="3">
        <f>$D564*TCA!U564/100</f>
        <v>0</v>
      </c>
      <c r="W564" s="3">
        <f>$D564*TCA!V564/100</f>
        <v>0</v>
      </c>
      <c r="X564" s="3">
        <f>$D564*TCA!W564/100</f>
        <v>0</v>
      </c>
    </row>
    <row r="565" spans="1:24" x14ac:dyDescent="0.25">
      <c r="A565" s="3" t="s">
        <v>2030</v>
      </c>
      <c r="B565" s="3" t="s">
        <v>1113</v>
      </c>
      <c r="C565" s="3" t="s">
        <v>1114</v>
      </c>
      <c r="D565" s="3">
        <v>100</v>
      </c>
      <c r="E565" s="3">
        <f>$D565*TCA!E565/100</f>
        <v>114.8</v>
      </c>
      <c r="F565" s="3">
        <f>$D565*TCA!F565/100</f>
        <v>19.7</v>
      </c>
      <c r="G565" s="3">
        <f>$D565*TCA!G565/100</f>
        <v>4</v>
      </c>
      <c r="H565" s="3">
        <f>$D565*TCA!H565/100</f>
        <v>0</v>
      </c>
      <c r="I565" s="3">
        <f>$D565*TCA!I565/100</f>
        <v>0</v>
      </c>
      <c r="J565" s="3">
        <f>$D565*TCA!J565/100</f>
        <v>0</v>
      </c>
      <c r="K565" s="3">
        <f>$D565*TCA!K565/100</f>
        <v>0</v>
      </c>
      <c r="L565" s="3">
        <f>$D565*TCA!L565/100</f>
        <v>0</v>
      </c>
      <c r="M565" s="3">
        <f>$D565*TCA!M565/100</f>
        <v>0</v>
      </c>
      <c r="N565" s="3">
        <f>$D565*TCA!N565/100</f>
        <v>30</v>
      </c>
      <c r="O565" s="3">
        <f>$D565*TCA!O565/100</f>
        <v>325</v>
      </c>
      <c r="P565" s="3">
        <f t="shared" si="8"/>
        <v>16.497461928934012</v>
      </c>
      <c r="Q565" s="3">
        <f>$D565*TCA!P565/100</f>
        <v>1.8</v>
      </c>
      <c r="R565" s="3">
        <f>$D565*TCA!Q565/100</f>
        <v>0</v>
      </c>
      <c r="S565" s="3">
        <f>$D565*TCA!R565/100</f>
        <v>0</v>
      </c>
      <c r="T565" s="3">
        <f>$D565*TCA!S565/100</f>
        <v>0</v>
      </c>
      <c r="U565" s="3">
        <f>$D565*TCA!T565/100</f>
        <v>0</v>
      </c>
      <c r="V565" s="3">
        <f>$D565*TCA!U565/100</f>
        <v>0</v>
      </c>
      <c r="W565" s="3">
        <f>$D565*TCA!V565/100</f>
        <v>0</v>
      </c>
      <c r="X565" s="3">
        <f>$D565*TCA!W565/100</f>
        <v>0</v>
      </c>
    </row>
    <row r="566" spans="1:24" x14ac:dyDescent="0.25">
      <c r="A566" s="3" t="s">
        <v>2030</v>
      </c>
      <c r="B566" s="3" t="s">
        <v>1115</v>
      </c>
      <c r="C566" s="3" t="s">
        <v>1116</v>
      </c>
      <c r="D566" s="3">
        <v>100</v>
      </c>
      <c r="E566" s="3">
        <f>$D566*TCA!E566/100</f>
        <v>72.83</v>
      </c>
      <c r="F566" s="3">
        <f>$D566*TCA!F566/100</f>
        <v>16.52</v>
      </c>
      <c r="G566" s="3">
        <f>$D566*TCA!G566/100</f>
        <v>0.75</v>
      </c>
      <c r="H566" s="3">
        <f>$D566*TCA!H566/100</f>
        <v>0</v>
      </c>
      <c r="I566" s="3">
        <f>$D566*TCA!I566/100</f>
        <v>0</v>
      </c>
      <c r="J566" s="3">
        <f>$D566*TCA!J566/100</f>
        <v>0.18</v>
      </c>
      <c r="K566" s="3">
        <f>$D566*TCA!K566/100</f>
        <v>0.22</v>
      </c>
      <c r="L566" s="3">
        <f>$D566*TCA!L566/100</f>
        <v>0.3</v>
      </c>
      <c r="M566" s="3">
        <f>$D566*TCA!M566/100</f>
        <v>127</v>
      </c>
      <c r="N566" s="3">
        <f>$D566*TCA!N566/100</f>
        <v>84</v>
      </c>
      <c r="O566" s="3">
        <f>$D566*TCA!O566/100</f>
        <v>161</v>
      </c>
      <c r="P566" s="3">
        <f t="shared" si="8"/>
        <v>9.7457627118644066</v>
      </c>
      <c r="Q566" s="3">
        <f>$D566*TCA!P566/100</f>
        <v>0.26</v>
      </c>
      <c r="R566" s="3">
        <f>$D566*TCA!Q566/100</f>
        <v>200</v>
      </c>
      <c r="S566" s="3">
        <f>$D566*TCA!R566/100</f>
        <v>423</v>
      </c>
      <c r="T566" s="3">
        <f>$D566*TCA!S566/100</f>
        <v>3.53</v>
      </c>
      <c r="U566" s="3">
        <f>$D566*TCA!T566/100</f>
        <v>0</v>
      </c>
      <c r="V566" s="3">
        <f>$D566*TCA!U566/100</f>
        <v>1</v>
      </c>
      <c r="W566" s="3">
        <f>$D566*TCA!V566/100</f>
        <v>10</v>
      </c>
      <c r="X566" s="3">
        <f>$D566*TCA!W566/100</f>
        <v>1.25</v>
      </c>
    </row>
    <row r="567" spans="1:24" x14ac:dyDescent="0.25">
      <c r="A567" s="3" t="s">
        <v>2030</v>
      </c>
      <c r="B567" s="3" t="s">
        <v>1117</v>
      </c>
      <c r="C567" s="3" t="s">
        <v>1118</v>
      </c>
      <c r="D567" s="3">
        <v>100</v>
      </c>
      <c r="E567" s="3">
        <f>$D567*TCA!E567/100</f>
        <v>72.430000000000007</v>
      </c>
      <c r="F567" s="3">
        <f>$D567*TCA!F567/100</f>
        <v>15.97</v>
      </c>
      <c r="G567" s="3">
        <f>$D567*TCA!G567/100</f>
        <v>0.95</v>
      </c>
      <c r="H567" s="3">
        <f>$D567*TCA!H567/100</f>
        <v>0</v>
      </c>
      <c r="I567" s="3">
        <f>$D567*TCA!I567/100</f>
        <v>0</v>
      </c>
      <c r="J567" s="3">
        <f>$D567*TCA!J567/100</f>
        <v>0.16</v>
      </c>
      <c r="K567" s="3">
        <f>$D567*TCA!K567/100</f>
        <v>0.17</v>
      </c>
      <c r="L567" s="3">
        <f>$D567*TCA!L567/100</f>
        <v>0.28999999999999998</v>
      </c>
      <c r="M567" s="3">
        <f>$D567*TCA!M567/100</f>
        <v>114</v>
      </c>
      <c r="N567" s="3">
        <f>$D567*TCA!N567/100</f>
        <v>27</v>
      </c>
      <c r="O567" s="3">
        <f>$D567*TCA!O567/100</f>
        <v>256</v>
      </c>
      <c r="P567" s="3">
        <f t="shared" si="8"/>
        <v>16.030056355666876</v>
      </c>
      <c r="Q567" s="3">
        <f>$D567*TCA!P567/100</f>
        <v>0.84</v>
      </c>
      <c r="R567" s="3">
        <f>$D567*TCA!Q567/100</f>
        <v>302</v>
      </c>
      <c r="S567" s="3">
        <f>$D567*TCA!R567/100</f>
        <v>58</v>
      </c>
      <c r="T567" s="3">
        <f>$D567*TCA!S567/100</f>
        <v>1.3</v>
      </c>
      <c r="U567" s="3">
        <f>$D567*TCA!T567/100</f>
        <v>1</v>
      </c>
      <c r="V567" s="3">
        <f>$D567*TCA!U567/100</f>
        <v>16</v>
      </c>
      <c r="W567" s="3">
        <f>$D567*TCA!V567/100</f>
        <v>37</v>
      </c>
      <c r="X567" s="3">
        <f>$D567*TCA!W567/100</f>
        <v>2</v>
      </c>
    </row>
    <row r="568" spans="1:24" x14ac:dyDescent="0.25">
      <c r="A568" s="3" t="s">
        <v>2030</v>
      </c>
      <c r="B568" s="3" t="s">
        <v>1119</v>
      </c>
      <c r="C568" s="3" t="s">
        <v>1120</v>
      </c>
      <c r="D568" s="3">
        <v>100</v>
      </c>
      <c r="E568" s="3">
        <f>$D568*TCA!E568/100</f>
        <v>86.07</v>
      </c>
      <c r="F568" s="3">
        <f>$D568*TCA!F568/100</f>
        <v>18.84</v>
      </c>
      <c r="G568" s="3">
        <f>$D568*TCA!G568/100</f>
        <v>1.19</v>
      </c>
      <c r="H568" s="3">
        <f>$D568*TCA!H568/100</f>
        <v>0</v>
      </c>
      <c r="I568" s="3">
        <f>$D568*TCA!I568/100</f>
        <v>0</v>
      </c>
      <c r="J568" s="3">
        <f>$D568*TCA!J568/100</f>
        <v>0.28000000000000003</v>
      </c>
      <c r="K568" s="3">
        <f>$D568*TCA!K568/100</f>
        <v>0.23</v>
      </c>
      <c r="L568" s="3">
        <f>$D568*TCA!L568/100</f>
        <v>0.33</v>
      </c>
      <c r="M568" s="3">
        <f>$D568*TCA!M568/100</f>
        <v>48</v>
      </c>
      <c r="N568" s="3">
        <f>$D568*TCA!N568/100</f>
        <v>18</v>
      </c>
      <c r="O568" s="3">
        <f>$D568*TCA!O568/100</f>
        <v>184</v>
      </c>
      <c r="P568" s="3">
        <f t="shared" si="8"/>
        <v>9.7664543524416132</v>
      </c>
      <c r="Q568" s="3">
        <f>$D568*TCA!P568/100</f>
        <v>0.36</v>
      </c>
      <c r="R568" s="3">
        <f>$D568*TCA!Q568/100</f>
        <v>361</v>
      </c>
      <c r="S568" s="3">
        <f>$D568*TCA!R568/100</f>
        <v>81</v>
      </c>
      <c r="T568" s="3">
        <f>$D568*TCA!S568/100</f>
        <v>0.45</v>
      </c>
      <c r="U568" s="3">
        <f>$D568*TCA!T568/100</f>
        <v>2</v>
      </c>
      <c r="V568" s="3">
        <f>$D568*TCA!U568/100</f>
        <v>10</v>
      </c>
      <c r="W568" s="3">
        <f>$D568*TCA!V568/100</f>
        <v>8</v>
      </c>
      <c r="X568" s="3">
        <f>$D568*TCA!W568/100</f>
        <v>1.52</v>
      </c>
    </row>
    <row r="569" spans="1:24" x14ac:dyDescent="0.25">
      <c r="A569" s="3" t="s">
        <v>2030</v>
      </c>
      <c r="B569" s="3" t="s">
        <v>1121</v>
      </c>
      <c r="C569" s="3" t="s">
        <v>1122</v>
      </c>
      <c r="D569" s="3">
        <v>100</v>
      </c>
      <c r="E569" s="3">
        <f>$D569*TCA!E569/100</f>
        <v>130.6</v>
      </c>
      <c r="F569" s="3">
        <f>$D569*TCA!F569/100</f>
        <v>20.5</v>
      </c>
      <c r="G569" s="3">
        <f>$D569*TCA!G569/100</f>
        <v>5.4</v>
      </c>
      <c r="H569" s="3">
        <f>$D569*TCA!H569/100</f>
        <v>0</v>
      </c>
      <c r="I569" s="3">
        <f>$D569*TCA!I569/100</f>
        <v>0</v>
      </c>
      <c r="J569" s="3">
        <f>$D569*TCA!J569/100</f>
        <v>0</v>
      </c>
      <c r="K569" s="3">
        <f>$D569*TCA!K569/100</f>
        <v>0</v>
      </c>
      <c r="L569" s="3">
        <f>$D569*TCA!L569/100</f>
        <v>0</v>
      </c>
      <c r="M569" s="3">
        <f>$D569*TCA!M569/100</f>
        <v>0</v>
      </c>
      <c r="N569" s="3">
        <f>$D569*TCA!N569/100</f>
        <v>49</v>
      </c>
      <c r="O569" s="3">
        <f>$D569*TCA!O569/100</f>
        <v>217</v>
      </c>
      <c r="P569" s="3">
        <f t="shared" si="8"/>
        <v>10.585365853658537</v>
      </c>
      <c r="Q569" s="3">
        <f>$D569*TCA!P569/100</f>
        <v>1.9</v>
      </c>
      <c r="R569" s="3">
        <f>$D569*TCA!Q569/100</f>
        <v>0</v>
      </c>
      <c r="S569" s="3">
        <f>$D569*TCA!R569/100</f>
        <v>0</v>
      </c>
      <c r="T569" s="3">
        <f>$D569*TCA!S569/100</f>
        <v>0</v>
      </c>
      <c r="U569" s="3">
        <f>$D569*TCA!T569/100</f>
        <v>5.9</v>
      </c>
      <c r="V569" s="3">
        <f>$D569*TCA!U569/100</f>
        <v>0</v>
      </c>
      <c r="W569" s="3">
        <f>$D569*TCA!V569/100</f>
        <v>0</v>
      </c>
      <c r="X569" s="3">
        <f>$D569*TCA!W569/100</f>
        <v>0</v>
      </c>
    </row>
    <row r="570" spans="1:24" x14ac:dyDescent="0.25">
      <c r="A570" s="3" t="s">
        <v>2030</v>
      </c>
      <c r="B570" s="3" t="s">
        <v>1123</v>
      </c>
      <c r="C570" s="3" t="s">
        <v>1124</v>
      </c>
      <c r="D570" s="3">
        <v>100</v>
      </c>
      <c r="E570" s="3">
        <f>$D570*TCA!E570/100</f>
        <v>103.85</v>
      </c>
      <c r="F570" s="3">
        <f>$D570*TCA!F570/100</f>
        <v>20.81</v>
      </c>
      <c r="G570" s="3">
        <f>$D570*TCA!G570/100</f>
        <v>2.29</v>
      </c>
      <c r="H570" s="3">
        <f>$D570*TCA!H570/100</f>
        <v>0</v>
      </c>
      <c r="I570" s="3">
        <f>$D570*TCA!I570/100</f>
        <v>0</v>
      </c>
      <c r="J570" s="3">
        <f>$D570*TCA!J570/100</f>
        <v>0.32</v>
      </c>
      <c r="K570" s="3">
        <f>$D570*TCA!K570/100</f>
        <v>0.75</v>
      </c>
      <c r="L570" s="3">
        <f>$D570*TCA!L570/100</f>
        <v>0.73</v>
      </c>
      <c r="M570" s="3">
        <f>$D570*TCA!M570/100</f>
        <v>32</v>
      </c>
      <c r="N570" s="3">
        <f>$D570*TCA!N570/100</f>
        <v>47</v>
      </c>
      <c r="O570" s="3">
        <f>$D570*TCA!O570/100</f>
        <v>222</v>
      </c>
      <c r="P570" s="3">
        <f t="shared" si="8"/>
        <v>10.667948101874099</v>
      </c>
      <c r="Q570" s="3">
        <f>$D570*TCA!P570/100</f>
        <v>0.84</v>
      </c>
      <c r="R570" s="3">
        <f>$D570*TCA!Q570/100</f>
        <v>450</v>
      </c>
      <c r="S570" s="3">
        <f>$D570*TCA!R570/100</f>
        <v>54</v>
      </c>
      <c r="T570" s="3">
        <f>$D570*TCA!S570/100</f>
        <v>0.42</v>
      </c>
      <c r="U570" s="3">
        <f>$D570*TCA!T570/100</f>
        <v>0</v>
      </c>
      <c r="V570" s="3">
        <f>$D570*TCA!U570/100</f>
        <v>47</v>
      </c>
      <c r="W570" s="3">
        <f>$D570*TCA!V570/100</f>
        <v>12</v>
      </c>
      <c r="X570" s="3">
        <f>$D570*TCA!W570/100</f>
        <v>1.18</v>
      </c>
    </row>
    <row r="571" spans="1:24" x14ac:dyDescent="0.25">
      <c r="A571" s="3" t="s">
        <v>2030</v>
      </c>
      <c r="B571" s="3" t="s">
        <v>1125</v>
      </c>
      <c r="C571" s="3" t="s">
        <v>1126</v>
      </c>
      <c r="D571" s="3">
        <v>100</v>
      </c>
      <c r="E571" s="3">
        <f>$D571*TCA!E571/100</f>
        <v>78.3</v>
      </c>
      <c r="F571" s="3">
        <f>$D571*TCA!F571/100</f>
        <v>9.4499999999999993</v>
      </c>
      <c r="G571" s="3">
        <f>$D571*TCA!G571/100</f>
        <v>2.2999999999999998</v>
      </c>
      <c r="H571" s="3">
        <f>$D571*TCA!H571/100</f>
        <v>4.95</v>
      </c>
      <c r="I571" s="3">
        <f>$D571*TCA!I571/100</f>
        <v>0</v>
      </c>
      <c r="J571" s="3">
        <f>$D571*TCA!J571/100</f>
        <v>0.51</v>
      </c>
      <c r="K571" s="3">
        <f>$D571*TCA!K571/100</f>
        <v>0.36</v>
      </c>
      <c r="L571" s="3">
        <f>$D571*TCA!L571/100</f>
        <v>0.89</v>
      </c>
      <c r="M571" s="3">
        <f>$D571*TCA!M571/100</f>
        <v>50</v>
      </c>
      <c r="N571" s="3">
        <f>$D571*TCA!N571/100</f>
        <v>8</v>
      </c>
      <c r="O571" s="3">
        <f>$D571*TCA!O571/100</f>
        <v>162</v>
      </c>
      <c r="P571" s="3">
        <f t="shared" si="8"/>
        <v>17.142857142857146</v>
      </c>
      <c r="Q571" s="3">
        <f>$D571*TCA!P571/100</f>
        <v>5.1100000000000003</v>
      </c>
      <c r="R571" s="3">
        <f>$D571*TCA!Q571/100</f>
        <v>162</v>
      </c>
      <c r="S571" s="3">
        <f>$D571*TCA!R571/100</f>
        <v>106</v>
      </c>
      <c r="T571" s="3">
        <f>$D571*TCA!S571/100</f>
        <v>16.62</v>
      </c>
      <c r="U571" s="3">
        <f>$D571*TCA!T571/100</f>
        <v>8</v>
      </c>
      <c r="V571" s="3">
        <f>$D571*TCA!U571/100</f>
        <v>81</v>
      </c>
      <c r="W571" s="3">
        <f>$D571*TCA!V571/100</f>
        <v>10</v>
      </c>
      <c r="X571" s="3">
        <f>$D571*TCA!W571/100</f>
        <v>16</v>
      </c>
    </row>
    <row r="572" spans="1:24" x14ac:dyDescent="0.25">
      <c r="A572" s="3" t="s">
        <v>2030</v>
      </c>
      <c r="B572" s="3" t="s">
        <v>1127</v>
      </c>
      <c r="C572" s="3" t="s">
        <v>1128</v>
      </c>
      <c r="D572" s="3">
        <v>100</v>
      </c>
      <c r="E572" s="3">
        <f>$D572*TCA!E572/100</f>
        <v>159.15</v>
      </c>
      <c r="F572" s="3">
        <f>$D572*TCA!F572/100</f>
        <v>18.48</v>
      </c>
      <c r="G572" s="3">
        <f>$D572*TCA!G572/100</f>
        <v>9.4700000000000006</v>
      </c>
      <c r="H572" s="3">
        <f>$D572*TCA!H572/100</f>
        <v>0</v>
      </c>
      <c r="I572" s="3">
        <f>$D572*TCA!I572/100</f>
        <v>0</v>
      </c>
      <c r="J572" s="3">
        <f>$D572*TCA!J572/100</f>
        <v>3.51</v>
      </c>
      <c r="K572" s="3">
        <f>$D572*TCA!K572/100</f>
        <v>2.59</v>
      </c>
      <c r="L572" s="3">
        <f>$D572*TCA!L572/100</f>
        <v>1.1399999999999999</v>
      </c>
      <c r="M572" s="3">
        <f>$D572*TCA!M572/100</f>
        <v>50</v>
      </c>
      <c r="N572" s="3">
        <f>$D572*TCA!N572/100</f>
        <v>22</v>
      </c>
      <c r="O572" s="3">
        <f>$D572*TCA!O572/100</f>
        <v>195</v>
      </c>
      <c r="P572" s="3">
        <f t="shared" si="8"/>
        <v>10.551948051948052</v>
      </c>
      <c r="Q572" s="3">
        <f>$D572*TCA!P572/100</f>
        <v>0.6</v>
      </c>
      <c r="R572" s="3">
        <f>$D572*TCA!Q572/100</f>
        <v>381</v>
      </c>
      <c r="S572" s="3">
        <f>$D572*TCA!R572/100</f>
        <v>75</v>
      </c>
      <c r="T572" s="3">
        <f>$D572*TCA!S572/100</f>
        <v>0.72</v>
      </c>
      <c r="U572" s="3">
        <f>$D572*TCA!T572/100</f>
        <v>0</v>
      </c>
      <c r="V572" s="3">
        <f>$D572*TCA!U572/100</f>
        <v>40</v>
      </c>
      <c r="W572" s="3">
        <f>$D572*TCA!V572/100</f>
        <v>15</v>
      </c>
      <c r="X572" s="3">
        <f>$D572*TCA!W572/100</f>
        <v>1.3</v>
      </c>
    </row>
    <row r="573" spans="1:24" x14ac:dyDescent="0.25">
      <c r="A573" s="3" t="s">
        <v>2030</v>
      </c>
      <c r="B573" s="3" t="s">
        <v>1129</v>
      </c>
      <c r="C573" s="3" t="s">
        <v>1130</v>
      </c>
      <c r="D573" s="3">
        <v>100</v>
      </c>
      <c r="E573" s="3">
        <f>$D573*TCA!E573/100</f>
        <v>100.09</v>
      </c>
      <c r="F573" s="3">
        <f>$D573*TCA!F573/100</f>
        <v>18.88</v>
      </c>
      <c r="G573" s="3">
        <f>$D573*TCA!G573/100</f>
        <v>2.73</v>
      </c>
      <c r="H573" s="3">
        <f>$D573*TCA!H573/100</f>
        <v>0</v>
      </c>
      <c r="I573" s="3">
        <f>$D573*TCA!I573/100</f>
        <v>0</v>
      </c>
      <c r="J573" s="3">
        <f>$D573*TCA!J573/100</f>
        <v>0.64</v>
      </c>
      <c r="K573" s="3">
        <f>$D573*TCA!K573/100</f>
        <v>0.56000000000000005</v>
      </c>
      <c r="L573" s="3">
        <f>$D573*TCA!L573/100</f>
        <v>1.03</v>
      </c>
      <c r="M573" s="3">
        <f>$D573*TCA!M573/100</f>
        <v>52</v>
      </c>
      <c r="N573" s="3">
        <f>$D573*TCA!N573/100</f>
        <v>40</v>
      </c>
      <c r="O573" s="3">
        <f>$D573*TCA!O573/100</f>
        <v>185</v>
      </c>
      <c r="P573" s="3">
        <f t="shared" si="8"/>
        <v>9.7987288135593218</v>
      </c>
      <c r="Q573" s="3">
        <f>$D573*TCA!P573/100</f>
        <v>0.53</v>
      </c>
      <c r="R573" s="3">
        <f>$D573*TCA!Q573/100</f>
        <v>287</v>
      </c>
      <c r="S573" s="3">
        <f>$D573*TCA!R573/100</f>
        <v>42</v>
      </c>
      <c r="T573" s="3">
        <f>$D573*TCA!S573/100</f>
        <v>0.48</v>
      </c>
      <c r="U573" s="3">
        <f>$D573*TCA!T573/100</f>
        <v>0</v>
      </c>
      <c r="V573" s="3">
        <f>$D573*TCA!U573/100</f>
        <v>27</v>
      </c>
      <c r="W573" s="3">
        <f>$D573*TCA!V573/100</f>
        <v>15</v>
      </c>
      <c r="X573" s="3">
        <f>$D573*TCA!W573/100</f>
        <v>1.4</v>
      </c>
    </row>
    <row r="574" spans="1:24" x14ac:dyDescent="0.25">
      <c r="A574" s="3" t="s">
        <v>2030</v>
      </c>
      <c r="B574" s="3" t="s">
        <v>1131</v>
      </c>
      <c r="C574" s="3" t="s">
        <v>1132</v>
      </c>
      <c r="D574" s="3">
        <v>100</v>
      </c>
      <c r="E574" s="3">
        <f>$D574*TCA!E574/100</f>
        <v>161.69999999999999</v>
      </c>
      <c r="F574" s="3">
        <f>$D574*TCA!F574/100</f>
        <v>24</v>
      </c>
      <c r="G574" s="3">
        <f>$D574*TCA!G574/100</f>
        <v>7.3</v>
      </c>
      <c r="H574" s="3">
        <f>$D574*TCA!H574/100</f>
        <v>0</v>
      </c>
      <c r="I574" s="3">
        <f>$D574*TCA!I574/100</f>
        <v>0</v>
      </c>
      <c r="J574" s="3">
        <f>$D574*TCA!J574/100</f>
        <v>0</v>
      </c>
      <c r="K574" s="3">
        <f>$D574*TCA!K574/100</f>
        <v>0</v>
      </c>
      <c r="L574" s="3">
        <f>$D574*TCA!L574/100</f>
        <v>0</v>
      </c>
      <c r="M574" s="3">
        <f>$D574*TCA!M574/100</f>
        <v>0</v>
      </c>
      <c r="N574" s="3">
        <f>$D574*TCA!N574/100</f>
        <v>26</v>
      </c>
      <c r="O574" s="3">
        <f>$D574*TCA!O574/100</f>
        <v>0</v>
      </c>
      <c r="P574" s="3">
        <f t="shared" si="8"/>
        <v>0</v>
      </c>
      <c r="Q574" s="3">
        <f>$D574*TCA!P574/100</f>
        <v>0.7</v>
      </c>
      <c r="R574" s="3">
        <f>$D574*TCA!Q574/100</f>
        <v>293</v>
      </c>
      <c r="S574" s="3">
        <f>$D574*TCA!R574/100</f>
        <v>40</v>
      </c>
      <c r="T574" s="3">
        <f>$D574*TCA!S574/100</f>
        <v>0.3</v>
      </c>
      <c r="U574" s="3">
        <f>$D574*TCA!T574/100</f>
        <v>0</v>
      </c>
      <c r="V574" s="3">
        <f>$D574*TCA!U574/100</f>
        <v>0</v>
      </c>
      <c r="W574" s="3">
        <f>$D574*TCA!V574/100</f>
        <v>0</v>
      </c>
      <c r="X574" s="3">
        <f>$D574*TCA!W574/100</f>
        <v>0</v>
      </c>
    </row>
    <row r="575" spans="1:24" x14ac:dyDescent="0.25">
      <c r="A575" s="3" t="s">
        <v>2030</v>
      </c>
      <c r="B575" s="3" t="s">
        <v>1133</v>
      </c>
      <c r="C575" s="3" t="s">
        <v>1134</v>
      </c>
      <c r="D575" s="3">
        <v>100</v>
      </c>
      <c r="E575" s="3">
        <f>$D575*TCA!E575/100</f>
        <v>77.8</v>
      </c>
      <c r="F575" s="3">
        <f>$D575*TCA!F575/100</f>
        <v>14.91</v>
      </c>
      <c r="G575" s="3">
        <f>$D575*TCA!G575/100</f>
        <v>1.04</v>
      </c>
      <c r="H575" s="3">
        <f>$D575*TCA!H575/100</f>
        <v>2.2000000000000002</v>
      </c>
      <c r="I575" s="3">
        <f>$D575*TCA!I575/100</f>
        <v>0</v>
      </c>
      <c r="J575" s="3">
        <f>$D575*TCA!J575/100</f>
        <v>0.23</v>
      </c>
      <c r="K575" s="3">
        <f>$D575*TCA!K575/100</f>
        <v>0.16</v>
      </c>
      <c r="L575" s="3">
        <f>$D575*TCA!L575/100</f>
        <v>0.24</v>
      </c>
      <c r="M575" s="3">
        <f>$D575*TCA!M575/100</f>
        <v>48</v>
      </c>
      <c r="N575" s="3">
        <f>$D575*TCA!N575/100</f>
        <v>53</v>
      </c>
      <c r="O575" s="3">
        <f>$D575*TCA!O575/100</f>
        <v>186</v>
      </c>
      <c r="P575" s="3">
        <f t="shared" si="8"/>
        <v>12.474849094567404</v>
      </c>
      <c r="Q575" s="3">
        <f>$D575*TCA!P575/100</f>
        <v>5.3</v>
      </c>
      <c r="R575" s="3">
        <f>$D575*TCA!Q575/100</f>
        <v>350</v>
      </c>
      <c r="S575" s="3">
        <f>$D575*TCA!R575/100</f>
        <v>230</v>
      </c>
      <c r="T575" s="3">
        <f>$D575*TCA!S575/100</f>
        <v>1.68</v>
      </c>
      <c r="U575" s="3">
        <f>$D575*TCA!T575/100</f>
        <v>5</v>
      </c>
      <c r="V575" s="3">
        <f>$D575*TCA!U575/100</f>
        <v>45</v>
      </c>
      <c r="W575" s="3">
        <f>$D575*TCA!V575/100</f>
        <v>16</v>
      </c>
      <c r="X575" s="3">
        <f>$D575*TCA!W575/100</f>
        <v>20</v>
      </c>
    </row>
    <row r="576" spans="1:24" x14ac:dyDescent="0.25">
      <c r="A576" s="3" t="s">
        <v>2030</v>
      </c>
      <c r="B576" s="3" t="s">
        <v>1135</v>
      </c>
      <c r="C576" s="3" t="s">
        <v>1136</v>
      </c>
      <c r="D576" s="3">
        <v>100</v>
      </c>
      <c r="E576" s="3">
        <f>$D576*TCA!E576/100</f>
        <v>91.72</v>
      </c>
      <c r="F576" s="3">
        <f>$D576*TCA!F576/100</f>
        <v>18.43</v>
      </c>
      <c r="G576" s="3">
        <f>$D576*TCA!G576/100</f>
        <v>2</v>
      </c>
      <c r="H576" s="3">
        <f>$D576*TCA!H576/100</f>
        <v>0</v>
      </c>
      <c r="I576" s="3">
        <f>$D576*TCA!I576/100</f>
        <v>0</v>
      </c>
      <c r="J576" s="3">
        <f>$D576*TCA!J576/100</f>
        <v>0.51</v>
      </c>
      <c r="K576" s="3">
        <f>$D576*TCA!K576/100</f>
        <v>0.42</v>
      </c>
      <c r="L576" s="3">
        <f>$D576*TCA!L576/100</f>
        <v>0.74</v>
      </c>
      <c r="M576" s="3">
        <f>$D576*TCA!M576/100</f>
        <v>41</v>
      </c>
      <c r="N576" s="3">
        <f>$D576*TCA!N576/100</f>
        <v>10</v>
      </c>
      <c r="O576" s="3">
        <f>$D576*TCA!O576/100</f>
        <v>194</v>
      </c>
      <c r="P576" s="3">
        <f t="shared" si="8"/>
        <v>10.526315789473685</v>
      </c>
      <c r="Q576" s="3">
        <f>$D576*TCA!P576/100</f>
        <v>0.28999999999999998</v>
      </c>
      <c r="R576" s="3">
        <f>$D576*TCA!Q576/100</f>
        <v>256</v>
      </c>
      <c r="S576" s="3">
        <f>$D576*TCA!R576/100</f>
        <v>68</v>
      </c>
      <c r="T576" s="3">
        <f>$D576*TCA!S576/100</f>
        <v>0.4</v>
      </c>
      <c r="U576" s="3">
        <f>$D576*TCA!T576/100</f>
        <v>0</v>
      </c>
      <c r="V576" s="3">
        <f>$D576*TCA!U576/100</f>
        <v>55</v>
      </c>
      <c r="W576" s="3">
        <f>$D576*TCA!V576/100</f>
        <v>5</v>
      </c>
      <c r="X576" s="3">
        <f>$D576*TCA!W576/100</f>
        <v>0.3</v>
      </c>
    </row>
    <row r="577" spans="1:24" x14ac:dyDescent="0.25">
      <c r="A577" s="3" t="s">
        <v>2030</v>
      </c>
      <c r="B577" s="3" t="s">
        <v>1137</v>
      </c>
      <c r="C577" s="3" t="s">
        <v>1138</v>
      </c>
      <c r="D577" s="3">
        <v>100</v>
      </c>
      <c r="E577" s="3">
        <f>$D577*TCA!E577/100</f>
        <v>112</v>
      </c>
      <c r="F577" s="3">
        <f>$D577*TCA!F577/100</f>
        <v>18.28</v>
      </c>
      <c r="G577" s="3">
        <f>$D577*TCA!G577/100</f>
        <v>4.32</v>
      </c>
      <c r="H577" s="3">
        <f>$D577*TCA!H577/100</f>
        <v>0</v>
      </c>
      <c r="I577" s="3">
        <f>$D577*TCA!I577/100</f>
        <v>0</v>
      </c>
      <c r="J577" s="3">
        <f>$D577*TCA!J577/100</f>
        <v>0.93</v>
      </c>
      <c r="K577" s="3">
        <f>$D577*TCA!K577/100</f>
        <v>2.02</v>
      </c>
      <c r="L577" s="3">
        <f>$D577*TCA!L577/100</f>
        <v>1</v>
      </c>
      <c r="M577" s="3">
        <f>$D577*TCA!M577/100</f>
        <v>23</v>
      </c>
      <c r="N577" s="3">
        <f>$D577*TCA!N577/100</f>
        <v>11</v>
      </c>
      <c r="O577" s="3">
        <f>$D577*TCA!O577/100</f>
        <v>164</v>
      </c>
      <c r="P577" s="3">
        <f t="shared" si="8"/>
        <v>8.9715536105032818</v>
      </c>
      <c r="Q577" s="3">
        <f>$D577*TCA!P577/100</f>
        <v>0.85</v>
      </c>
      <c r="R577" s="3">
        <f>$D577*TCA!Q577/100</f>
        <v>175</v>
      </c>
      <c r="S577" s="3">
        <f>$D577*TCA!R577/100</f>
        <v>784</v>
      </c>
      <c r="T577" s="3">
        <f>$D577*TCA!S577/100</f>
        <v>0.31</v>
      </c>
      <c r="U577" s="3">
        <f>$D577*TCA!T577/100</f>
        <v>0</v>
      </c>
      <c r="V577" s="3">
        <f>$D577*TCA!U577/100</f>
        <v>26</v>
      </c>
      <c r="W577" s="3">
        <f>$D577*TCA!V577/100</f>
        <v>2</v>
      </c>
      <c r="X577" s="3">
        <f>$D577*TCA!W577/100</f>
        <v>3.26</v>
      </c>
    </row>
    <row r="578" spans="1:24" x14ac:dyDescent="0.25">
      <c r="A578" s="3" t="s">
        <v>2030</v>
      </c>
      <c r="B578" s="3" t="s">
        <v>1139</v>
      </c>
      <c r="C578" s="3" t="s">
        <v>1140</v>
      </c>
      <c r="D578" s="3">
        <v>100</v>
      </c>
      <c r="E578" s="3">
        <f>$D578*TCA!E578/100</f>
        <v>173.59</v>
      </c>
      <c r="F578" s="3">
        <f>$D578*TCA!F578/100</f>
        <v>19.93</v>
      </c>
      <c r="G578" s="3">
        <f>$D578*TCA!G578/100</f>
        <v>10.43</v>
      </c>
      <c r="H578" s="3">
        <f>$D578*TCA!H578/100</f>
        <v>0</v>
      </c>
      <c r="I578" s="3">
        <f>$D578*TCA!I578/100</f>
        <v>0</v>
      </c>
      <c r="J578" s="3">
        <f>$D578*TCA!J578/100</f>
        <v>3.1</v>
      </c>
      <c r="K578" s="3">
        <f>$D578*TCA!K578/100</f>
        <v>4.4000000000000004</v>
      </c>
      <c r="L578" s="3">
        <f>$D578*TCA!L578/100</f>
        <v>2.8</v>
      </c>
      <c r="M578" s="3">
        <f>$D578*TCA!M578/100</f>
        <v>50</v>
      </c>
      <c r="N578" s="3">
        <f>$D578*TCA!N578/100</f>
        <v>26</v>
      </c>
      <c r="O578" s="3">
        <f>$D578*TCA!O578/100</f>
        <v>289</v>
      </c>
      <c r="P578" s="3">
        <f t="shared" si="8"/>
        <v>14.500752634219769</v>
      </c>
      <c r="Q578" s="3">
        <f>$D578*TCA!P578/100</f>
        <v>0.25</v>
      </c>
      <c r="R578" s="3">
        <f>$D578*TCA!Q578/100</f>
        <v>394</v>
      </c>
      <c r="S578" s="3">
        <f>$D578*TCA!R578/100</f>
        <v>47</v>
      </c>
      <c r="T578" s="3">
        <f>$D578*TCA!S578/100</f>
        <v>0.44</v>
      </c>
      <c r="U578" s="3">
        <f>$D578*TCA!T578/100</f>
        <v>4</v>
      </c>
      <c r="V578" s="3">
        <f>$D578*TCA!U578/100</f>
        <v>136</v>
      </c>
      <c r="W578" s="3">
        <f>$D578*TCA!V578/100</f>
        <v>30</v>
      </c>
      <c r="X578" s="3">
        <f>$D578*TCA!W578/100</f>
        <v>1.3</v>
      </c>
    </row>
    <row r="579" spans="1:24" x14ac:dyDescent="0.25">
      <c r="A579" s="3" t="s">
        <v>2030</v>
      </c>
      <c r="B579" s="3" t="s">
        <v>1141</v>
      </c>
      <c r="C579" s="3" t="s">
        <v>1142</v>
      </c>
      <c r="D579" s="3">
        <v>100</v>
      </c>
      <c r="E579" s="3">
        <f>$D579*TCA!E579/100</f>
        <v>201.53</v>
      </c>
      <c r="F579" s="3">
        <f>$D579*TCA!F579/100</f>
        <v>24.62</v>
      </c>
      <c r="G579" s="3">
        <f>$D579*TCA!G579/100</f>
        <v>11.45</v>
      </c>
      <c r="H579" s="3">
        <f>$D579*TCA!H579/100</f>
        <v>0</v>
      </c>
      <c r="I579" s="3">
        <f>$D579*TCA!I579/100</f>
        <v>0</v>
      </c>
      <c r="J579" s="3">
        <f>$D579*TCA!J579/100</f>
        <v>1.53</v>
      </c>
      <c r="K579" s="3">
        <f>$D579*TCA!K579/100</f>
        <v>3.87</v>
      </c>
      <c r="L579" s="3">
        <f>$D579*TCA!L579/100</f>
        <v>5.15</v>
      </c>
      <c r="M579" s="3">
        <f>$D579*TCA!M579/100</f>
        <v>142</v>
      </c>
      <c r="N579" s="3">
        <f>$D579*TCA!N579/100</f>
        <v>382</v>
      </c>
      <c r="O579" s="3">
        <f>$D579*TCA!O579/100</f>
        <v>490</v>
      </c>
      <c r="P579" s="3">
        <f t="shared" si="8"/>
        <v>19.902518277822907</v>
      </c>
      <c r="Q579" s="3">
        <f>$D579*TCA!P579/100</f>
        <v>2.92</v>
      </c>
      <c r="R579" s="3">
        <f>$D579*TCA!Q579/100</f>
        <v>397</v>
      </c>
      <c r="S579" s="3">
        <f>$D579*TCA!R579/100</f>
        <v>505</v>
      </c>
      <c r="T579" s="3">
        <f>$D579*TCA!S579/100</f>
        <v>1.31</v>
      </c>
      <c r="U579" s="3">
        <f>$D579*TCA!T579/100</f>
        <v>0</v>
      </c>
      <c r="V579" s="3">
        <f>$D579*TCA!U579/100</f>
        <v>32</v>
      </c>
      <c r="W579" s="3">
        <f>$D579*TCA!V579/100</f>
        <v>12</v>
      </c>
      <c r="X579" s="3">
        <f>$D579*TCA!W579/100</f>
        <v>8.94</v>
      </c>
    </row>
    <row r="580" spans="1:24" x14ac:dyDescent="0.25">
      <c r="A580" s="3" t="s">
        <v>2030</v>
      </c>
      <c r="B580" s="3" t="s">
        <v>1143</v>
      </c>
      <c r="C580" s="3" t="s">
        <v>1144</v>
      </c>
      <c r="D580" s="3">
        <v>100</v>
      </c>
      <c r="E580" s="3">
        <f>$D580*TCA!E580/100</f>
        <v>180.54</v>
      </c>
      <c r="F580" s="3">
        <f>$D580*TCA!F580/100</f>
        <v>20.86</v>
      </c>
      <c r="G580" s="3">
        <f>$D580*TCA!G580/100</f>
        <v>10.46</v>
      </c>
      <c r="H580" s="3">
        <f>$D580*TCA!H580/100</f>
        <v>0.74</v>
      </c>
      <c r="I580" s="3">
        <f>$D580*TCA!I580/100</f>
        <v>0.1</v>
      </c>
      <c r="J580" s="3">
        <f>$D580*TCA!J580/100</f>
        <v>2.69</v>
      </c>
      <c r="K580" s="3">
        <f>$D580*TCA!K580/100</f>
        <v>4.82</v>
      </c>
      <c r="L580" s="3">
        <f>$D580*TCA!L580/100</f>
        <v>2.11</v>
      </c>
      <c r="M580" s="3">
        <f>$D580*TCA!M580/100</f>
        <v>61</v>
      </c>
      <c r="N580" s="3">
        <f>$D580*TCA!N580/100</f>
        <v>240</v>
      </c>
      <c r="O580" s="3">
        <f>$D580*TCA!O580/100</f>
        <v>366</v>
      </c>
      <c r="P580" s="3">
        <f t="shared" ref="P580:P643" si="9">O580/F580</f>
        <v>17.545541706615534</v>
      </c>
      <c r="Q580" s="3">
        <f>$D580*TCA!P580/100</f>
        <v>2.2999999999999998</v>
      </c>
      <c r="R580" s="3">
        <f>$D580*TCA!Q580/100</f>
        <v>341</v>
      </c>
      <c r="S580" s="3">
        <f>$D580*TCA!R580/100</f>
        <v>414</v>
      </c>
      <c r="T580" s="3">
        <f>$D580*TCA!S580/100</f>
        <v>1.4</v>
      </c>
      <c r="U580" s="3">
        <f>$D580*TCA!T580/100</f>
        <v>1</v>
      </c>
      <c r="V580" s="3">
        <f>$D580*TCA!U580/100</f>
        <v>34</v>
      </c>
      <c r="W580" s="3">
        <f>$D580*TCA!V580/100</f>
        <v>24</v>
      </c>
      <c r="X580" s="3">
        <f>$D580*TCA!W580/100</f>
        <v>9</v>
      </c>
    </row>
    <row r="581" spans="1:24" x14ac:dyDescent="0.25">
      <c r="A581" s="3" t="s">
        <v>2030</v>
      </c>
      <c r="B581" s="3" t="s">
        <v>1145</v>
      </c>
      <c r="C581" s="3" t="s">
        <v>1146</v>
      </c>
      <c r="D581" s="3">
        <v>100</v>
      </c>
      <c r="E581" s="3">
        <f>$D581*TCA!E581/100</f>
        <v>128.6</v>
      </c>
      <c r="F581" s="3">
        <f>$D581*TCA!F581/100</f>
        <v>21.8</v>
      </c>
      <c r="G581" s="3">
        <f>$D581*TCA!G581/100</f>
        <v>4.5999999999999996</v>
      </c>
      <c r="H581" s="3">
        <f>$D581*TCA!H581/100</f>
        <v>0</v>
      </c>
      <c r="I581" s="3">
        <f>$D581*TCA!I581/100</f>
        <v>0</v>
      </c>
      <c r="J581" s="3">
        <f>$D581*TCA!J581/100</f>
        <v>0.13</v>
      </c>
      <c r="K581" s="3">
        <f>$D581*TCA!K581/100</f>
        <v>0.09</v>
      </c>
      <c r="L581" s="3">
        <f>$D581*TCA!L581/100</f>
        <v>0.23</v>
      </c>
      <c r="M581" s="3">
        <f>$D581*TCA!M581/100</f>
        <v>43</v>
      </c>
      <c r="N581" s="3">
        <f>$D581*TCA!N581/100</f>
        <v>54</v>
      </c>
      <c r="O581" s="3">
        <f>$D581*TCA!O581/100</f>
        <v>238</v>
      </c>
      <c r="P581" s="3">
        <f t="shared" si="9"/>
        <v>10.917431192660549</v>
      </c>
      <c r="Q581" s="3">
        <f>$D581*TCA!P581/100</f>
        <v>1.2</v>
      </c>
      <c r="R581" s="3">
        <f>$D581*TCA!Q581/100</f>
        <v>413</v>
      </c>
      <c r="S581" s="3">
        <f>$D581*TCA!R581/100</f>
        <v>54</v>
      </c>
      <c r="T581" s="3">
        <f>$D581*TCA!S581/100</f>
        <v>0.45</v>
      </c>
      <c r="U581" s="3">
        <f>$D581*TCA!T581/100</f>
        <v>0</v>
      </c>
      <c r="V581" s="3">
        <f>$D581*TCA!U581/100</f>
        <v>12</v>
      </c>
      <c r="W581" s="3">
        <f>$D581*TCA!V581/100</f>
        <v>7</v>
      </c>
      <c r="X581" s="3">
        <f>$D581*TCA!W581/100</f>
        <v>0.91</v>
      </c>
    </row>
    <row r="582" spans="1:24" x14ac:dyDescent="0.25">
      <c r="A582" s="3" t="s">
        <v>2030</v>
      </c>
      <c r="B582" s="3" t="s">
        <v>1147</v>
      </c>
      <c r="C582" s="3" t="s">
        <v>1148</v>
      </c>
      <c r="D582" s="3">
        <v>100</v>
      </c>
      <c r="E582" s="3">
        <f>$D582*TCA!E582/100</f>
        <v>128.44999999999999</v>
      </c>
      <c r="F582" s="3">
        <f>$D582*TCA!F582/100</f>
        <v>26.15</v>
      </c>
      <c r="G582" s="3">
        <f>$D582*TCA!G582/100</f>
        <v>2.65</v>
      </c>
      <c r="H582" s="3">
        <f>$D582*TCA!H582/100</f>
        <v>0</v>
      </c>
      <c r="I582" s="3">
        <f>$D582*TCA!I582/100</f>
        <v>0</v>
      </c>
      <c r="J582" s="3">
        <f>$D582*TCA!J582/100</f>
        <v>0.94</v>
      </c>
      <c r="K582" s="3">
        <f>$D582*TCA!K582/100</f>
        <v>0.95</v>
      </c>
      <c r="L582" s="3">
        <f>$D582*TCA!L582/100</f>
        <v>0.6</v>
      </c>
      <c r="M582" s="3">
        <f>$D582*TCA!M582/100</f>
        <v>57</v>
      </c>
      <c r="N582" s="3">
        <f>$D582*TCA!N582/100</f>
        <v>14</v>
      </c>
      <c r="O582" s="3">
        <f>$D582*TCA!O582/100</f>
        <v>204</v>
      </c>
      <c r="P582" s="3">
        <f t="shared" si="9"/>
        <v>7.8011472275334608</v>
      </c>
      <c r="Q582" s="3">
        <f>$D582*TCA!P582/100</f>
        <v>0.69</v>
      </c>
      <c r="R582" s="3">
        <f>$D582*TCA!Q582/100</f>
        <v>380</v>
      </c>
      <c r="S582" s="3">
        <f>$D582*TCA!R582/100</f>
        <v>56</v>
      </c>
      <c r="T582" s="3">
        <f>$D582*TCA!S582/100</f>
        <v>0.41</v>
      </c>
      <c r="U582" s="3">
        <f>$D582*TCA!T582/100</f>
        <v>0</v>
      </c>
      <c r="V582" s="3">
        <f>$D582*TCA!U582/100</f>
        <v>0</v>
      </c>
      <c r="W582" s="3">
        <f>$D582*TCA!V582/100</f>
        <v>6</v>
      </c>
      <c r="X582" s="3">
        <f>$D582*TCA!W582/100</f>
        <v>1.86</v>
      </c>
    </row>
    <row r="583" spans="1:24" x14ac:dyDescent="0.25">
      <c r="A583" s="3" t="s">
        <v>2030</v>
      </c>
      <c r="B583" s="3" t="s">
        <v>1149</v>
      </c>
      <c r="C583" s="3" t="s">
        <v>1150</v>
      </c>
      <c r="D583" s="3">
        <v>100</v>
      </c>
      <c r="E583" s="3">
        <f>$D583*TCA!E583/100</f>
        <v>95.62</v>
      </c>
      <c r="F583" s="3">
        <f>$D583*TCA!F583/100</f>
        <v>20.079999999999998</v>
      </c>
      <c r="G583" s="3">
        <f>$D583*TCA!G583/100</f>
        <v>1.7</v>
      </c>
      <c r="H583" s="3">
        <f>$D583*TCA!H583/100</f>
        <v>0</v>
      </c>
      <c r="I583" s="3">
        <f>$D583*TCA!I583/100</f>
        <v>0</v>
      </c>
      <c r="J583" s="3">
        <f>$D583*TCA!J583/100</f>
        <v>0.56999999999999995</v>
      </c>
      <c r="K583" s="3">
        <f>$D583*TCA!K583/100</f>
        <v>0.49</v>
      </c>
      <c r="L583" s="3">
        <f>$D583*TCA!L583/100</f>
        <v>0.39</v>
      </c>
      <c r="M583" s="3">
        <f>$D583*TCA!M583/100</f>
        <v>50</v>
      </c>
      <c r="N583" s="3">
        <f>$D583*TCA!N583/100</f>
        <v>10</v>
      </c>
      <c r="O583" s="3">
        <f>$D583*TCA!O583/100</f>
        <v>170</v>
      </c>
      <c r="P583" s="3">
        <f t="shared" si="9"/>
        <v>8.4661354581673312</v>
      </c>
      <c r="Q583" s="3">
        <f>$D583*TCA!P583/100</f>
        <v>0.56000000000000005</v>
      </c>
      <c r="R583" s="3">
        <f>$D583*TCA!Q583/100</f>
        <v>302</v>
      </c>
      <c r="S583" s="3">
        <f>$D583*TCA!R583/100</f>
        <v>52</v>
      </c>
      <c r="T583" s="3">
        <f>$D583*TCA!S583/100</f>
        <v>0.33</v>
      </c>
      <c r="U583" s="3">
        <f>$D583*TCA!T583/100</f>
        <v>0</v>
      </c>
      <c r="V583" s="3">
        <f>$D583*TCA!U583/100</f>
        <v>0</v>
      </c>
      <c r="W583" s="3">
        <f>$D583*TCA!V583/100</f>
        <v>24</v>
      </c>
      <c r="X583" s="3">
        <f>$D583*TCA!W583/100</f>
        <v>1.58</v>
      </c>
    </row>
    <row r="584" spans="1:24" x14ac:dyDescent="0.25">
      <c r="A584" s="3" t="s">
        <v>2030</v>
      </c>
      <c r="B584" s="3" t="s">
        <v>1151</v>
      </c>
      <c r="C584" s="3" t="s">
        <v>1152</v>
      </c>
      <c r="D584" s="3">
        <v>100</v>
      </c>
      <c r="E584" s="3">
        <f>$D584*TCA!E584/100</f>
        <v>83.4</v>
      </c>
      <c r="F584" s="3">
        <f>$D584*TCA!F584/100</f>
        <v>19.5</v>
      </c>
      <c r="G584" s="3">
        <f>$D584*TCA!G584/100</f>
        <v>0.6</v>
      </c>
      <c r="H584" s="3">
        <f>$D584*TCA!H584/100</f>
        <v>0</v>
      </c>
      <c r="I584" s="3">
        <f>$D584*TCA!I584/100</f>
        <v>0</v>
      </c>
      <c r="J584" s="3">
        <f>$D584*TCA!J584/100</f>
        <v>0</v>
      </c>
      <c r="K584" s="3">
        <f>$D584*TCA!K584/100</f>
        <v>0</v>
      </c>
      <c r="L584" s="3">
        <f>$D584*TCA!L584/100</f>
        <v>0</v>
      </c>
      <c r="M584" s="3">
        <f>$D584*TCA!M584/100</f>
        <v>0</v>
      </c>
      <c r="N584" s="3">
        <f>$D584*TCA!N584/100</f>
        <v>20</v>
      </c>
      <c r="O584" s="3">
        <f>$D584*TCA!O584/100</f>
        <v>229</v>
      </c>
      <c r="P584" s="3">
        <f t="shared" si="9"/>
        <v>11.743589743589743</v>
      </c>
      <c r="Q584" s="3">
        <f>$D584*TCA!P584/100</f>
        <v>3.43</v>
      </c>
      <c r="R584" s="3">
        <f>$D584*TCA!Q584/100</f>
        <v>0</v>
      </c>
      <c r="S584" s="3">
        <f>$D584*TCA!R584/100</f>
        <v>0</v>
      </c>
      <c r="T584" s="3">
        <f>$D584*TCA!S584/100</f>
        <v>0</v>
      </c>
      <c r="U584" s="3">
        <f>$D584*TCA!T584/100</f>
        <v>29.3</v>
      </c>
      <c r="V584" s="3">
        <f>$D584*TCA!U584/100</f>
        <v>0</v>
      </c>
      <c r="W584" s="3">
        <f>$D584*TCA!V584/100</f>
        <v>0</v>
      </c>
      <c r="X584" s="3">
        <f>$D584*TCA!W584/100</f>
        <v>0</v>
      </c>
    </row>
    <row r="585" spans="1:24" x14ac:dyDescent="0.25">
      <c r="A585" s="3" t="s">
        <v>2030</v>
      </c>
      <c r="B585" s="3" t="s">
        <v>1153</v>
      </c>
      <c r="C585" s="3" t="s">
        <v>1154</v>
      </c>
      <c r="D585" s="3">
        <v>100</v>
      </c>
      <c r="E585" s="3">
        <f>$D585*TCA!E585/100</f>
        <v>142.57</v>
      </c>
      <c r="F585" s="3">
        <f>$D585*TCA!F585/100</f>
        <v>20.77</v>
      </c>
      <c r="G585" s="3">
        <f>$D585*TCA!G585/100</f>
        <v>6.61</v>
      </c>
      <c r="H585" s="3">
        <f>$D585*TCA!H585/100</f>
        <v>0</v>
      </c>
      <c r="I585" s="3">
        <f>$D585*TCA!I585/100</f>
        <v>0</v>
      </c>
      <c r="J585" s="3">
        <f>$D585*TCA!J585/100</f>
        <v>1.1499999999999999</v>
      </c>
      <c r="K585" s="3">
        <f>$D585*TCA!K585/100</f>
        <v>3.25</v>
      </c>
      <c r="L585" s="3">
        <f>$D585*TCA!L585/100</f>
        <v>1.5</v>
      </c>
      <c r="M585" s="3">
        <f>$D585*TCA!M585/100</f>
        <v>58</v>
      </c>
      <c r="N585" s="3">
        <f>$D585*TCA!N585/100</f>
        <v>43</v>
      </c>
      <c r="O585" s="3">
        <f>$D585*TCA!O585/100</f>
        <v>245</v>
      </c>
      <c r="P585" s="3">
        <f t="shared" si="9"/>
        <v>11.795859412614348</v>
      </c>
      <c r="Q585" s="3">
        <f>$D585*TCA!P585/100</f>
        <v>1.5</v>
      </c>
      <c r="R585" s="3">
        <f>$D585*TCA!Q585/100</f>
        <v>361</v>
      </c>
      <c r="S585" s="3">
        <f>$D585*TCA!R585/100</f>
        <v>52</v>
      </c>
      <c r="T585" s="3">
        <f>$D585*TCA!S585/100</f>
        <v>0.66</v>
      </c>
      <c r="U585" s="3">
        <f>$D585*TCA!T585/100</f>
        <v>1</v>
      </c>
      <c r="V585" s="3">
        <f>$D585*TCA!U585/100</f>
        <v>17</v>
      </c>
      <c r="W585" s="3">
        <f>$D585*TCA!V585/100</f>
        <v>13</v>
      </c>
      <c r="X585" s="3">
        <f>$D585*TCA!W585/100</f>
        <v>7.79</v>
      </c>
    </row>
    <row r="586" spans="1:24" x14ac:dyDescent="0.25">
      <c r="A586" s="10"/>
      <c r="B586" s="10"/>
      <c r="C586" s="10"/>
      <c r="D586" s="3">
        <v>100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spans="1:24" x14ac:dyDescent="0.25">
      <c r="A587" s="3" t="s">
        <v>2031</v>
      </c>
      <c r="B587" s="3" t="s">
        <v>1155</v>
      </c>
      <c r="C587" s="3" t="s">
        <v>1156</v>
      </c>
      <c r="D587" s="3">
        <v>100</v>
      </c>
      <c r="E587" s="3">
        <f>$D587*TCA!E587/100</f>
        <v>175</v>
      </c>
      <c r="F587" s="3">
        <f>$D587*TCA!F587/100</f>
        <v>3.33</v>
      </c>
      <c r="G587" s="3">
        <f>$D587*TCA!G587/100</f>
        <v>15</v>
      </c>
      <c r="H587" s="3">
        <f>$D587*TCA!H587/100</f>
        <v>6.67</v>
      </c>
      <c r="I587" s="3">
        <f>$D587*TCA!I587/100</f>
        <v>0</v>
      </c>
      <c r="J587" s="3">
        <f>$D587*TCA!J587/100</f>
        <v>3.33</v>
      </c>
      <c r="K587" s="3">
        <f>$D587*TCA!K587/100</f>
        <v>0</v>
      </c>
      <c r="L587" s="3">
        <f>$D587*TCA!L587/100</f>
        <v>0</v>
      </c>
      <c r="M587" s="3">
        <f>$D587*TCA!M587/100</f>
        <v>0</v>
      </c>
      <c r="N587" s="3">
        <f>$D587*TCA!N587/100</f>
        <v>67</v>
      </c>
      <c r="O587" s="3">
        <f>$D587*TCA!O587/100</f>
        <v>0</v>
      </c>
      <c r="P587" s="3">
        <f t="shared" si="9"/>
        <v>0</v>
      </c>
      <c r="Q587" s="3">
        <f>$D587*TCA!P587/100</f>
        <v>0</v>
      </c>
      <c r="R587" s="3">
        <f>$D587*TCA!Q587/100</f>
        <v>0</v>
      </c>
      <c r="S587" s="3">
        <f>$D587*TCA!R587/100</f>
        <v>133</v>
      </c>
      <c r="T587" s="3">
        <f>$D587*TCA!S587/100</f>
        <v>0</v>
      </c>
      <c r="U587" s="3">
        <f>$D587*TCA!T587/100</f>
        <v>0</v>
      </c>
      <c r="V587" s="3">
        <f>$D587*TCA!U587/100</f>
        <v>0</v>
      </c>
      <c r="W587" s="3">
        <f>$D587*TCA!V587/100</f>
        <v>0</v>
      </c>
      <c r="X587" s="3">
        <f>$D587*TCA!W587/100</f>
        <v>0</v>
      </c>
    </row>
    <row r="588" spans="1:24" x14ac:dyDescent="0.25">
      <c r="A588" s="3" t="s">
        <v>2031</v>
      </c>
      <c r="B588" s="3" t="s">
        <v>1157</v>
      </c>
      <c r="C588" s="3" t="s">
        <v>1158</v>
      </c>
      <c r="D588" s="3">
        <v>100</v>
      </c>
      <c r="E588" s="3">
        <f>$D588*TCA!E588/100</f>
        <v>352.6</v>
      </c>
      <c r="F588" s="3">
        <f>$D588*TCA!F588/100</f>
        <v>2.1</v>
      </c>
      <c r="G588" s="3">
        <f>$D588*TCA!G588/100</f>
        <v>37</v>
      </c>
      <c r="H588" s="3">
        <f>$D588*TCA!H588/100</f>
        <v>2.8</v>
      </c>
      <c r="I588" s="3">
        <f>$D588*TCA!I588/100</f>
        <v>0</v>
      </c>
      <c r="J588" s="3">
        <f>$D588*TCA!J588/100</f>
        <v>0</v>
      </c>
      <c r="K588" s="3">
        <f>$D588*TCA!K588/100</f>
        <v>0</v>
      </c>
      <c r="L588" s="3">
        <f>$D588*TCA!L588/100</f>
        <v>0</v>
      </c>
      <c r="M588" s="3">
        <f>$D588*TCA!M588/100</f>
        <v>0</v>
      </c>
      <c r="N588" s="3">
        <f>$D588*TCA!N588/100</f>
        <v>65</v>
      </c>
      <c r="O588" s="3">
        <f>$D588*TCA!O588/100</f>
        <v>62</v>
      </c>
      <c r="P588" s="3">
        <f t="shared" si="9"/>
        <v>29.523809523809522</v>
      </c>
      <c r="Q588" s="3">
        <f>$D588*TCA!P588/100</f>
        <v>0.1</v>
      </c>
      <c r="R588" s="3">
        <f>$D588*TCA!Q588/100</f>
        <v>0</v>
      </c>
      <c r="S588" s="3">
        <f>$D588*TCA!R588/100</f>
        <v>0</v>
      </c>
      <c r="T588" s="3">
        <f>$D588*TCA!S588/100</f>
        <v>0.23</v>
      </c>
      <c r="U588" s="3">
        <f>$D588*TCA!T588/100</f>
        <v>0.6</v>
      </c>
      <c r="V588" s="3">
        <f>$D588*TCA!U588/100</f>
        <v>411</v>
      </c>
      <c r="W588" s="3">
        <f>$D588*TCA!V588/100</f>
        <v>0</v>
      </c>
      <c r="X588" s="3">
        <f>$D588*TCA!W588/100</f>
        <v>0</v>
      </c>
    </row>
    <row r="589" spans="1:24" x14ac:dyDescent="0.25">
      <c r="A589" s="3" t="s">
        <v>2031</v>
      </c>
      <c r="B589" s="3" t="s">
        <v>1159</v>
      </c>
      <c r="C589" s="3" t="s">
        <v>1160</v>
      </c>
      <c r="D589" s="3">
        <v>100</v>
      </c>
      <c r="E589" s="3">
        <f>$D589*TCA!E589/100</f>
        <v>199.3</v>
      </c>
      <c r="F589" s="3">
        <f>$D589*TCA!F589/100</f>
        <v>2.7</v>
      </c>
      <c r="G589" s="3">
        <f>$D589*TCA!G589/100</f>
        <v>19.3</v>
      </c>
      <c r="H589" s="3">
        <f>$D589*TCA!H589/100</f>
        <v>3.7</v>
      </c>
      <c r="I589" s="3">
        <f>$D589*TCA!I589/100</f>
        <v>0</v>
      </c>
      <c r="J589" s="3">
        <f>$D589*TCA!J589/100</f>
        <v>0</v>
      </c>
      <c r="K589" s="3">
        <f>$D589*TCA!K589/100</f>
        <v>0</v>
      </c>
      <c r="L589" s="3">
        <f>$D589*TCA!L589/100</f>
        <v>0</v>
      </c>
      <c r="M589" s="3">
        <f>$D589*TCA!M589/100</f>
        <v>0</v>
      </c>
      <c r="N589" s="3">
        <f>$D589*TCA!N589/100</f>
        <v>96</v>
      </c>
      <c r="O589" s="3">
        <f>$D589*TCA!O589/100</f>
        <v>80</v>
      </c>
      <c r="P589" s="3">
        <f t="shared" si="9"/>
        <v>29.629629629629626</v>
      </c>
      <c r="Q589" s="3">
        <f>$D589*TCA!P589/100</f>
        <v>0.1</v>
      </c>
      <c r="R589" s="3">
        <f>$D589*TCA!Q589/100</f>
        <v>0</v>
      </c>
      <c r="S589" s="3">
        <f>$D589*TCA!R589/100</f>
        <v>0</v>
      </c>
      <c r="T589" s="3">
        <f>$D589*TCA!S589/100</f>
        <v>0.27</v>
      </c>
      <c r="U589" s="3">
        <f>$D589*TCA!T589/100</f>
        <v>0.8</v>
      </c>
      <c r="V589" s="3">
        <f>$D589*TCA!U589/100</f>
        <v>181</v>
      </c>
      <c r="W589" s="3">
        <f>$D589*TCA!V589/100</f>
        <v>0</v>
      </c>
      <c r="X589" s="3">
        <f>$D589*TCA!W589/100</f>
        <v>0</v>
      </c>
    </row>
    <row r="590" spans="1:24" x14ac:dyDescent="0.25">
      <c r="A590" s="3" t="s">
        <v>2031</v>
      </c>
      <c r="B590" s="3" t="s">
        <v>1161</v>
      </c>
      <c r="C590" s="3" t="s">
        <v>1162</v>
      </c>
      <c r="D590" s="3">
        <v>100</v>
      </c>
      <c r="E590" s="3">
        <f>$D590*TCA!E590/100</f>
        <v>352.36</v>
      </c>
      <c r="F590" s="3">
        <f>$D590*TCA!F590/100</f>
        <v>2.0499999999999998</v>
      </c>
      <c r="G590" s="3">
        <f>$D590*TCA!G590/100</f>
        <v>37</v>
      </c>
      <c r="H590" s="3">
        <f>$D590*TCA!H590/100</f>
        <v>2.79</v>
      </c>
      <c r="I590" s="3">
        <f>$D590*TCA!I590/100</f>
        <v>0</v>
      </c>
      <c r="J590" s="3">
        <f>$D590*TCA!J590/100</f>
        <v>23.03</v>
      </c>
      <c r="K590" s="3">
        <f>$D590*TCA!K590/100</f>
        <v>10.69</v>
      </c>
      <c r="L590" s="3">
        <f>$D590*TCA!L590/100</f>
        <v>1.37</v>
      </c>
      <c r="M590" s="3">
        <f>$D590*TCA!M590/100</f>
        <v>137</v>
      </c>
      <c r="N590" s="3">
        <f>$D590*TCA!N590/100</f>
        <v>65</v>
      </c>
      <c r="O590" s="3">
        <f>$D590*TCA!O590/100</f>
        <v>62</v>
      </c>
      <c r="P590" s="3">
        <f t="shared" si="9"/>
        <v>30.243902439024392</v>
      </c>
      <c r="Q590" s="3">
        <f>$D590*TCA!P590/100</f>
        <v>0.03</v>
      </c>
      <c r="R590" s="3">
        <f>$D590*TCA!Q590/100</f>
        <v>75</v>
      </c>
      <c r="S590" s="3">
        <f>$D590*TCA!R590/100</f>
        <v>38</v>
      </c>
      <c r="T590" s="3">
        <f>$D590*TCA!S590/100</f>
        <v>0.23</v>
      </c>
      <c r="U590" s="3">
        <f>$D590*TCA!T590/100</f>
        <v>1</v>
      </c>
      <c r="V590" s="3">
        <f>$D590*TCA!U590/100</f>
        <v>411</v>
      </c>
      <c r="W590" s="3">
        <f>$D590*TCA!V590/100</f>
        <v>4</v>
      </c>
      <c r="X590" s="3">
        <f>$D590*TCA!W590/100</f>
        <v>0.18</v>
      </c>
    </row>
    <row r="591" spans="1:24" x14ac:dyDescent="0.25">
      <c r="A591" s="3" t="s">
        <v>2031</v>
      </c>
      <c r="B591" s="3" t="s">
        <v>1163</v>
      </c>
      <c r="C591" s="3" t="s">
        <v>1164</v>
      </c>
      <c r="D591" s="3">
        <v>100</v>
      </c>
      <c r="E591" s="3">
        <f>$D591*TCA!E591/100</f>
        <v>42.17</v>
      </c>
      <c r="F591" s="3">
        <f>$D591*TCA!F591/100</f>
        <v>3.37</v>
      </c>
      <c r="G591" s="3">
        <f>$D591*TCA!G591/100</f>
        <v>0.97</v>
      </c>
      <c r="H591" s="3">
        <f>$D591*TCA!H591/100</f>
        <v>4.99</v>
      </c>
      <c r="I591" s="3">
        <f>$D591*TCA!I591/100</f>
        <v>0</v>
      </c>
      <c r="J591" s="3">
        <f>$D591*TCA!J591/100</f>
        <v>0.63</v>
      </c>
      <c r="K591" s="3">
        <f>$D591*TCA!K591/100</f>
        <v>0.28000000000000003</v>
      </c>
      <c r="L591" s="3">
        <f>$D591*TCA!L591/100</f>
        <v>0.04</v>
      </c>
      <c r="M591" s="3">
        <f>$D591*TCA!M591/100</f>
        <v>5</v>
      </c>
      <c r="N591" s="3">
        <f>$D591*TCA!N591/100</f>
        <v>119</v>
      </c>
      <c r="O591" s="3">
        <f>$D591*TCA!O591/100</f>
        <v>95</v>
      </c>
      <c r="P591" s="3">
        <f t="shared" si="9"/>
        <v>28.189910979228486</v>
      </c>
      <c r="Q591" s="3">
        <f>$D591*TCA!P591/100</f>
        <v>0.03</v>
      </c>
      <c r="R591" s="3">
        <f>$D591*TCA!Q591/100</f>
        <v>150</v>
      </c>
      <c r="S591" s="3">
        <f>$D591*TCA!R591/100</f>
        <v>44</v>
      </c>
      <c r="T591" s="3">
        <f>$D591*TCA!S591/100</f>
        <v>0.42</v>
      </c>
      <c r="U591" s="3">
        <f>$D591*TCA!T591/100</f>
        <v>0</v>
      </c>
      <c r="V591" s="3">
        <f>$D591*TCA!U591/100</f>
        <v>58</v>
      </c>
      <c r="W591" s="3">
        <f>$D591*TCA!V591/100</f>
        <v>5</v>
      </c>
      <c r="X591" s="3">
        <f>$D591*TCA!W591/100</f>
        <v>0.44</v>
      </c>
    </row>
    <row r="592" spans="1:24" x14ac:dyDescent="0.25">
      <c r="A592" s="3" t="s">
        <v>2031</v>
      </c>
      <c r="B592" s="3" t="s">
        <v>1165</v>
      </c>
      <c r="C592" s="3" t="s">
        <v>1166</v>
      </c>
      <c r="D592" s="3">
        <v>100</v>
      </c>
      <c r="E592" s="3">
        <f>$D592*TCA!E592/100</f>
        <v>69.3</v>
      </c>
      <c r="F592" s="3">
        <f>$D592*TCA!F592/100</f>
        <v>3.56</v>
      </c>
      <c r="G592" s="3">
        <f>$D592*TCA!G592/100</f>
        <v>4.1399999999999997</v>
      </c>
      <c r="H592" s="3">
        <f>$D592*TCA!H592/100</f>
        <v>4.45</v>
      </c>
      <c r="I592" s="3">
        <f>$D592*TCA!I592/100</f>
        <v>0</v>
      </c>
      <c r="J592" s="3">
        <f>$D592*TCA!J592/100</f>
        <v>2.67</v>
      </c>
      <c r="K592" s="3">
        <f>$D592*TCA!K592/100</f>
        <v>1.1100000000000001</v>
      </c>
      <c r="L592" s="3">
        <f>$D592*TCA!L592/100</f>
        <v>0.15</v>
      </c>
      <c r="M592" s="3">
        <f>$D592*TCA!M592/100</f>
        <v>11</v>
      </c>
      <c r="N592" s="3">
        <f>$D592*TCA!N592/100</f>
        <v>134</v>
      </c>
      <c r="O592" s="3">
        <f>$D592*TCA!O592/100</f>
        <v>111</v>
      </c>
      <c r="P592" s="3">
        <f t="shared" si="9"/>
        <v>31.179775280898877</v>
      </c>
      <c r="Q592" s="3">
        <f>$D592*TCA!P592/100</f>
        <v>0.05</v>
      </c>
      <c r="R592" s="3">
        <f>$D592*TCA!Q592/100</f>
        <v>204</v>
      </c>
      <c r="S592" s="3">
        <f>$D592*TCA!R592/100</f>
        <v>50</v>
      </c>
      <c r="T592" s="3">
        <f>$D592*TCA!S592/100</f>
        <v>0.3</v>
      </c>
      <c r="U592" s="3">
        <f>$D592*TCA!T592/100</f>
        <v>1.3</v>
      </c>
      <c r="V592" s="3">
        <f>$D592*TCA!U592/100</f>
        <v>57</v>
      </c>
      <c r="W592" s="3">
        <f>$D592*TCA!V592/100</f>
        <v>1</v>
      </c>
      <c r="X592" s="3">
        <f>$D592*TCA!W592/100</f>
        <v>7.0000000000000007E-2</v>
      </c>
    </row>
    <row r="593" spans="1:24" x14ac:dyDescent="0.25">
      <c r="A593" s="3" t="s">
        <v>2031</v>
      </c>
      <c r="B593" s="3" t="s">
        <v>1167</v>
      </c>
      <c r="C593" s="3" t="s">
        <v>1168</v>
      </c>
      <c r="D593" s="3">
        <v>100</v>
      </c>
      <c r="E593" s="3">
        <f>$D593*TCA!E593/100</f>
        <v>77.58</v>
      </c>
      <c r="F593" s="3">
        <f>$D593*TCA!F593/100</f>
        <v>2.99</v>
      </c>
      <c r="G593" s="3">
        <f>$D593*TCA!G593/100</f>
        <v>1.9</v>
      </c>
      <c r="H593" s="3">
        <f>$D593*TCA!H593/100</f>
        <v>12.13</v>
      </c>
      <c r="I593" s="3">
        <f>$D593*TCA!I593/100</f>
        <v>0.7</v>
      </c>
      <c r="J593" s="3">
        <f>$D593*TCA!J593/100</f>
        <v>1.18</v>
      </c>
      <c r="K593" s="3">
        <f>$D593*TCA!K593/100</f>
        <v>0.46</v>
      </c>
      <c r="L593" s="3">
        <f>$D593*TCA!L593/100</f>
        <v>0.09</v>
      </c>
      <c r="M593" s="3">
        <f>$D593*TCA!M593/100</f>
        <v>8</v>
      </c>
      <c r="N593" s="3">
        <f>$D593*TCA!N593/100</f>
        <v>109</v>
      </c>
      <c r="O593" s="3">
        <f>$D593*TCA!O593/100</f>
        <v>76</v>
      </c>
      <c r="P593" s="3">
        <f t="shared" si="9"/>
        <v>25.418060200668894</v>
      </c>
      <c r="Q593" s="3">
        <f>$D593*TCA!P593/100</f>
        <v>0.24</v>
      </c>
      <c r="R593" s="3">
        <f>$D593*TCA!Q593/100</f>
        <v>123</v>
      </c>
      <c r="S593" s="3">
        <f>$D593*TCA!R593/100</f>
        <v>66</v>
      </c>
      <c r="T593" s="3">
        <f>$D593*TCA!S593/100</f>
        <v>0.39</v>
      </c>
      <c r="U593" s="3">
        <f>$D593*TCA!T593/100</f>
        <v>0</v>
      </c>
      <c r="V593" s="3">
        <f>$D593*TCA!U593/100</f>
        <v>64</v>
      </c>
      <c r="W593" s="3">
        <f>$D593*TCA!V593/100</f>
        <v>2</v>
      </c>
      <c r="X593" s="3">
        <f>$D593*TCA!W593/100</f>
        <v>0.33</v>
      </c>
    </row>
    <row r="594" spans="1:24" x14ac:dyDescent="0.25">
      <c r="A594" s="3" t="s">
        <v>2031</v>
      </c>
      <c r="B594" s="3" t="s">
        <v>1169</v>
      </c>
      <c r="C594" s="3" t="s">
        <v>1170</v>
      </c>
      <c r="D594" s="3">
        <v>100</v>
      </c>
      <c r="E594" s="3">
        <f>$D594*TCA!E594/100</f>
        <v>499.35</v>
      </c>
      <c r="F594" s="3">
        <f>$D594*TCA!F594/100</f>
        <v>26.32</v>
      </c>
      <c r="G594" s="3">
        <f>$D594*TCA!G594/100</f>
        <v>26.71</v>
      </c>
      <c r="H594" s="3">
        <f>$D594*TCA!H594/100</f>
        <v>38.42</v>
      </c>
      <c r="I594" s="3">
        <f>$D594*TCA!I594/100</f>
        <v>0</v>
      </c>
      <c r="J594" s="3">
        <f>$D594*TCA!J594/100</f>
        <v>16.739999999999998</v>
      </c>
      <c r="K594" s="3">
        <f>$D594*TCA!K594/100</f>
        <v>7.92</v>
      </c>
      <c r="L594" s="3">
        <f>$D594*TCA!L594/100</f>
        <v>0.67</v>
      </c>
      <c r="M594" s="3">
        <f>$D594*TCA!M594/100</f>
        <v>97</v>
      </c>
      <c r="N594" s="3">
        <f>$D594*TCA!N594/100</f>
        <v>912</v>
      </c>
      <c r="O594" s="3">
        <f>$D594*TCA!O594/100</f>
        <v>776</v>
      </c>
      <c r="P594" s="3">
        <f t="shared" si="9"/>
        <v>29.483282674772035</v>
      </c>
      <c r="Q594" s="3">
        <f>$D594*TCA!P594/100</f>
        <v>0.47</v>
      </c>
      <c r="R594" s="3">
        <f>$D594*TCA!Q594/100</f>
        <v>1330</v>
      </c>
      <c r="S594" s="3">
        <f>$D594*TCA!R594/100</f>
        <v>371</v>
      </c>
      <c r="T594" s="3">
        <f>$D594*TCA!S594/100</f>
        <v>3.34</v>
      </c>
      <c r="U594" s="3">
        <f>$D594*TCA!T594/100</f>
        <v>9</v>
      </c>
      <c r="V594" s="3">
        <f>$D594*TCA!U594/100</f>
        <v>257</v>
      </c>
      <c r="W594" s="3">
        <f>$D594*TCA!V594/100</f>
        <v>37</v>
      </c>
      <c r="X594" s="3">
        <f>$D594*TCA!W594/100</f>
        <v>3.25</v>
      </c>
    </row>
    <row r="595" spans="1:24" x14ac:dyDescent="0.25">
      <c r="A595" s="3" t="s">
        <v>2031</v>
      </c>
      <c r="B595" s="3" t="s">
        <v>1171</v>
      </c>
      <c r="C595" s="3" t="s">
        <v>1172</v>
      </c>
      <c r="D595" s="3">
        <v>100</v>
      </c>
      <c r="E595" s="3">
        <f>$D595*TCA!E595/100</f>
        <v>135.44</v>
      </c>
      <c r="F595" s="3">
        <f>$D595*TCA!F595/100</f>
        <v>6.81</v>
      </c>
      <c r="G595" s="3">
        <f>$D595*TCA!G595/100</f>
        <v>7.56</v>
      </c>
      <c r="H595" s="3">
        <f>$D595*TCA!H595/100</f>
        <v>10.039999999999999</v>
      </c>
      <c r="I595" s="3">
        <f>$D595*TCA!I595/100</f>
        <v>0</v>
      </c>
      <c r="J595" s="3">
        <f>$D595*TCA!J595/100</f>
        <v>4.59</v>
      </c>
      <c r="K595" s="3">
        <f>$D595*TCA!K595/100</f>
        <v>2.34</v>
      </c>
      <c r="L595" s="3">
        <f>$D595*TCA!L595/100</f>
        <v>0.25</v>
      </c>
      <c r="M595" s="3">
        <f>$D595*TCA!M595/100</f>
        <v>29</v>
      </c>
      <c r="N595" s="3">
        <f>$D595*TCA!N595/100</f>
        <v>261</v>
      </c>
      <c r="O595" s="3">
        <f>$D595*TCA!O595/100</f>
        <v>203</v>
      </c>
      <c r="P595" s="3">
        <f t="shared" si="9"/>
        <v>29.809104258443469</v>
      </c>
      <c r="Q595" s="3">
        <f>$D595*TCA!P595/100</f>
        <v>0.19</v>
      </c>
      <c r="R595" s="3">
        <f>$D595*TCA!Q595/100</f>
        <v>303</v>
      </c>
      <c r="S595" s="3">
        <f>$D595*TCA!R595/100</f>
        <v>106</v>
      </c>
      <c r="T595" s="3">
        <f>$D595*TCA!S595/100</f>
        <v>0.77</v>
      </c>
      <c r="U595" s="3">
        <f>$D595*TCA!T595/100</f>
        <v>1.9</v>
      </c>
      <c r="V595" s="3">
        <f>$D595*TCA!U595/100</f>
        <v>65</v>
      </c>
      <c r="W595" s="3">
        <f>$D595*TCA!V595/100</f>
        <v>8</v>
      </c>
      <c r="X595" s="3">
        <f>$D595*TCA!W595/100</f>
        <v>0.16</v>
      </c>
    </row>
    <row r="596" spans="1:24" x14ac:dyDescent="0.25">
      <c r="A596" s="3" t="s">
        <v>2031</v>
      </c>
      <c r="B596" s="3" t="s">
        <v>1173</v>
      </c>
      <c r="C596" s="3" t="s">
        <v>1174</v>
      </c>
      <c r="D596" s="3">
        <v>100</v>
      </c>
      <c r="E596" s="3">
        <f>$D596*TCA!E596/100</f>
        <v>46.67</v>
      </c>
      <c r="F596" s="3">
        <f>$D596*TCA!F596/100</f>
        <v>2.92</v>
      </c>
      <c r="G596" s="3">
        <f>$D596*TCA!G596/100</f>
        <v>1.67</v>
      </c>
      <c r="H596" s="3">
        <f>$D596*TCA!H596/100</f>
        <v>5</v>
      </c>
      <c r="I596" s="3">
        <f>$D596*TCA!I596/100</f>
        <v>0</v>
      </c>
      <c r="J596" s="3">
        <f>$D596*TCA!J596/100</f>
        <v>1.04</v>
      </c>
      <c r="K596" s="3">
        <f>$D596*TCA!K596/100</f>
        <v>0.42</v>
      </c>
      <c r="L596" s="3">
        <f>$D596*TCA!L596/100</f>
        <v>0</v>
      </c>
      <c r="M596" s="3">
        <f>$D596*TCA!M596/100</f>
        <v>7.08</v>
      </c>
      <c r="N596" s="3">
        <f>$D596*TCA!N596/100</f>
        <v>0</v>
      </c>
      <c r="O596" s="3">
        <f>$D596*TCA!O596/100</f>
        <v>0</v>
      </c>
      <c r="P596" s="3">
        <f t="shared" si="9"/>
        <v>0</v>
      </c>
      <c r="Q596" s="3">
        <f>$D596*TCA!P596/100</f>
        <v>0</v>
      </c>
      <c r="R596" s="3">
        <f>$D596*TCA!Q596/100</f>
        <v>0</v>
      </c>
      <c r="S596" s="3">
        <f>$D596*TCA!R596/100</f>
        <v>66.67</v>
      </c>
      <c r="T596" s="3">
        <f>$D596*TCA!S596/100</f>
        <v>0</v>
      </c>
      <c r="U596" s="3">
        <f>$D596*TCA!T596/100</f>
        <v>0</v>
      </c>
      <c r="V596" s="3">
        <f>$D596*TCA!U596/100</f>
        <v>0</v>
      </c>
      <c r="W596" s="3">
        <f>$D596*TCA!V596/100</f>
        <v>0</v>
      </c>
      <c r="X596" s="3">
        <f>$D596*TCA!W596/100</f>
        <v>0</v>
      </c>
    </row>
    <row r="597" spans="1:24" x14ac:dyDescent="0.25">
      <c r="A597" s="3" t="s">
        <v>2031</v>
      </c>
      <c r="B597" s="3" t="s">
        <v>1175</v>
      </c>
      <c r="C597" s="3" t="s">
        <v>1176</v>
      </c>
      <c r="D597" s="3">
        <v>100</v>
      </c>
      <c r="E597" s="3">
        <f>$D597*TCA!E597/100</f>
        <v>60.21</v>
      </c>
      <c r="F597" s="3">
        <f>$D597*TCA!F597/100</f>
        <v>3.22</v>
      </c>
      <c r="G597" s="3">
        <f>$D597*TCA!G597/100</f>
        <v>3.25</v>
      </c>
      <c r="H597" s="3">
        <f>$D597*TCA!H597/100</f>
        <v>4.5199999999999996</v>
      </c>
      <c r="I597" s="3">
        <f>$D597*TCA!I597/100</f>
        <v>0</v>
      </c>
      <c r="J597" s="3">
        <f>$D597*TCA!J597/100</f>
        <v>1.87</v>
      </c>
      <c r="K597" s="3">
        <f>$D597*TCA!K597/100</f>
        <v>0.81</v>
      </c>
      <c r="L597" s="3">
        <f>$D597*TCA!L597/100</f>
        <v>0.19</v>
      </c>
      <c r="M597" s="3">
        <f>$D597*TCA!M597/100</f>
        <v>10</v>
      </c>
      <c r="N597" s="3">
        <f>$D597*TCA!N597/100</f>
        <v>113</v>
      </c>
      <c r="O597" s="3">
        <f>$D597*TCA!O597/100</f>
        <v>91</v>
      </c>
      <c r="P597" s="3">
        <f t="shared" si="9"/>
        <v>28.260869565217391</v>
      </c>
      <c r="Q597" s="3">
        <f>$D597*TCA!P597/100</f>
        <v>0.03</v>
      </c>
      <c r="R597" s="3">
        <f>$D597*TCA!Q597/100</f>
        <v>143</v>
      </c>
      <c r="S597" s="3">
        <f>$D597*TCA!R597/100</f>
        <v>40</v>
      </c>
      <c r="T597" s="3">
        <f>$D597*TCA!S597/100</f>
        <v>0.4</v>
      </c>
      <c r="U597" s="3">
        <f>$D597*TCA!T597/100</f>
        <v>0</v>
      </c>
      <c r="V597" s="3">
        <f>$D597*TCA!U597/100</f>
        <v>28</v>
      </c>
      <c r="W597" s="3">
        <f>$D597*TCA!V597/100</f>
        <v>5</v>
      </c>
      <c r="X597" s="3">
        <f>$D597*TCA!W597/100</f>
        <v>0.44</v>
      </c>
    </row>
    <row r="598" spans="1:24" x14ac:dyDescent="0.25">
      <c r="A598" s="3" t="s">
        <v>2031</v>
      </c>
      <c r="B598" s="3" t="s">
        <v>1177</v>
      </c>
      <c r="C598" s="3" t="s">
        <v>1178</v>
      </c>
      <c r="D598" s="3">
        <v>100</v>
      </c>
      <c r="E598" s="3">
        <f>$D598*TCA!E598/100</f>
        <v>55</v>
      </c>
      <c r="F598" s="3">
        <f>$D598*TCA!F598/100</f>
        <v>3</v>
      </c>
      <c r="G598" s="3">
        <f>$D598*TCA!G598/100</f>
        <v>3</v>
      </c>
      <c r="H598" s="3">
        <f>$D598*TCA!H598/100</f>
        <v>4</v>
      </c>
      <c r="I598" s="3">
        <f>$D598*TCA!I598/100</f>
        <v>0</v>
      </c>
      <c r="J598" s="3">
        <f>$D598*TCA!J598/100</f>
        <v>2</v>
      </c>
      <c r="K598" s="3">
        <f>$D598*TCA!K598/100</f>
        <v>1</v>
      </c>
      <c r="L598" s="3">
        <f>$D598*TCA!L598/100</f>
        <v>0</v>
      </c>
      <c r="M598" s="3">
        <f>$D598*TCA!M598/100</f>
        <v>5</v>
      </c>
      <c r="N598" s="3">
        <f>$D598*TCA!N598/100</f>
        <v>0</v>
      </c>
      <c r="O598" s="3">
        <f>$D598*TCA!O598/100</f>
        <v>0</v>
      </c>
      <c r="P598" s="3">
        <f t="shared" si="9"/>
        <v>0</v>
      </c>
      <c r="Q598" s="3">
        <f>$D598*TCA!P598/100</f>
        <v>0</v>
      </c>
      <c r="R598" s="3">
        <f>$D598*TCA!Q598/100</f>
        <v>0</v>
      </c>
      <c r="S598" s="3">
        <f>$D598*TCA!R598/100</f>
        <v>95</v>
      </c>
      <c r="T598" s="3">
        <f>$D598*TCA!S598/100</f>
        <v>0</v>
      </c>
      <c r="U598" s="3">
        <f>$D598*TCA!T598/100</f>
        <v>0</v>
      </c>
      <c r="V598" s="3">
        <f>$D598*TCA!U598/100</f>
        <v>0</v>
      </c>
      <c r="W598" s="3">
        <f>$D598*TCA!V598/100</f>
        <v>0</v>
      </c>
      <c r="X598" s="3">
        <f>$D598*TCA!W598/100</f>
        <v>0</v>
      </c>
    </row>
    <row r="599" spans="1:24" x14ac:dyDescent="0.25">
      <c r="A599" s="3" t="s">
        <v>2031</v>
      </c>
      <c r="B599" s="3" t="s">
        <v>1179</v>
      </c>
      <c r="C599" s="3" t="s">
        <v>1180</v>
      </c>
      <c r="D599" s="3">
        <v>100</v>
      </c>
      <c r="E599" s="3">
        <f>$D599*TCA!E599/100</f>
        <v>67.599999999999994</v>
      </c>
      <c r="F599" s="3">
        <f>$D599*TCA!F599/100</f>
        <v>2.8</v>
      </c>
      <c r="G599" s="3">
        <f>$D599*TCA!G599/100</f>
        <v>2</v>
      </c>
      <c r="H599" s="3">
        <f>$D599*TCA!H599/100</f>
        <v>9.6</v>
      </c>
      <c r="I599" s="3">
        <f>$D599*TCA!I599/100</f>
        <v>0</v>
      </c>
      <c r="J599" s="3">
        <f>$D599*TCA!J599/100</f>
        <v>0.8</v>
      </c>
      <c r="K599" s="3">
        <f>$D599*TCA!K599/100</f>
        <v>0</v>
      </c>
      <c r="L599" s="3">
        <f>$D599*TCA!L599/100</f>
        <v>0</v>
      </c>
      <c r="M599" s="3">
        <f>$D599*TCA!M599/100</f>
        <v>8</v>
      </c>
      <c r="N599" s="3">
        <f>$D599*TCA!N599/100</f>
        <v>0</v>
      </c>
      <c r="O599" s="3">
        <f>$D599*TCA!O599/100</f>
        <v>0</v>
      </c>
      <c r="P599" s="3">
        <f t="shared" si="9"/>
        <v>0</v>
      </c>
      <c r="Q599" s="3">
        <f>$D599*TCA!P599/100</f>
        <v>0</v>
      </c>
      <c r="R599" s="3">
        <f>$D599*TCA!Q599/100</f>
        <v>0</v>
      </c>
      <c r="S599" s="3">
        <f>$D599*TCA!R599/100</f>
        <v>50</v>
      </c>
      <c r="T599" s="3">
        <f>$D599*TCA!S599/100</f>
        <v>0</v>
      </c>
      <c r="U599" s="3">
        <f>$D599*TCA!T599/100</f>
        <v>0</v>
      </c>
      <c r="V599" s="3">
        <f>$D599*TCA!U599/100</f>
        <v>0</v>
      </c>
      <c r="W599" s="3">
        <f>$D599*TCA!V599/100</f>
        <v>0</v>
      </c>
      <c r="X599" s="3">
        <f>$D599*TCA!W599/100</f>
        <v>0</v>
      </c>
    </row>
    <row r="600" spans="1:24" x14ac:dyDescent="0.25">
      <c r="A600" s="3" t="s">
        <v>2031</v>
      </c>
      <c r="B600" s="3" t="s">
        <v>1181</v>
      </c>
      <c r="C600" s="3" t="s">
        <v>1182</v>
      </c>
      <c r="D600" s="3">
        <v>100</v>
      </c>
      <c r="E600" s="3">
        <f>$D600*TCA!E600/100</f>
        <v>82.5</v>
      </c>
      <c r="F600" s="3">
        <f>$D600*TCA!F600/100</f>
        <v>2.5</v>
      </c>
      <c r="G600" s="3">
        <f>$D600*TCA!G600/100</f>
        <v>2.5</v>
      </c>
      <c r="H600" s="3">
        <f>$D600*TCA!H600/100</f>
        <v>12.5</v>
      </c>
      <c r="I600" s="3">
        <f>$D600*TCA!I600/100</f>
        <v>0</v>
      </c>
      <c r="J600" s="3">
        <f>$D600*TCA!J600/100</f>
        <v>1.5</v>
      </c>
      <c r="K600" s="3">
        <f>$D600*TCA!K600/100</f>
        <v>1</v>
      </c>
      <c r="L600" s="3">
        <f>$D600*TCA!L600/100</f>
        <v>0</v>
      </c>
      <c r="M600" s="3">
        <f>$D600*TCA!M600/100</f>
        <v>10.5</v>
      </c>
      <c r="N600" s="3">
        <f>$D600*TCA!N600/100</f>
        <v>0</v>
      </c>
      <c r="O600" s="3">
        <f>$D600*TCA!O600/100</f>
        <v>0</v>
      </c>
      <c r="P600" s="3">
        <f t="shared" si="9"/>
        <v>0</v>
      </c>
      <c r="Q600" s="3">
        <f>$D600*TCA!P600/100</f>
        <v>0</v>
      </c>
      <c r="R600" s="3">
        <f>$D600*TCA!Q600/100</f>
        <v>0</v>
      </c>
      <c r="S600" s="3">
        <f>$D600*TCA!R600/100</f>
        <v>80</v>
      </c>
      <c r="T600" s="3">
        <f>$D600*TCA!S600/100</f>
        <v>0</v>
      </c>
      <c r="U600" s="3">
        <f>$D600*TCA!T600/100</f>
        <v>0</v>
      </c>
      <c r="V600" s="3">
        <f>$D600*TCA!U600/100</f>
        <v>0</v>
      </c>
      <c r="W600" s="3">
        <f>$D600*TCA!V600/100</f>
        <v>0</v>
      </c>
      <c r="X600" s="3">
        <f>$D600*TCA!W600/100</f>
        <v>0</v>
      </c>
    </row>
    <row r="601" spans="1:24" x14ac:dyDescent="0.25">
      <c r="A601" s="3" t="s">
        <v>2031</v>
      </c>
      <c r="B601" s="3" t="s">
        <v>1183</v>
      </c>
      <c r="C601" s="3" t="s">
        <v>1184</v>
      </c>
      <c r="D601" s="3">
        <v>100</v>
      </c>
      <c r="E601" s="3">
        <f>$D601*TCA!E601/100</f>
        <v>49.65</v>
      </c>
      <c r="F601" s="3">
        <f>$D601*TCA!F601/100</f>
        <v>3.3</v>
      </c>
      <c r="G601" s="3">
        <f>$D601*TCA!G601/100</f>
        <v>1.97</v>
      </c>
      <c r="H601" s="3">
        <f>$D601*TCA!H601/100</f>
        <v>4.68</v>
      </c>
      <c r="I601" s="3">
        <f>$D601*TCA!I601/100</f>
        <v>0</v>
      </c>
      <c r="J601" s="3">
        <f>$D601*TCA!J601/100</f>
        <v>1.26</v>
      </c>
      <c r="K601" s="3">
        <f>$D601*TCA!K601/100</f>
        <v>0.56000000000000005</v>
      </c>
      <c r="L601" s="3">
        <f>$D601*TCA!L601/100</f>
        <v>7.0000000000000007E-2</v>
      </c>
      <c r="M601" s="3">
        <f>$D601*TCA!M601/100</f>
        <v>8</v>
      </c>
      <c r="N601" s="3">
        <f>$D601*TCA!N601/100</f>
        <v>117</v>
      </c>
      <c r="O601" s="3">
        <f>$D601*TCA!O601/100</f>
        <v>94</v>
      </c>
      <c r="P601" s="3">
        <f t="shared" si="9"/>
        <v>28.484848484848488</v>
      </c>
      <c r="Q601" s="3">
        <f>$D601*TCA!P601/100</f>
        <v>0.03</v>
      </c>
      <c r="R601" s="3">
        <f>$D601*TCA!Q601/100</f>
        <v>150</v>
      </c>
      <c r="S601" s="3">
        <f>$D601*TCA!R601/100</f>
        <v>41</v>
      </c>
      <c r="T601" s="3">
        <f>$D601*TCA!S601/100</f>
        <v>0.43</v>
      </c>
      <c r="U601" s="3">
        <f>$D601*TCA!T601/100</f>
        <v>0</v>
      </c>
      <c r="V601" s="3">
        <f>$D601*TCA!U601/100</f>
        <v>55</v>
      </c>
      <c r="W601" s="3">
        <f>$D601*TCA!V601/100</f>
        <v>5</v>
      </c>
      <c r="X601" s="3">
        <f>$D601*TCA!W601/100</f>
        <v>0.46</v>
      </c>
    </row>
    <row r="602" spans="1:24" x14ac:dyDescent="0.25">
      <c r="A602" s="3" t="s">
        <v>2031</v>
      </c>
      <c r="B602" s="3" t="s">
        <v>1185</v>
      </c>
      <c r="C602" s="3" t="s">
        <v>1184</v>
      </c>
      <c r="D602" s="3">
        <v>100</v>
      </c>
      <c r="E602" s="3">
        <f>$D602*TCA!E602/100</f>
        <v>50.22</v>
      </c>
      <c r="F602" s="3">
        <f>$D602*TCA!F602/100</f>
        <v>3.3</v>
      </c>
      <c r="G602" s="3">
        <f>$D602*TCA!G602/100</f>
        <v>1.98</v>
      </c>
      <c r="H602" s="3">
        <f>$D602*TCA!H602/100</f>
        <v>4.8</v>
      </c>
      <c r="I602" s="3">
        <f>$D602*TCA!I602/100</f>
        <v>0</v>
      </c>
      <c r="J602" s="3">
        <f>$D602*TCA!J602/100</f>
        <v>1.26</v>
      </c>
      <c r="K602" s="3">
        <f>$D602*TCA!K602/100</f>
        <v>0.56000000000000005</v>
      </c>
      <c r="L602" s="3">
        <f>$D602*TCA!L602/100</f>
        <v>7.0000000000000007E-2</v>
      </c>
      <c r="M602" s="3">
        <f>$D602*TCA!M602/100</f>
        <v>8</v>
      </c>
      <c r="N602" s="3">
        <f>$D602*TCA!N602/100</f>
        <v>120</v>
      </c>
      <c r="O602" s="3">
        <f>$D602*TCA!O602/100</f>
        <v>92</v>
      </c>
      <c r="P602" s="3">
        <f t="shared" si="9"/>
        <v>27.878787878787879</v>
      </c>
      <c r="Q602" s="3">
        <f>$D602*TCA!P602/100</f>
        <v>0.02</v>
      </c>
      <c r="R602" s="3">
        <f>$D602*TCA!Q602/100</f>
        <v>140</v>
      </c>
      <c r="S602" s="3">
        <f>$D602*TCA!R602/100</f>
        <v>47</v>
      </c>
      <c r="T602" s="3">
        <f>$D602*TCA!S602/100</f>
        <v>0.48</v>
      </c>
      <c r="U602" s="3">
        <f>$D602*TCA!T602/100</f>
        <v>0.2</v>
      </c>
      <c r="V602" s="3">
        <f>$D602*TCA!U602/100</f>
        <v>55</v>
      </c>
      <c r="W602" s="3">
        <f>$D602*TCA!V602/100</f>
        <v>5</v>
      </c>
      <c r="X602" s="3">
        <f>$D602*TCA!W602/100</f>
        <v>0.53</v>
      </c>
    </row>
    <row r="603" spans="1:24" x14ac:dyDescent="0.25">
      <c r="A603" s="3" t="s">
        <v>2031</v>
      </c>
      <c r="B603" s="3" t="s">
        <v>1186</v>
      </c>
      <c r="C603" s="3" t="s">
        <v>1187</v>
      </c>
      <c r="D603" s="3">
        <v>100</v>
      </c>
      <c r="E603" s="3">
        <f>$D603*TCA!E603/100</f>
        <v>46.67</v>
      </c>
      <c r="F603" s="3">
        <f>$D603*TCA!F603/100</f>
        <v>2.92</v>
      </c>
      <c r="G603" s="3">
        <f>$D603*TCA!G603/100</f>
        <v>1.67</v>
      </c>
      <c r="H603" s="3">
        <f>$D603*TCA!H603/100</f>
        <v>5</v>
      </c>
      <c r="I603" s="3">
        <f>$D603*TCA!I603/100</f>
        <v>0</v>
      </c>
      <c r="J603" s="3">
        <f>$D603*TCA!J603/100</f>
        <v>1.04</v>
      </c>
      <c r="K603" s="3">
        <f>$D603*TCA!K603/100</f>
        <v>0.42</v>
      </c>
      <c r="L603" s="3">
        <f>$D603*TCA!L603/100</f>
        <v>0</v>
      </c>
      <c r="M603" s="3">
        <f>$D603*TCA!M603/100</f>
        <v>7.08</v>
      </c>
      <c r="N603" s="3">
        <f>$D603*TCA!N603/100</f>
        <v>0</v>
      </c>
      <c r="O603" s="3">
        <f>$D603*TCA!O603/100</f>
        <v>0</v>
      </c>
      <c r="P603" s="3">
        <f t="shared" si="9"/>
        <v>0</v>
      </c>
      <c r="Q603" s="3">
        <f>$D603*TCA!P603/100</f>
        <v>0</v>
      </c>
      <c r="R603" s="3">
        <f>$D603*TCA!Q603/100</f>
        <v>0</v>
      </c>
      <c r="S603" s="3">
        <f>$D603*TCA!R603/100</f>
        <v>66.67</v>
      </c>
      <c r="T603" s="3">
        <f>$D603*TCA!S603/100</f>
        <v>0</v>
      </c>
      <c r="U603" s="3">
        <f>$D603*TCA!T603/100</f>
        <v>0</v>
      </c>
      <c r="V603" s="3">
        <f>$D603*TCA!U603/100</f>
        <v>0</v>
      </c>
      <c r="W603" s="3">
        <f>$D603*TCA!V603/100</f>
        <v>0</v>
      </c>
      <c r="X603" s="3">
        <f>$D603*TCA!W603/100</f>
        <v>0</v>
      </c>
    </row>
    <row r="604" spans="1:24" x14ac:dyDescent="0.25">
      <c r="A604" s="3" t="s">
        <v>2031</v>
      </c>
      <c r="B604" s="3" t="s">
        <v>1188</v>
      </c>
      <c r="C604" s="3" t="s">
        <v>1189</v>
      </c>
      <c r="D604" s="3">
        <v>100</v>
      </c>
      <c r="E604" s="3">
        <f>$D604*TCA!E604/100</f>
        <v>450</v>
      </c>
      <c r="F604" s="3">
        <f>$D604*TCA!F604/100</f>
        <v>19.23</v>
      </c>
      <c r="G604" s="3">
        <f>$D604*TCA!G604/100</f>
        <v>19.23</v>
      </c>
      <c r="H604" s="3">
        <f>$D604*TCA!H604/100</f>
        <v>50</v>
      </c>
      <c r="I604" s="3">
        <f>$D604*TCA!I604/100</f>
        <v>0</v>
      </c>
      <c r="J604" s="3">
        <f>$D604*TCA!J604/100</f>
        <v>76.92</v>
      </c>
      <c r="K604" s="3">
        <f>$D604*TCA!K604/100</f>
        <v>0</v>
      </c>
      <c r="L604" s="3">
        <f>$D604*TCA!L604/100</f>
        <v>0</v>
      </c>
      <c r="M604" s="3">
        <f>$D604*TCA!M604/100</f>
        <v>76.92</v>
      </c>
      <c r="N604" s="3">
        <f>$D604*TCA!N604/100</f>
        <v>0</v>
      </c>
      <c r="O604" s="3">
        <f>$D604*TCA!O604/100</f>
        <v>0</v>
      </c>
      <c r="P604" s="3">
        <f t="shared" si="9"/>
        <v>0</v>
      </c>
      <c r="Q604" s="3">
        <f>$D604*TCA!P604/100</f>
        <v>0</v>
      </c>
      <c r="R604" s="3">
        <f>$D604*TCA!Q604/100</f>
        <v>0</v>
      </c>
      <c r="S604" s="3">
        <f>$D604*TCA!R604/100</f>
        <v>269.23</v>
      </c>
      <c r="T604" s="3">
        <f>$D604*TCA!S604/100</f>
        <v>0</v>
      </c>
      <c r="U604" s="3">
        <f>$D604*TCA!T604/100</f>
        <v>0</v>
      </c>
      <c r="V604" s="3">
        <f>$D604*TCA!U604/100</f>
        <v>0</v>
      </c>
      <c r="W604" s="3">
        <f>$D604*TCA!V604/100</f>
        <v>0</v>
      </c>
      <c r="X604" s="3">
        <f>$D604*TCA!W604/100</f>
        <v>0</v>
      </c>
    </row>
    <row r="605" spans="1:24" x14ac:dyDescent="0.25">
      <c r="A605" s="3" t="s">
        <v>2031</v>
      </c>
      <c r="B605" s="3" t="s">
        <v>1190</v>
      </c>
      <c r="C605" s="3" t="s">
        <v>1191</v>
      </c>
      <c r="D605" s="3">
        <v>100</v>
      </c>
      <c r="E605" s="3">
        <f>$D605*TCA!E605/100</f>
        <v>519.35</v>
      </c>
      <c r="F605" s="3">
        <f>$D605*TCA!F605/100</f>
        <v>16.13</v>
      </c>
      <c r="G605" s="3">
        <f>$D605*TCA!G605/100</f>
        <v>29.03</v>
      </c>
      <c r="H605" s="3">
        <f>$D605*TCA!H605/100</f>
        <v>48.39</v>
      </c>
      <c r="I605" s="3">
        <f>$D605*TCA!I605/100</f>
        <v>0</v>
      </c>
      <c r="J605" s="3">
        <f>$D605*TCA!J605/100</f>
        <v>16.13</v>
      </c>
      <c r="K605" s="3">
        <f>$D605*TCA!K605/100</f>
        <v>6.45</v>
      </c>
      <c r="L605" s="3">
        <f>$D605*TCA!L605/100</f>
        <v>0</v>
      </c>
      <c r="M605" s="3">
        <f>$D605*TCA!M605/100</f>
        <v>83.87</v>
      </c>
      <c r="N605" s="3">
        <f>$D605*TCA!N605/100</f>
        <v>0</v>
      </c>
      <c r="O605" s="3">
        <f>$D605*TCA!O605/100</f>
        <v>0</v>
      </c>
      <c r="P605" s="3">
        <f t="shared" si="9"/>
        <v>0</v>
      </c>
      <c r="Q605" s="3">
        <f>$D605*TCA!P605/100</f>
        <v>0</v>
      </c>
      <c r="R605" s="3">
        <f>$D605*TCA!Q605/100</f>
        <v>0</v>
      </c>
      <c r="S605" s="3">
        <f>$D605*TCA!R605/100</f>
        <v>225.81</v>
      </c>
      <c r="T605" s="3">
        <f>$D605*TCA!S605/100</f>
        <v>0</v>
      </c>
      <c r="U605" s="3">
        <f>$D605*TCA!T605/100</f>
        <v>0</v>
      </c>
      <c r="V605" s="3">
        <f>$D605*TCA!U605/100</f>
        <v>0</v>
      </c>
      <c r="W605" s="3">
        <f>$D605*TCA!V605/100</f>
        <v>0</v>
      </c>
      <c r="X605" s="3">
        <f>$D605*TCA!W605/100</f>
        <v>0</v>
      </c>
    </row>
    <row r="606" spans="1:24" x14ac:dyDescent="0.25">
      <c r="A606" s="3" t="s">
        <v>2031</v>
      </c>
      <c r="B606" s="3" t="s">
        <v>1192</v>
      </c>
      <c r="C606" s="3" t="s">
        <v>1193</v>
      </c>
      <c r="D606" s="3">
        <v>100</v>
      </c>
      <c r="E606" s="3">
        <f>$D606*TCA!E606/100</f>
        <v>464.24</v>
      </c>
      <c r="F606" s="3">
        <f>$D606*TCA!F606/100</f>
        <v>15.21</v>
      </c>
      <c r="G606" s="3">
        <f>$D606*TCA!G606/100</f>
        <v>20.6</v>
      </c>
      <c r="H606" s="3">
        <f>$D606*TCA!H606/100</f>
        <v>54.5</v>
      </c>
      <c r="I606" s="3">
        <f>$D606*TCA!I606/100</f>
        <v>2.8</v>
      </c>
      <c r="J606" s="3">
        <f>$D606*TCA!J606/100</f>
        <v>7.3</v>
      </c>
      <c r="K606" s="3">
        <f>$D606*TCA!K606/100</f>
        <v>6.79</v>
      </c>
      <c r="L606" s="3">
        <f>$D606*TCA!L606/100</f>
        <v>4.5999999999999996</v>
      </c>
      <c r="M606" s="3">
        <f>$D606*TCA!M606/100</f>
        <v>30.1</v>
      </c>
      <c r="N606" s="3">
        <f>$D606*TCA!N606/100</f>
        <v>0</v>
      </c>
      <c r="O606" s="3">
        <f>$D606*TCA!O606/100</f>
        <v>0</v>
      </c>
      <c r="P606" s="3">
        <f t="shared" si="9"/>
        <v>0</v>
      </c>
      <c r="Q606" s="3">
        <f>$D606*TCA!P606/100</f>
        <v>0</v>
      </c>
      <c r="R606" s="3">
        <f>$D606*TCA!Q606/100</f>
        <v>570</v>
      </c>
      <c r="S606" s="3">
        <f>$D606*TCA!R606/100</f>
        <v>220</v>
      </c>
      <c r="T606" s="3">
        <f>$D606*TCA!S606/100</f>
        <v>0</v>
      </c>
      <c r="U606" s="3">
        <f>$D606*TCA!T606/100</f>
        <v>0</v>
      </c>
      <c r="V606" s="3">
        <f>$D606*TCA!U606/100</f>
        <v>0</v>
      </c>
      <c r="W606" s="3">
        <f>$D606*TCA!V606/100</f>
        <v>0</v>
      </c>
      <c r="X606" s="3">
        <f>$D606*TCA!W606/100</f>
        <v>0</v>
      </c>
    </row>
    <row r="607" spans="1:24" x14ac:dyDescent="0.25">
      <c r="A607" s="3" t="s">
        <v>2031</v>
      </c>
      <c r="B607" s="3" t="s">
        <v>1194</v>
      </c>
      <c r="C607" s="3" t="s">
        <v>1195</v>
      </c>
      <c r="D607" s="3">
        <v>100</v>
      </c>
      <c r="E607" s="3">
        <f>$D607*TCA!E607/100</f>
        <v>71.099999999999994</v>
      </c>
      <c r="F607" s="3">
        <f>$D607*TCA!F607/100</f>
        <v>1.03</v>
      </c>
      <c r="G607" s="3">
        <f>$D607*TCA!G607/100</f>
        <v>4.38</v>
      </c>
      <c r="H607" s="3">
        <f>$D607*TCA!H607/100</f>
        <v>6.89</v>
      </c>
      <c r="I607" s="3">
        <f>$D607*TCA!I607/100</f>
        <v>0</v>
      </c>
      <c r="J607" s="3">
        <f>$D607*TCA!J607/100</f>
        <v>2.0099999999999998</v>
      </c>
      <c r="K607" s="3">
        <f>$D607*TCA!K607/100</f>
        <v>1.66</v>
      </c>
      <c r="L607" s="3">
        <f>$D607*TCA!L607/100</f>
        <v>0.5</v>
      </c>
      <c r="M607" s="3">
        <f>$D607*TCA!M607/100</f>
        <v>14</v>
      </c>
      <c r="N607" s="3">
        <f>$D607*TCA!N607/100</f>
        <v>32</v>
      </c>
      <c r="O607" s="3">
        <f>$D607*TCA!O607/100</f>
        <v>14</v>
      </c>
      <c r="P607" s="3">
        <f t="shared" si="9"/>
        <v>13.592233009708737</v>
      </c>
      <c r="Q607" s="3">
        <f>$D607*TCA!P607/100</f>
        <v>0.03</v>
      </c>
      <c r="R607" s="3">
        <f>$D607*TCA!Q607/100</f>
        <v>51</v>
      </c>
      <c r="S607" s="3">
        <f>$D607*TCA!R607/100</f>
        <v>17</v>
      </c>
      <c r="T607" s="3">
        <f>$D607*TCA!S607/100</f>
        <v>0.17</v>
      </c>
      <c r="U607" s="3">
        <f>$D607*TCA!T607/100</f>
        <v>5</v>
      </c>
      <c r="V607" s="3">
        <f>$D607*TCA!U607/100</f>
        <v>61</v>
      </c>
      <c r="W607" s="3">
        <f>$D607*TCA!V607/100</f>
        <v>5</v>
      </c>
      <c r="X607" s="3">
        <f>$D607*TCA!W607/100</f>
        <v>0.05</v>
      </c>
    </row>
    <row r="608" spans="1:24" x14ac:dyDescent="0.25">
      <c r="A608" s="3" t="s">
        <v>2031</v>
      </c>
      <c r="B608" s="3" t="s">
        <v>1196</v>
      </c>
      <c r="C608" s="3" t="s">
        <v>1197</v>
      </c>
      <c r="D608" s="3">
        <v>100</v>
      </c>
      <c r="E608" s="3">
        <f>$D608*TCA!E608/100</f>
        <v>354.67</v>
      </c>
      <c r="F608" s="3">
        <f>$D608*TCA!F608/100</f>
        <v>7.55</v>
      </c>
      <c r="G608" s="3">
        <f>$D608*TCA!G608/100</f>
        <v>34.869999999999997</v>
      </c>
      <c r="H608" s="3">
        <f>$D608*TCA!H608/100</f>
        <v>2.66</v>
      </c>
      <c r="I608" s="3">
        <f>$D608*TCA!I608/100</f>
        <v>0</v>
      </c>
      <c r="J608" s="3">
        <f>$D608*TCA!J608/100</f>
        <v>21.97</v>
      </c>
      <c r="K608" s="3">
        <f>$D608*TCA!K608/100</f>
        <v>9.84</v>
      </c>
      <c r="L608" s="3">
        <f>$D608*TCA!L608/100</f>
        <v>1.26</v>
      </c>
      <c r="M608" s="3">
        <f>$D608*TCA!M608/100</f>
        <v>110</v>
      </c>
      <c r="N608" s="3">
        <f>$D608*TCA!N608/100</f>
        <v>80</v>
      </c>
      <c r="O608" s="3">
        <f>$D608*TCA!O608/100</f>
        <v>104</v>
      </c>
      <c r="P608" s="3">
        <f t="shared" si="9"/>
        <v>13.774834437086094</v>
      </c>
      <c r="Q608" s="3">
        <f>$D608*TCA!P608/100</f>
        <v>1.2</v>
      </c>
      <c r="R608" s="3">
        <f>$D608*TCA!Q608/100</f>
        <v>119</v>
      </c>
      <c r="S608" s="3">
        <f>$D608*TCA!R608/100</f>
        <v>296</v>
      </c>
      <c r="T608" s="3">
        <f>$D608*TCA!S608/100</f>
        <v>0.54</v>
      </c>
      <c r="U608" s="3">
        <f>$D608*TCA!T608/100</f>
        <v>0</v>
      </c>
      <c r="V608" s="3">
        <f>$D608*TCA!U608/100</f>
        <v>366</v>
      </c>
      <c r="W608" s="3">
        <f>$D608*TCA!V608/100</f>
        <v>13</v>
      </c>
      <c r="X608" s="3">
        <f>$D608*TCA!W608/100</f>
        <v>0.42</v>
      </c>
    </row>
    <row r="609" spans="1:24" x14ac:dyDescent="0.25">
      <c r="A609" s="3" t="s">
        <v>2031</v>
      </c>
      <c r="B609" s="3" t="s">
        <v>1198</v>
      </c>
      <c r="C609" s="3" t="s">
        <v>1199</v>
      </c>
      <c r="D609" s="3">
        <v>100</v>
      </c>
      <c r="E609" s="3">
        <f>$D609*TCA!E609/100</f>
        <v>260</v>
      </c>
      <c r="F609" s="3">
        <f>$D609*TCA!F609/100</f>
        <v>13.33</v>
      </c>
      <c r="G609" s="3">
        <f>$D609*TCA!G609/100</f>
        <v>20</v>
      </c>
      <c r="H609" s="3">
        <f>$D609*TCA!H609/100</f>
        <v>6.67</v>
      </c>
      <c r="I609" s="3">
        <f>$D609*TCA!I609/100</f>
        <v>0</v>
      </c>
      <c r="J609" s="3">
        <f>$D609*TCA!J609/100</f>
        <v>13.33</v>
      </c>
      <c r="K609" s="3">
        <f>$D609*TCA!K609/100</f>
        <v>6.67</v>
      </c>
      <c r="L609" s="3">
        <f>$D609*TCA!L609/100</f>
        <v>0</v>
      </c>
      <c r="M609" s="3">
        <f>$D609*TCA!M609/100</f>
        <v>120</v>
      </c>
      <c r="N609" s="3">
        <f>$D609*TCA!N609/100</f>
        <v>0</v>
      </c>
      <c r="O609" s="3">
        <f>$D609*TCA!O609/100</f>
        <v>0</v>
      </c>
      <c r="P609" s="3">
        <f t="shared" si="9"/>
        <v>0</v>
      </c>
      <c r="Q609" s="3">
        <f>$D609*TCA!P609/100</f>
        <v>0</v>
      </c>
      <c r="R609" s="3">
        <f>$D609*TCA!Q609/100</f>
        <v>0</v>
      </c>
      <c r="S609" s="3">
        <f>$D609*TCA!R609/100</f>
        <v>533.33000000000004</v>
      </c>
      <c r="T609" s="3">
        <f>$D609*TCA!S609/100</f>
        <v>0</v>
      </c>
      <c r="U609" s="3">
        <f>$D609*TCA!T609/100</f>
        <v>0</v>
      </c>
      <c r="V609" s="3">
        <f>$D609*TCA!U609/100</f>
        <v>0</v>
      </c>
      <c r="W609" s="3">
        <f>$D609*TCA!V609/100</f>
        <v>0</v>
      </c>
      <c r="X609" s="3">
        <f>$D609*TCA!W609/100</f>
        <v>0</v>
      </c>
    </row>
    <row r="610" spans="1:24" x14ac:dyDescent="0.25">
      <c r="A610" s="3" t="s">
        <v>2031</v>
      </c>
      <c r="B610" s="3" t="s">
        <v>1200</v>
      </c>
      <c r="C610" s="3" t="s">
        <v>1201</v>
      </c>
      <c r="D610" s="3">
        <v>100</v>
      </c>
      <c r="E610" s="3">
        <f>$D610*TCA!E610/100</f>
        <v>151.9</v>
      </c>
      <c r="F610" s="3">
        <f>$D610*TCA!F610/100</f>
        <v>8.3000000000000007</v>
      </c>
      <c r="G610" s="3">
        <f>$D610*TCA!G610/100</f>
        <v>11.5</v>
      </c>
      <c r="H610" s="3">
        <f>$D610*TCA!H610/100</f>
        <v>3.8</v>
      </c>
      <c r="I610" s="3">
        <f>$D610*TCA!I610/100</f>
        <v>0.4</v>
      </c>
      <c r="J610" s="3">
        <f>$D610*TCA!J610/100</f>
        <v>7.4</v>
      </c>
      <c r="K610" s="3">
        <f>$D610*TCA!K610/100</f>
        <v>0</v>
      </c>
      <c r="L610" s="3">
        <f>$D610*TCA!L610/100</f>
        <v>0</v>
      </c>
      <c r="M610" s="3">
        <f>$D610*TCA!M610/100</f>
        <v>0</v>
      </c>
      <c r="N610" s="3">
        <f>$D610*TCA!N610/100</f>
        <v>0</v>
      </c>
      <c r="O610" s="3">
        <f>$D610*TCA!O610/100</f>
        <v>0</v>
      </c>
      <c r="P610" s="3">
        <f t="shared" si="9"/>
        <v>0</v>
      </c>
      <c r="Q610" s="3">
        <f>$D610*TCA!P610/100</f>
        <v>0</v>
      </c>
      <c r="R610" s="3">
        <f>$D610*TCA!Q610/100</f>
        <v>0</v>
      </c>
      <c r="S610" s="3">
        <f>$D610*TCA!R610/100</f>
        <v>0.4</v>
      </c>
      <c r="T610" s="3">
        <f>$D610*TCA!S610/100</f>
        <v>0</v>
      </c>
      <c r="U610" s="3">
        <f>$D610*TCA!T610/100</f>
        <v>0</v>
      </c>
      <c r="V610" s="3">
        <f>$D610*TCA!U610/100</f>
        <v>0</v>
      </c>
      <c r="W610" s="3">
        <f>$D610*TCA!V610/100</f>
        <v>0</v>
      </c>
      <c r="X610" s="3">
        <f>$D610*TCA!W610/100</f>
        <v>0</v>
      </c>
    </row>
    <row r="611" spans="1:24" x14ac:dyDescent="0.25">
      <c r="A611" s="3" t="s">
        <v>2031</v>
      </c>
      <c r="B611" s="3" t="s">
        <v>1202</v>
      </c>
      <c r="C611" s="3" t="s">
        <v>1203</v>
      </c>
      <c r="D611" s="3">
        <v>100</v>
      </c>
      <c r="E611" s="3">
        <f>$D611*TCA!E611/100</f>
        <v>353.62</v>
      </c>
      <c r="F611" s="3">
        <f>$D611*TCA!F611/100</f>
        <v>21.4</v>
      </c>
      <c r="G611" s="3">
        <f>$D611*TCA!G611/100</f>
        <v>28.74</v>
      </c>
      <c r="H611" s="3">
        <f>$D611*TCA!H611/100</f>
        <v>2.34</v>
      </c>
      <c r="I611" s="3">
        <f>$D611*TCA!I611/100</f>
        <v>0</v>
      </c>
      <c r="J611" s="3">
        <f>$D611*TCA!J611/100</f>
        <v>18.670000000000002</v>
      </c>
      <c r="K611" s="3">
        <f>$D611*TCA!K611/100</f>
        <v>7.78</v>
      </c>
      <c r="L611" s="3">
        <f>$D611*TCA!L611/100</f>
        <v>0.8</v>
      </c>
      <c r="M611" s="3">
        <f>$D611*TCA!M611/100</f>
        <v>75</v>
      </c>
      <c r="N611" s="3">
        <f>$D611*TCA!N611/100</f>
        <v>528</v>
      </c>
      <c r="O611" s="3">
        <f>$D611*TCA!O611/100</f>
        <v>387</v>
      </c>
      <c r="P611" s="3">
        <f t="shared" si="9"/>
        <v>18.084112149532711</v>
      </c>
      <c r="Q611" s="3">
        <f>$D611*TCA!P611/100</f>
        <v>0.31</v>
      </c>
      <c r="R611" s="3">
        <f>$D611*TCA!Q611/100</f>
        <v>256</v>
      </c>
      <c r="S611" s="3">
        <f>$D611*TCA!R611/100</f>
        <v>1146</v>
      </c>
      <c r="T611" s="3">
        <f>$D611*TCA!S611/100</f>
        <v>2.66</v>
      </c>
      <c r="U611" s="3">
        <f>$D611*TCA!T611/100</f>
        <v>0</v>
      </c>
      <c r="V611" s="3">
        <f>$D611*TCA!U611/100</f>
        <v>198</v>
      </c>
      <c r="W611" s="3">
        <f>$D611*TCA!V611/100</f>
        <v>36</v>
      </c>
      <c r="X611" s="3">
        <f>$D611*TCA!W611/100</f>
        <v>1.22</v>
      </c>
    </row>
    <row r="612" spans="1:24" x14ac:dyDescent="0.25">
      <c r="A612" s="3" t="s">
        <v>2031</v>
      </c>
      <c r="B612" s="3" t="s">
        <v>1204</v>
      </c>
      <c r="C612" s="3" t="s">
        <v>1205</v>
      </c>
      <c r="D612" s="3">
        <v>100</v>
      </c>
      <c r="E612" s="3">
        <f>$D612*TCA!E612/100</f>
        <v>333.92</v>
      </c>
      <c r="F612" s="3">
        <f>$D612*TCA!F612/100</f>
        <v>20.75</v>
      </c>
      <c r="G612" s="3">
        <f>$D612*TCA!G612/100</f>
        <v>27.68</v>
      </c>
      <c r="H612" s="3">
        <f>$D612*TCA!H612/100</f>
        <v>0.45</v>
      </c>
      <c r="I612" s="3">
        <f>$D612*TCA!I612/100</f>
        <v>0</v>
      </c>
      <c r="J612" s="3">
        <f>$D612*TCA!J612/100</f>
        <v>17.41</v>
      </c>
      <c r="K612" s="3">
        <f>$D612*TCA!K612/100</f>
        <v>8.01</v>
      </c>
      <c r="L612" s="3">
        <f>$D612*TCA!L612/100</f>
        <v>0.83</v>
      </c>
      <c r="M612" s="3">
        <f>$D612*TCA!M612/100</f>
        <v>100</v>
      </c>
      <c r="N612" s="3">
        <f>$D612*TCA!N612/100</f>
        <v>184</v>
      </c>
      <c r="O612" s="3">
        <f>$D612*TCA!O612/100</f>
        <v>188</v>
      </c>
      <c r="P612" s="3">
        <f t="shared" si="9"/>
        <v>9.0602409638554224</v>
      </c>
      <c r="Q612" s="3">
        <f>$D612*TCA!P612/100</f>
        <v>0.5</v>
      </c>
      <c r="R612" s="3">
        <f>$D612*TCA!Q612/100</f>
        <v>152</v>
      </c>
      <c r="S612" s="3">
        <f>$D612*TCA!R612/100</f>
        <v>629</v>
      </c>
      <c r="T612" s="3">
        <f>$D612*TCA!S612/100</f>
        <v>2.38</v>
      </c>
      <c r="U612" s="3">
        <f>$D612*TCA!T612/100</f>
        <v>0</v>
      </c>
      <c r="V612" s="3">
        <f>$D612*TCA!U612/100</f>
        <v>174</v>
      </c>
      <c r="W612" s="3">
        <f>$D612*TCA!V612/100</f>
        <v>65</v>
      </c>
      <c r="X612" s="3">
        <f>$D612*TCA!W612/100</f>
        <v>1.65</v>
      </c>
    </row>
    <row r="613" spans="1:24" x14ac:dyDescent="0.25">
      <c r="A613" s="3" t="s">
        <v>2031</v>
      </c>
      <c r="B613" s="3" t="s">
        <v>1206</v>
      </c>
      <c r="C613" s="3" t="s">
        <v>1207</v>
      </c>
      <c r="D613" s="3">
        <v>100</v>
      </c>
      <c r="E613" s="3">
        <f>$D613*TCA!E613/100</f>
        <v>299.38</v>
      </c>
      <c r="F613" s="3">
        <f>$D613*TCA!F613/100</f>
        <v>19.8</v>
      </c>
      <c r="G613" s="3">
        <f>$D613*TCA!G613/100</f>
        <v>24.26</v>
      </c>
      <c r="H613" s="3">
        <f>$D613*TCA!H613/100</f>
        <v>0.46</v>
      </c>
      <c r="I613" s="3">
        <f>$D613*TCA!I613/100</f>
        <v>0</v>
      </c>
      <c r="J613" s="3">
        <f>$D613*TCA!J613/100</f>
        <v>15.26</v>
      </c>
      <c r="K613" s="3">
        <f>$D613*TCA!K613/100</f>
        <v>7.02</v>
      </c>
      <c r="L613" s="3">
        <f>$D613*TCA!L613/100</f>
        <v>0.72</v>
      </c>
      <c r="M613" s="3">
        <f>$D613*TCA!M613/100</f>
        <v>72</v>
      </c>
      <c r="N613" s="3">
        <f>$D613*TCA!N613/100</f>
        <v>388</v>
      </c>
      <c r="O613" s="3">
        <f>$D613*TCA!O613/100</f>
        <v>347</v>
      </c>
      <c r="P613" s="3">
        <f t="shared" si="9"/>
        <v>17.525252525252526</v>
      </c>
      <c r="Q613" s="3">
        <f>$D613*TCA!P613/100</f>
        <v>0.33</v>
      </c>
      <c r="R613" s="3">
        <f>$D613*TCA!Q613/100</f>
        <v>187</v>
      </c>
      <c r="S613" s="3">
        <f>$D613*TCA!R613/100</f>
        <v>842</v>
      </c>
      <c r="T613" s="3">
        <f>$D613*TCA!S613/100</f>
        <v>2.38</v>
      </c>
      <c r="U613" s="3">
        <f>$D613*TCA!T613/100</f>
        <v>0</v>
      </c>
      <c r="V613" s="3">
        <f>$D613*TCA!U613/100</f>
        <v>241</v>
      </c>
      <c r="W613" s="3">
        <f>$D613*TCA!V613/100</f>
        <v>62</v>
      </c>
      <c r="X613" s="3">
        <f>$D613*TCA!W613/100</f>
        <v>1.3</v>
      </c>
    </row>
    <row r="614" spans="1:24" x14ac:dyDescent="0.25">
      <c r="A614" s="3" t="s">
        <v>2031</v>
      </c>
      <c r="B614" s="3" t="s">
        <v>1208</v>
      </c>
      <c r="C614" s="3" t="s">
        <v>1209</v>
      </c>
      <c r="D614" s="3">
        <v>100</v>
      </c>
      <c r="E614" s="3">
        <f>$D614*TCA!E614/100</f>
        <v>402.98</v>
      </c>
      <c r="F614" s="3">
        <f>$D614*TCA!F614/100</f>
        <v>24.9</v>
      </c>
      <c r="G614" s="3">
        <f>$D614*TCA!G614/100</f>
        <v>33.14</v>
      </c>
      <c r="H614" s="3">
        <f>$D614*TCA!H614/100</f>
        <v>1.28</v>
      </c>
      <c r="I614" s="3">
        <f>$D614*TCA!I614/100</f>
        <v>0</v>
      </c>
      <c r="J614" s="3">
        <f>$D614*TCA!J614/100</f>
        <v>21.09</v>
      </c>
      <c r="K614" s="3">
        <f>$D614*TCA!K614/100</f>
        <v>9.39</v>
      </c>
      <c r="L614" s="3">
        <f>$D614*TCA!L614/100</f>
        <v>0.94</v>
      </c>
      <c r="M614" s="3">
        <f>$D614*TCA!M614/100</f>
        <v>105</v>
      </c>
      <c r="N614" s="3">
        <f>$D614*TCA!N614/100</f>
        <v>721</v>
      </c>
      <c r="O614" s="3">
        <f>$D614*TCA!O614/100</f>
        <v>512</v>
      </c>
      <c r="P614" s="3">
        <f t="shared" si="9"/>
        <v>20.562248995983936</v>
      </c>
      <c r="Q614" s="3">
        <f>$D614*TCA!P614/100</f>
        <v>0.68</v>
      </c>
      <c r="R614" s="3">
        <f>$D614*TCA!Q614/100</f>
        <v>98</v>
      </c>
      <c r="S614" s="3">
        <f>$D614*TCA!R614/100</f>
        <v>621</v>
      </c>
      <c r="T614" s="3">
        <f>$D614*TCA!S614/100</f>
        <v>3.11</v>
      </c>
      <c r="U614" s="3">
        <f>$D614*TCA!T614/100</f>
        <v>0</v>
      </c>
      <c r="V614" s="3">
        <f>$D614*TCA!U614/100</f>
        <v>265</v>
      </c>
      <c r="W614" s="3">
        <f>$D614*TCA!V614/100</f>
        <v>18</v>
      </c>
      <c r="X614" s="3">
        <f>$D614*TCA!W614/100</f>
        <v>0.83</v>
      </c>
    </row>
    <row r="615" spans="1:24" x14ac:dyDescent="0.25">
      <c r="A615" s="3" t="s">
        <v>2031</v>
      </c>
      <c r="B615" s="3" t="s">
        <v>1210</v>
      </c>
      <c r="C615" s="3" t="s">
        <v>1211</v>
      </c>
      <c r="D615" s="3">
        <v>100</v>
      </c>
      <c r="E615" s="3">
        <f>$D615*TCA!E615/100</f>
        <v>101.27</v>
      </c>
      <c r="F615" s="3">
        <f>$D615*TCA!F615/100</f>
        <v>12.49</v>
      </c>
      <c r="G615" s="3">
        <f>$D615*TCA!G615/100</f>
        <v>4.51</v>
      </c>
      <c r="H615" s="3">
        <f>$D615*TCA!H615/100</f>
        <v>2.68</v>
      </c>
      <c r="I615" s="3">
        <f>$D615*TCA!I615/100</f>
        <v>0</v>
      </c>
      <c r="J615" s="3">
        <f>$D615*TCA!J615/100</f>
        <v>2.85</v>
      </c>
      <c r="K615" s="3">
        <f>$D615*TCA!K615/100</f>
        <v>1.28</v>
      </c>
      <c r="L615" s="3">
        <f>$D615*TCA!L615/100</f>
        <v>0.14000000000000001</v>
      </c>
      <c r="M615" s="3">
        <f>$D615*TCA!M615/100</f>
        <v>15</v>
      </c>
      <c r="N615" s="3">
        <f>$D615*TCA!N615/100</f>
        <v>60</v>
      </c>
      <c r="O615" s="3">
        <f>$D615*TCA!O615/100</f>
        <v>132</v>
      </c>
      <c r="P615" s="3">
        <f t="shared" si="9"/>
        <v>10.568454763811049</v>
      </c>
      <c r="Q615" s="3">
        <f>$D615*TCA!P615/100</f>
        <v>0.14000000000000001</v>
      </c>
      <c r="R615" s="3">
        <f>$D615*TCA!Q615/100</f>
        <v>84</v>
      </c>
      <c r="S615" s="3">
        <f>$D615*TCA!R615/100</f>
        <v>405</v>
      </c>
      <c r="T615" s="3">
        <f>$D615*TCA!S615/100</f>
        <v>0.37</v>
      </c>
      <c r="U615" s="3">
        <f>$D615*TCA!T615/100</f>
        <v>0</v>
      </c>
      <c r="V615" s="3">
        <f>$D615*TCA!U615/100</f>
        <v>44</v>
      </c>
      <c r="W615" s="3">
        <f>$D615*TCA!V615/100</f>
        <v>12</v>
      </c>
      <c r="X615" s="3">
        <f>$D615*TCA!W615/100</f>
        <v>0.62</v>
      </c>
    </row>
    <row r="616" spans="1:24" x14ac:dyDescent="0.25">
      <c r="A616" s="3" t="s">
        <v>2031</v>
      </c>
      <c r="B616" s="3" t="s">
        <v>1212</v>
      </c>
      <c r="C616" s="3" t="s">
        <v>1213</v>
      </c>
      <c r="D616" s="3">
        <v>100</v>
      </c>
      <c r="E616" s="3">
        <f>$D616*TCA!E616/100</f>
        <v>86.85</v>
      </c>
      <c r="F616" s="3">
        <f>$D616*TCA!F616/100</f>
        <v>13.74</v>
      </c>
      <c r="G616" s="3">
        <f>$D616*TCA!G616/100</f>
        <v>1.93</v>
      </c>
      <c r="H616" s="3">
        <f>$D616*TCA!H616/100</f>
        <v>3.63</v>
      </c>
      <c r="I616" s="3">
        <f>$D616*TCA!I616/100</f>
        <v>0</v>
      </c>
      <c r="J616" s="3">
        <f>$D616*TCA!J616/100</f>
        <v>1.22</v>
      </c>
      <c r="K616" s="3">
        <f>$D616*TCA!K616/100</f>
        <v>0.55000000000000004</v>
      </c>
      <c r="L616" s="3">
        <f>$D616*TCA!L616/100</f>
        <v>0.06</v>
      </c>
      <c r="M616" s="3">
        <f>$D616*TCA!M616/100</f>
        <v>8</v>
      </c>
      <c r="N616" s="3">
        <f>$D616*TCA!N616/100</f>
        <v>69</v>
      </c>
      <c r="O616" s="3">
        <f>$D616*TCA!O616/100</f>
        <v>151</v>
      </c>
      <c r="P616" s="3">
        <f t="shared" si="9"/>
        <v>10.989810771470159</v>
      </c>
      <c r="Q616" s="3">
        <f>$D616*TCA!P616/100</f>
        <v>0.16</v>
      </c>
      <c r="R616" s="3">
        <f>$D616*TCA!Q616/100</f>
        <v>96</v>
      </c>
      <c r="S616" s="3">
        <f>$D616*TCA!R616/100</f>
        <v>406</v>
      </c>
      <c r="T616" s="3">
        <f>$D616*TCA!S616/100</f>
        <v>0.42</v>
      </c>
      <c r="U616" s="3">
        <f>$D616*TCA!T616/100</f>
        <v>0</v>
      </c>
      <c r="V616" s="3">
        <f>$D616*TCA!U616/100</f>
        <v>21</v>
      </c>
      <c r="W616" s="3">
        <f>$D616*TCA!V616/100</f>
        <v>13</v>
      </c>
      <c r="X616" s="3">
        <f>$D616*TCA!W616/100</f>
        <v>0.71</v>
      </c>
    </row>
    <row r="617" spans="1:24" x14ac:dyDescent="0.25">
      <c r="A617" s="3" t="s">
        <v>2031</v>
      </c>
      <c r="B617" s="3" t="s">
        <v>1214</v>
      </c>
      <c r="C617" s="3" t="s">
        <v>1215</v>
      </c>
      <c r="D617" s="3">
        <v>100</v>
      </c>
      <c r="E617" s="3">
        <f>$D617*TCA!E617/100</f>
        <v>391.6</v>
      </c>
      <c r="F617" s="3">
        <f>$D617*TCA!F617/100</f>
        <v>21.4</v>
      </c>
      <c r="G617" s="3">
        <f>$D617*TCA!G617/100</f>
        <v>34</v>
      </c>
      <c r="H617" s="3">
        <f>$D617*TCA!H617/100</f>
        <v>0</v>
      </c>
      <c r="I617" s="3">
        <f>$D617*TCA!I617/100</f>
        <v>0</v>
      </c>
      <c r="J617" s="3">
        <f>$D617*TCA!J617/100</f>
        <v>23</v>
      </c>
      <c r="K617" s="3">
        <f>$D617*TCA!K617/100</f>
        <v>0</v>
      </c>
      <c r="L617" s="3">
        <f>$D617*TCA!L617/100</f>
        <v>0</v>
      </c>
      <c r="M617" s="3">
        <f>$D617*TCA!M617/100</f>
        <v>0</v>
      </c>
      <c r="N617" s="3">
        <f>$D617*TCA!N617/100</f>
        <v>0</v>
      </c>
      <c r="O617" s="3">
        <f>$D617*TCA!O617/100</f>
        <v>0</v>
      </c>
      <c r="P617" s="3">
        <f t="shared" si="9"/>
        <v>0</v>
      </c>
      <c r="Q617" s="3">
        <f>$D617*TCA!P617/100</f>
        <v>0</v>
      </c>
      <c r="R617" s="3">
        <f>$D617*TCA!Q617/100</f>
        <v>0</v>
      </c>
      <c r="S617" s="3">
        <f>$D617*TCA!R617/100</f>
        <v>1.6</v>
      </c>
      <c r="T617" s="3">
        <f>$D617*TCA!S617/100</f>
        <v>0</v>
      </c>
      <c r="U617" s="3">
        <f>$D617*TCA!T617/100</f>
        <v>0</v>
      </c>
      <c r="V617" s="3">
        <f>$D617*TCA!U617/100</f>
        <v>0</v>
      </c>
      <c r="W617" s="3">
        <f>$D617*TCA!V617/100</f>
        <v>0</v>
      </c>
      <c r="X617" s="3">
        <f>$D617*TCA!W617/100</f>
        <v>0</v>
      </c>
    </row>
    <row r="618" spans="1:24" x14ac:dyDescent="0.25">
      <c r="A618" s="3" t="s">
        <v>2031</v>
      </c>
      <c r="B618" s="3" t="s">
        <v>1216</v>
      </c>
      <c r="C618" s="3" t="s">
        <v>1217</v>
      </c>
      <c r="D618" s="3">
        <v>100</v>
      </c>
      <c r="E618" s="3">
        <f>$D618*TCA!E618/100</f>
        <v>264.10000000000002</v>
      </c>
      <c r="F618" s="3">
        <f>$D618*TCA!F618/100</f>
        <v>17.5</v>
      </c>
      <c r="G618" s="3">
        <f>$D618*TCA!G618/100</f>
        <v>20.100000000000001</v>
      </c>
      <c r="H618" s="3">
        <f>$D618*TCA!H618/100</f>
        <v>3.3</v>
      </c>
      <c r="I618" s="3">
        <f>$D618*TCA!I618/100</f>
        <v>0</v>
      </c>
      <c r="J618" s="3">
        <f>$D618*TCA!J618/100</f>
        <v>0</v>
      </c>
      <c r="K618" s="3">
        <f>$D618*TCA!K618/100</f>
        <v>0</v>
      </c>
      <c r="L618" s="3">
        <f>$D618*TCA!L618/100</f>
        <v>0</v>
      </c>
      <c r="M618" s="3">
        <f>$D618*TCA!M618/100</f>
        <v>0</v>
      </c>
      <c r="N618" s="3">
        <f>$D618*TCA!N618/100</f>
        <v>783</v>
      </c>
      <c r="O618" s="3">
        <f>$D618*TCA!O618/100</f>
        <v>375</v>
      </c>
      <c r="P618" s="3">
        <f t="shared" si="9"/>
        <v>21.428571428571427</v>
      </c>
      <c r="Q618" s="3">
        <f>$D618*TCA!P618/100</f>
        <v>1.3</v>
      </c>
      <c r="R618" s="3">
        <f>$D618*TCA!Q618/100</f>
        <v>0</v>
      </c>
      <c r="S618" s="3">
        <f>$D618*TCA!R618/100</f>
        <v>0</v>
      </c>
      <c r="T618" s="3">
        <f>$D618*TCA!S618/100</f>
        <v>0</v>
      </c>
      <c r="U618" s="3">
        <f>$D618*TCA!T618/100</f>
        <v>0</v>
      </c>
      <c r="V618" s="3">
        <f>$D618*TCA!U618/100</f>
        <v>420</v>
      </c>
      <c r="W618" s="3">
        <f>$D618*TCA!V618/100</f>
        <v>0</v>
      </c>
      <c r="X618" s="3">
        <f>$D618*TCA!W618/100</f>
        <v>0</v>
      </c>
    </row>
    <row r="619" spans="1:24" x14ac:dyDescent="0.25">
      <c r="A619" s="3" t="s">
        <v>2031</v>
      </c>
      <c r="B619" s="3" t="s">
        <v>1218</v>
      </c>
      <c r="C619" s="3" t="s">
        <v>1219</v>
      </c>
      <c r="D619" s="3">
        <v>100</v>
      </c>
      <c r="E619" s="3">
        <f>$D619*TCA!E619/100</f>
        <v>168.04</v>
      </c>
      <c r="F619" s="3">
        <f>$D619*TCA!F619/100</f>
        <v>24.35</v>
      </c>
      <c r="G619" s="3">
        <f>$D619*TCA!G619/100</f>
        <v>7</v>
      </c>
      <c r="H619" s="3">
        <f>$D619*TCA!H619/100</f>
        <v>1.91</v>
      </c>
      <c r="I619" s="3">
        <f>$D619*TCA!I619/100</f>
        <v>0</v>
      </c>
      <c r="J619" s="3">
        <f>$D619*TCA!J619/100</f>
        <v>4.34</v>
      </c>
      <c r="K619" s="3">
        <f>$D619*TCA!K619/100</f>
        <v>2.08</v>
      </c>
      <c r="L619" s="3">
        <f>$D619*TCA!L619/100</f>
        <v>0.22</v>
      </c>
      <c r="M619" s="3">
        <f>$D619*TCA!M619/100</f>
        <v>21</v>
      </c>
      <c r="N619" s="3">
        <f>$D619*TCA!N619/100</f>
        <v>414</v>
      </c>
      <c r="O619" s="3">
        <f>$D619*TCA!O619/100</f>
        <v>484</v>
      </c>
      <c r="P619" s="3">
        <f t="shared" si="9"/>
        <v>19.876796714579054</v>
      </c>
      <c r="Q619" s="3">
        <f>$D619*TCA!P619/100</f>
        <v>0.42</v>
      </c>
      <c r="R619" s="3">
        <f>$D619*TCA!Q619/100</f>
        <v>66</v>
      </c>
      <c r="S619" s="3">
        <f>$D619*TCA!R619/100</f>
        <v>612</v>
      </c>
      <c r="T619" s="3">
        <f>$D619*TCA!S619/100</f>
        <v>1.82</v>
      </c>
      <c r="U619" s="3">
        <f>$D619*TCA!T619/100</f>
        <v>0</v>
      </c>
      <c r="V619" s="3">
        <f>$D619*TCA!U619/100</f>
        <v>60</v>
      </c>
      <c r="W619" s="3">
        <f>$D619*TCA!V619/100</f>
        <v>11</v>
      </c>
      <c r="X619" s="3">
        <f>$D619*TCA!W619/100</f>
        <v>0.49</v>
      </c>
    </row>
    <row r="620" spans="1:24" x14ac:dyDescent="0.25">
      <c r="A620" s="3" t="s">
        <v>2031</v>
      </c>
      <c r="B620" s="3" t="s">
        <v>1220</v>
      </c>
      <c r="C620" s="3" t="s">
        <v>1221</v>
      </c>
      <c r="D620" s="3">
        <v>100</v>
      </c>
      <c r="E620" s="3">
        <f>$D620*TCA!E620/100</f>
        <v>175.4</v>
      </c>
      <c r="F620" s="3">
        <f>$D620*TCA!F620/100</f>
        <v>24.6</v>
      </c>
      <c r="G620" s="3">
        <f>$D620*TCA!G620/100</f>
        <v>7</v>
      </c>
      <c r="H620" s="3">
        <f>$D620*TCA!H620/100</f>
        <v>3.5</v>
      </c>
      <c r="I620" s="3">
        <f>$D620*TCA!I620/100</f>
        <v>0</v>
      </c>
      <c r="J620" s="3">
        <f>$D620*TCA!J620/100</f>
        <v>4.41</v>
      </c>
      <c r="K620" s="3">
        <f>$D620*TCA!K620/100</f>
        <v>2.0099999999999998</v>
      </c>
      <c r="L620" s="3">
        <f>$D620*TCA!L620/100</f>
        <v>0.22</v>
      </c>
      <c r="M620" s="3">
        <f>$D620*TCA!M620/100</f>
        <v>35</v>
      </c>
      <c r="N620" s="3">
        <f>$D620*TCA!N620/100</f>
        <v>684</v>
      </c>
      <c r="O620" s="3">
        <f>$D620*TCA!O620/100</f>
        <v>827</v>
      </c>
      <c r="P620" s="3">
        <f t="shared" si="9"/>
        <v>33.617886178861788</v>
      </c>
      <c r="Q620" s="3">
        <f>$D620*TCA!P620/100</f>
        <v>0.43</v>
      </c>
      <c r="R620" s="3">
        <f>$D620*TCA!Q620/100</f>
        <v>180</v>
      </c>
      <c r="S620" s="3">
        <f>$D620*TCA!R620/100</f>
        <v>1789</v>
      </c>
      <c r="T620" s="3">
        <f>$D620*TCA!S620/100</f>
        <v>3.32</v>
      </c>
      <c r="U620" s="3">
        <f>$D620*TCA!T620/100</f>
        <v>0</v>
      </c>
      <c r="V620" s="3">
        <f>$D620*TCA!U620/100</f>
        <v>57</v>
      </c>
      <c r="W620" s="3">
        <f>$D620*TCA!V620/100</f>
        <v>9</v>
      </c>
      <c r="X620" s="3">
        <f>$D620*TCA!W620/100</f>
        <v>0.77</v>
      </c>
    </row>
    <row r="621" spans="1:24" x14ac:dyDescent="0.25">
      <c r="A621" s="3" t="s">
        <v>2031</v>
      </c>
      <c r="B621" s="3" t="s">
        <v>1222</v>
      </c>
      <c r="C621" s="3" t="s">
        <v>1223</v>
      </c>
      <c r="D621" s="3">
        <v>100</v>
      </c>
      <c r="E621" s="3">
        <f>$D621*TCA!E621/100</f>
        <v>336.67</v>
      </c>
      <c r="F621" s="3">
        <f>$D621*TCA!F621/100</f>
        <v>16.670000000000002</v>
      </c>
      <c r="G621" s="3">
        <f>$D621*TCA!G621/100</f>
        <v>30</v>
      </c>
      <c r="H621" s="3">
        <f>$D621*TCA!H621/100</f>
        <v>0</v>
      </c>
      <c r="I621" s="3">
        <f>$D621*TCA!I621/100</f>
        <v>0</v>
      </c>
      <c r="J621" s="3">
        <f>$D621*TCA!J621/100</f>
        <v>20</v>
      </c>
      <c r="K621" s="3">
        <f>$D621*TCA!K621/100</f>
        <v>10</v>
      </c>
      <c r="L621" s="3">
        <f>$D621*TCA!L621/100</f>
        <v>0</v>
      </c>
      <c r="M621" s="3">
        <f>$D621*TCA!M621/100</f>
        <v>96.67</v>
      </c>
      <c r="N621" s="3">
        <f>$D621*TCA!N621/100</f>
        <v>0</v>
      </c>
      <c r="O621" s="3">
        <f>$D621*TCA!O621/100</f>
        <v>0</v>
      </c>
      <c r="P621" s="3">
        <f t="shared" si="9"/>
        <v>0</v>
      </c>
      <c r="Q621" s="3">
        <f>$D621*TCA!P621/100</f>
        <v>0</v>
      </c>
      <c r="R621" s="3">
        <f>$D621*TCA!Q621/100</f>
        <v>0</v>
      </c>
      <c r="S621" s="3">
        <f>$D621*TCA!R621/100</f>
        <v>1166.67</v>
      </c>
      <c r="T621" s="3">
        <f>$D621*TCA!S621/100</f>
        <v>0</v>
      </c>
      <c r="U621" s="3">
        <f>$D621*TCA!T621/100</f>
        <v>0</v>
      </c>
      <c r="V621" s="3">
        <f>$D621*TCA!U621/100</f>
        <v>0</v>
      </c>
      <c r="W621" s="3">
        <f>$D621*TCA!V621/100</f>
        <v>0</v>
      </c>
      <c r="X621" s="3">
        <f>$D621*TCA!W621/100</f>
        <v>0</v>
      </c>
    </row>
    <row r="622" spans="1:24" x14ac:dyDescent="0.25">
      <c r="A622" s="3" t="s">
        <v>2031</v>
      </c>
      <c r="B622" s="3" t="s">
        <v>1224</v>
      </c>
      <c r="C622" s="3" t="s">
        <v>1225</v>
      </c>
      <c r="D622" s="3">
        <v>100</v>
      </c>
      <c r="E622" s="3">
        <f>$D622*TCA!E622/100</f>
        <v>355.6</v>
      </c>
      <c r="F622" s="3">
        <f>$D622*TCA!F622/100</f>
        <v>24.94</v>
      </c>
      <c r="G622" s="3">
        <f>$D622*TCA!G622/100</f>
        <v>27.44</v>
      </c>
      <c r="H622" s="3">
        <f>$D622*TCA!H622/100</f>
        <v>2.2200000000000002</v>
      </c>
      <c r="I622" s="3">
        <f>$D622*TCA!I622/100</f>
        <v>0</v>
      </c>
      <c r="J622" s="3">
        <f>$D622*TCA!J622/100</f>
        <v>17.61</v>
      </c>
      <c r="K622" s="3">
        <f>$D622*TCA!K622/100</f>
        <v>7.75</v>
      </c>
      <c r="L622" s="3">
        <f>$D622*TCA!L622/100</f>
        <v>0.66</v>
      </c>
      <c r="M622" s="3">
        <f>$D622*TCA!M622/100</f>
        <v>114</v>
      </c>
      <c r="N622" s="3">
        <f>$D622*TCA!N622/100</f>
        <v>700</v>
      </c>
      <c r="O622" s="3">
        <f>$D622*TCA!O622/100</f>
        <v>546</v>
      </c>
      <c r="P622" s="3">
        <f t="shared" si="9"/>
        <v>21.892542101042501</v>
      </c>
      <c r="Q622" s="3">
        <f>$D622*TCA!P622/100</f>
        <v>0.24</v>
      </c>
      <c r="R622" s="3">
        <f>$D622*TCA!Q622/100</f>
        <v>121</v>
      </c>
      <c r="S622" s="3">
        <f>$D622*TCA!R622/100</f>
        <v>819</v>
      </c>
      <c r="T622" s="3">
        <f>$D622*TCA!S622/100</f>
        <v>3.9</v>
      </c>
      <c r="U622" s="3">
        <f>$D622*TCA!T622/100</f>
        <v>0</v>
      </c>
      <c r="V622" s="3">
        <f>$D622*TCA!U622/100</f>
        <v>165</v>
      </c>
      <c r="W622" s="3">
        <f>$D622*TCA!V622/100</f>
        <v>21</v>
      </c>
      <c r="X622" s="3">
        <f>$D622*TCA!W622/100</f>
        <v>1.54</v>
      </c>
    </row>
    <row r="623" spans="1:24" x14ac:dyDescent="0.25">
      <c r="A623" s="3" t="s">
        <v>2031</v>
      </c>
      <c r="B623" s="3" t="s">
        <v>1226</v>
      </c>
      <c r="C623" s="3" t="s">
        <v>1227</v>
      </c>
      <c r="D623" s="3">
        <v>100</v>
      </c>
      <c r="E623" s="3">
        <f>$D623*TCA!E623/100</f>
        <v>346</v>
      </c>
      <c r="F623" s="3">
        <f>$D623*TCA!F623/100</f>
        <v>23.5</v>
      </c>
      <c r="G623" s="3">
        <f>$D623*TCA!G623/100</f>
        <v>28</v>
      </c>
      <c r="H623" s="3">
        <f>$D623*TCA!H623/100</f>
        <v>0</v>
      </c>
      <c r="I623" s="3">
        <f>$D623*TCA!I623/100</f>
        <v>0</v>
      </c>
      <c r="J623" s="3">
        <f>$D623*TCA!J623/100</f>
        <v>19</v>
      </c>
      <c r="K623" s="3">
        <f>$D623*TCA!K623/100</f>
        <v>0</v>
      </c>
      <c r="L623" s="3">
        <f>$D623*TCA!L623/100</f>
        <v>0</v>
      </c>
      <c r="M623" s="3">
        <f>$D623*TCA!M623/100</f>
        <v>0</v>
      </c>
      <c r="N623" s="3">
        <f>$D623*TCA!N623/100</f>
        <v>0</v>
      </c>
      <c r="O623" s="3">
        <f>$D623*TCA!O623/100</f>
        <v>0</v>
      </c>
      <c r="P623" s="3">
        <f t="shared" si="9"/>
        <v>0</v>
      </c>
      <c r="Q623" s="3">
        <f>$D623*TCA!P623/100</f>
        <v>0</v>
      </c>
      <c r="R623" s="3">
        <f>$D623*TCA!Q623/100</f>
        <v>0</v>
      </c>
      <c r="S623" s="3">
        <f>$D623*TCA!R623/100</f>
        <v>1.9</v>
      </c>
      <c r="T623" s="3">
        <f>$D623*TCA!S623/100</f>
        <v>0</v>
      </c>
      <c r="U623" s="3">
        <f>$D623*TCA!T623/100</f>
        <v>0</v>
      </c>
      <c r="V623" s="3">
        <f>$D623*TCA!U623/100</f>
        <v>0</v>
      </c>
      <c r="W623" s="3">
        <f>$D623*TCA!V623/100</f>
        <v>0</v>
      </c>
      <c r="X623" s="3">
        <f>$D623*TCA!W623/100</f>
        <v>0</v>
      </c>
    </row>
    <row r="624" spans="1:24" x14ac:dyDescent="0.25">
      <c r="A624" s="3" t="s">
        <v>2031</v>
      </c>
      <c r="B624" s="3" t="s">
        <v>1228</v>
      </c>
      <c r="C624" s="3" t="s">
        <v>1229</v>
      </c>
      <c r="D624" s="3">
        <v>100</v>
      </c>
      <c r="E624" s="3">
        <f>$D624*TCA!E624/100</f>
        <v>362.81</v>
      </c>
      <c r="F624" s="3">
        <f>$D624*TCA!F624/100</f>
        <v>24.99</v>
      </c>
      <c r="G624" s="3">
        <f>$D624*TCA!G624/100</f>
        <v>28.57</v>
      </c>
      <c r="H624" s="3">
        <f>$D624*TCA!H624/100</f>
        <v>1.43</v>
      </c>
      <c r="I624" s="3">
        <f>$D624*TCA!I624/100</f>
        <v>0</v>
      </c>
      <c r="J624" s="3">
        <f>$D624*TCA!J624/100</f>
        <v>18.670000000000002</v>
      </c>
      <c r="K624" s="3">
        <f>$D624*TCA!K624/100</f>
        <v>8.1300000000000008</v>
      </c>
      <c r="L624" s="3">
        <f>$D624*TCA!L624/100</f>
        <v>0.67</v>
      </c>
      <c r="M624" s="3">
        <f>$D624*TCA!M624/100</f>
        <v>89</v>
      </c>
      <c r="N624" s="3">
        <f>$D624*TCA!N624/100</f>
        <v>731</v>
      </c>
      <c r="O624" s="3">
        <f>$D624*TCA!O624/100</f>
        <v>536</v>
      </c>
      <c r="P624" s="3">
        <f t="shared" si="9"/>
        <v>21.448579431772711</v>
      </c>
      <c r="Q624" s="3">
        <f>$D624*TCA!P624/100</f>
        <v>0.44</v>
      </c>
      <c r="R624" s="3">
        <f>$D624*TCA!Q624/100</f>
        <v>188</v>
      </c>
      <c r="S624" s="3">
        <f>$D624*TCA!R624/100</f>
        <v>973</v>
      </c>
      <c r="T624" s="3">
        <f>$D624*TCA!S624/100</f>
        <v>3.75</v>
      </c>
      <c r="U624" s="3">
        <f>$D624*TCA!T624/100</f>
        <v>0</v>
      </c>
      <c r="V624" s="3">
        <f>$D624*TCA!U624/100</f>
        <v>243</v>
      </c>
      <c r="W624" s="3">
        <f>$D624*TCA!V624/100</f>
        <v>16</v>
      </c>
      <c r="X624" s="3">
        <f>$D624*TCA!W624/100</f>
        <v>1.54</v>
      </c>
    </row>
    <row r="625" spans="1:24" x14ac:dyDescent="0.25">
      <c r="A625" s="3" t="s">
        <v>2031</v>
      </c>
      <c r="B625" s="3" t="s">
        <v>1230</v>
      </c>
      <c r="C625" s="3" t="s">
        <v>1231</v>
      </c>
      <c r="D625" s="3">
        <v>100</v>
      </c>
      <c r="E625" s="3">
        <f>$D625*TCA!E625/100</f>
        <v>376.67</v>
      </c>
      <c r="F625" s="3">
        <f>$D625*TCA!F625/100</f>
        <v>26.67</v>
      </c>
      <c r="G625" s="3">
        <f>$D625*TCA!G625/100</f>
        <v>30</v>
      </c>
      <c r="H625" s="3">
        <f>$D625*TCA!H625/100</f>
        <v>0</v>
      </c>
      <c r="I625" s="3">
        <f>$D625*TCA!I625/100</f>
        <v>0</v>
      </c>
      <c r="J625" s="3">
        <f>$D625*TCA!J625/100</f>
        <v>16.670000000000002</v>
      </c>
      <c r="K625" s="3">
        <f>$D625*TCA!K625/100</f>
        <v>0</v>
      </c>
      <c r="L625" s="3">
        <f>$D625*TCA!L625/100</f>
        <v>0</v>
      </c>
      <c r="M625" s="3">
        <f>$D625*TCA!M625/100</f>
        <v>83.33</v>
      </c>
      <c r="N625" s="3">
        <f>$D625*TCA!N625/100</f>
        <v>0</v>
      </c>
      <c r="O625" s="3">
        <f>$D625*TCA!O625/100</f>
        <v>0</v>
      </c>
      <c r="P625" s="3">
        <f t="shared" si="9"/>
        <v>0</v>
      </c>
      <c r="Q625" s="3">
        <f>$D625*TCA!P625/100</f>
        <v>0</v>
      </c>
      <c r="R625" s="3">
        <f>$D625*TCA!Q625/100</f>
        <v>0</v>
      </c>
      <c r="S625" s="3">
        <f>$D625*TCA!R625/100</f>
        <v>416.67</v>
      </c>
      <c r="T625" s="3">
        <f>$D625*TCA!S625/100</f>
        <v>0</v>
      </c>
      <c r="U625" s="3">
        <f>$D625*TCA!T625/100</f>
        <v>0</v>
      </c>
      <c r="V625" s="3">
        <f>$D625*TCA!U625/100</f>
        <v>0</v>
      </c>
      <c r="W625" s="3">
        <f>$D625*TCA!V625/100</f>
        <v>0</v>
      </c>
      <c r="X625" s="3">
        <f>$D625*TCA!W625/100</f>
        <v>0</v>
      </c>
    </row>
    <row r="626" spans="1:24" x14ac:dyDescent="0.25">
      <c r="A626" s="3" t="s">
        <v>2031</v>
      </c>
      <c r="B626" s="3" t="s">
        <v>1232</v>
      </c>
      <c r="C626" s="3" t="s">
        <v>1233</v>
      </c>
      <c r="D626" s="3">
        <v>100</v>
      </c>
      <c r="E626" s="3">
        <f>$D626*TCA!E626/100</f>
        <v>360</v>
      </c>
      <c r="F626" s="3">
        <f>$D626*TCA!F626/100</f>
        <v>26</v>
      </c>
      <c r="G626" s="3">
        <f>$D626*TCA!G626/100</f>
        <v>28</v>
      </c>
      <c r="H626" s="3">
        <f>$D626*TCA!H626/100</f>
        <v>1</v>
      </c>
      <c r="I626" s="3">
        <f>$D626*TCA!I626/100</f>
        <v>0</v>
      </c>
      <c r="J626" s="3">
        <f>$D626*TCA!J626/100</f>
        <v>18.2</v>
      </c>
      <c r="K626" s="3">
        <f>$D626*TCA!K626/100</f>
        <v>8</v>
      </c>
      <c r="L626" s="3">
        <f>$D626*TCA!L626/100</f>
        <v>1.8</v>
      </c>
      <c r="M626" s="3">
        <f>$D626*TCA!M626/100</f>
        <v>114</v>
      </c>
      <c r="N626" s="3">
        <f>$D626*TCA!N626/100</f>
        <v>0</v>
      </c>
      <c r="O626" s="3">
        <f>$D626*TCA!O626/100</f>
        <v>0</v>
      </c>
      <c r="P626" s="3">
        <f t="shared" si="9"/>
        <v>0</v>
      </c>
      <c r="Q626" s="3">
        <f>$D626*TCA!P626/100</f>
        <v>0</v>
      </c>
      <c r="R626" s="3">
        <f>$D626*TCA!Q626/100</f>
        <v>0</v>
      </c>
      <c r="S626" s="3">
        <f>$D626*TCA!R626/100</f>
        <v>800</v>
      </c>
      <c r="T626" s="3">
        <f>$D626*TCA!S626/100</f>
        <v>0</v>
      </c>
      <c r="U626" s="3">
        <f>$D626*TCA!T626/100</f>
        <v>0</v>
      </c>
      <c r="V626" s="3">
        <f>$D626*TCA!U626/100</f>
        <v>0</v>
      </c>
      <c r="W626" s="3">
        <f>$D626*TCA!V626/100</f>
        <v>0</v>
      </c>
      <c r="X626" s="3">
        <f>$D626*TCA!W626/100</f>
        <v>0</v>
      </c>
    </row>
    <row r="627" spans="1:24" x14ac:dyDescent="0.25">
      <c r="A627" s="3" t="s">
        <v>2031</v>
      </c>
      <c r="B627" s="3" t="s">
        <v>1234</v>
      </c>
      <c r="C627" s="3" t="s">
        <v>1235</v>
      </c>
      <c r="D627" s="3">
        <v>100</v>
      </c>
      <c r="E627" s="3">
        <f>$D627*TCA!E627/100</f>
        <v>362</v>
      </c>
      <c r="F627" s="3">
        <f>$D627*TCA!F627/100</f>
        <v>23</v>
      </c>
      <c r="G627" s="3">
        <f>$D627*TCA!G627/100</f>
        <v>30</v>
      </c>
      <c r="H627" s="3">
        <f>$D627*TCA!H627/100</f>
        <v>0</v>
      </c>
      <c r="I627" s="3">
        <f>$D627*TCA!I627/100</f>
        <v>0</v>
      </c>
      <c r="J627" s="3">
        <f>$D627*TCA!J627/100</f>
        <v>21</v>
      </c>
      <c r="K627" s="3">
        <f>$D627*TCA!K627/100</f>
        <v>0</v>
      </c>
      <c r="L627" s="3">
        <f>$D627*TCA!L627/100</f>
        <v>0</v>
      </c>
      <c r="M627" s="3">
        <f>$D627*TCA!M627/100</f>
        <v>0</v>
      </c>
      <c r="N627" s="3">
        <f>$D627*TCA!N627/100</f>
        <v>0</v>
      </c>
      <c r="O627" s="3">
        <f>$D627*TCA!O627/100</f>
        <v>0</v>
      </c>
      <c r="P627" s="3">
        <f t="shared" si="9"/>
        <v>0</v>
      </c>
      <c r="Q627" s="3">
        <f>$D627*TCA!P627/100</f>
        <v>0</v>
      </c>
      <c r="R627" s="3">
        <f>$D627*TCA!Q627/100</f>
        <v>0</v>
      </c>
      <c r="S627" s="3">
        <f>$D627*TCA!R627/100</f>
        <v>1.8</v>
      </c>
      <c r="T627" s="3">
        <f>$D627*TCA!S627/100</f>
        <v>0</v>
      </c>
      <c r="U627" s="3">
        <f>$D627*TCA!T627/100</f>
        <v>0</v>
      </c>
      <c r="V627" s="3">
        <f>$D627*TCA!U627/100</f>
        <v>0</v>
      </c>
      <c r="W627" s="3">
        <f>$D627*TCA!V627/100</f>
        <v>0</v>
      </c>
      <c r="X627" s="3">
        <f>$D627*TCA!W627/100</f>
        <v>0</v>
      </c>
    </row>
    <row r="628" spans="1:24" x14ac:dyDescent="0.25">
      <c r="A628" s="3" t="s">
        <v>2031</v>
      </c>
      <c r="B628" s="3" t="s">
        <v>1236</v>
      </c>
      <c r="C628" s="3" t="s">
        <v>1237</v>
      </c>
      <c r="D628" s="3">
        <v>100</v>
      </c>
      <c r="E628" s="3">
        <f>$D628*TCA!E628/100</f>
        <v>435.67</v>
      </c>
      <c r="F628" s="3">
        <f>$D628*TCA!F628/100</f>
        <v>25</v>
      </c>
      <c r="G628" s="3">
        <f>$D628*TCA!G628/100</f>
        <v>35.71</v>
      </c>
      <c r="H628" s="3">
        <f>$D628*TCA!H628/100</f>
        <v>3.57</v>
      </c>
      <c r="I628" s="3">
        <f>$D628*TCA!I628/100</f>
        <v>0</v>
      </c>
      <c r="J628" s="3">
        <f>$D628*TCA!J628/100</f>
        <v>28.57</v>
      </c>
      <c r="K628" s="3">
        <f>$D628*TCA!K628/100</f>
        <v>0</v>
      </c>
      <c r="L628" s="3">
        <f>$D628*TCA!L628/100</f>
        <v>0</v>
      </c>
      <c r="M628" s="3">
        <f>$D628*TCA!M628/100</f>
        <v>71</v>
      </c>
      <c r="N628" s="3">
        <f>$D628*TCA!N628/100</f>
        <v>857</v>
      </c>
      <c r="O628" s="3">
        <f>$D628*TCA!O628/100</f>
        <v>0</v>
      </c>
      <c r="P628" s="3">
        <f t="shared" si="9"/>
        <v>0</v>
      </c>
      <c r="Q628" s="3">
        <f>$D628*TCA!P628/100</f>
        <v>0</v>
      </c>
      <c r="R628" s="3">
        <f>$D628*TCA!Q628/100</f>
        <v>0</v>
      </c>
      <c r="S628" s="3">
        <f>$D628*TCA!R628/100</f>
        <v>643</v>
      </c>
      <c r="T628" s="3">
        <f>$D628*TCA!S628/100</f>
        <v>0</v>
      </c>
      <c r="U628" s="3">
        <f>$D628*TCA!T628/100</f>
        <v>0</v>
      </c>
      <c r="V628" s="3">
        <f>$D628*TCA!U628/100</f>
        <v>536</v>
      </c>
      <c r="W628" s="3">
        <f>$D628*TCA!V628/100</f>
        <v>0</v>
      </c>
      <c r="X628" s="3">
        <f>$D628*TCA!W628/100</f>
        <v>0</v>
      </c>
    </row>
    <row r="629" spans="1:24" x14ac:dyDescent="0.25">
      <c r="A629" s="3" t="s">
        <v>2031</v>
      </c>
      <c r="B629" s="3" t="s">
        <v>1238</v>
      </c>
      <c r="C629" s="3" t="s">
        <v>1239</v>
      </c>
      <c r="D629" s="3">
        <v>100</v>
      </c>
      <c r="E629" s="3">
        <f>$D629*TCA!E629/100</f>
        <v>251.4</v>
      </c>
      <c r="F629" s="3">
        <f>$D629*TCA!F629/100</f>
        <v>24.26</v>
      </c>
      <c r="G629" s="3">
        <f>$D629*TCA!G629/100</f>
        <v>15.92</v>
      </c>
      <c r="H629" s="3">
        <f>$D629*TCA!H629/100</f>
        <v>2.77</v>
      </c>
      <c r="I629" s="3">
        <f>$D629*TCA!I629/100</f>
        <v>0</v>
      </c>
      <c r="J629" s="3">
        <f>$D629*TCA!J629/100</f>
        <v>10.11</v>
      </c>
      <c r="K629" s="3">
        <f>$D629*TCA!K629/100</f>
        <v>4.51</v>
      </c>
      <c r="L629" s="3">
        <f>$D629*TCA!L629/100</f>
        <v>0.47</v>
      </c>
      <c r="M629" s="3">
        <f>$D629*TCA!M629/100</f>
        <v>64</v>
      </c>
      <c r="N629" s="3">
        <f>$D629*TCA!N629/100</f>
        <v>782</v>
      </c>
      <c r="O629" s="3">
        <f>$D629*TCA!O629/100</f>
        <v>463</v>
      </c>
      <c r="P629" s="3">
        <f t="shared" si="9"/>
        <v>19.084913437757624</v>
      </c>
      <c r="Q629" s="3">
        <f>$D629*TCA!P629/100</f>
        <v>0.22</v>
      </c>
      <c r="R629" s="3">
        <f>$D629*TCA!Q629/100</f>
        <v>84</v>
      </c>
      <c r="S629" s="3">
        <f>$D629*TCA!R629/100</f>
        <v>619</v>
      </c>
      <c r="T629" s="3">
        <f>$D629*TCA!S629/100</f>
        <v>2.76</v>
      </c>
      <c r="U629" s="3">
        <f>$D629*TCA!T629/100</f>
        <v>0</v>
      </c>
      <c r="V629" s="3">
        <f>$D629*TCA!U629/100</f>
        <v>127</v>
      </c>
      <c r="W629" s="3">
        <f>$D629*TCA!V629/100</f>
        <v>9</v>
      </c>
      <c r="X629" s="3">
        <f>$D629*TCA!W629/100</f>
        <v>0.82</v>
      </c>
    </row>
    <row r="630" spans="1:24" x14ac:dyDescent="0.25">
      <c r="A630" s="3" t="s">
        <v>2031</v>
      </c>
      <c r="B630" s="3" t="s">
        <v>1240</v>
      </c>
      <c r="C630" s="3" t="s">
        <v>1241</v>
      </c>
      <c r="D630" s="3">
        <v>100</v>
      </c>
      <c r="E630" s="3">
        <f>$D630*TCA!E630/100</f>
        <v>251.4</v>
      </c>
      <c r="F630" s="3">
        <f>$D630*TCA!F630/100</f>
        <v>24.26</v>
      </c>
      <c r="G630" s="3">
        <f>$D630*TCA!G630/100</f>
        <v>15.92</v>
      </c>
      <c r="H630" s="3">
        <f>$D630*TCA!H630/100</f>
        <v>2.77</v>
      </c>
      <c r="I630" s="3">
        <f>$D630*TCA!I630/100</f>
        <v>0</v>
      </c>
      <c r="J630" s="3">
        <f>$D630*TCA!J630/100</f>
        <v>10.11</v>
      </c>
      <c r="K630" s="3">
        <f>$D630*TCA!K630/100</f>
        <v>4.51</v>
      </c>
      <c r="L630" s="3">
        <f>$D630*TCA!L630/100</f>
        <v>0.47</v>
      </c>
      <c r="M630" s="3">
        <f>$D630*TCA!M630/100</f>
        <v>64</v>
      </c>
      <c r="N630" s="3">
        <f>$D630*TCA!N630/100</f>
        <v>782</v>
      </c>
      <c r="O630" s="3">
        <f>$D630*TCA!O630/100</f>
        <v>463</v>
      </c>
      <c r="P630" s="3">
        <f t="shared" si="9"/>
        <v>19.084913437757624</v>
      </c>
      <c r="Q630" s="3">
        <f>$D630*TCA!P630/100</f>
        <v>0.22</v>
      </c>
      <c r="R630" s="3">
        <f>$D630*TCA!Q630/100</f>
        <v>84</v>
      </c>
      <c r="S630" s="3">
        <f>$D630*TCA!R630/100</f>
        <v>619</v>
      </c>
      <c r="T630" s="3">
        <f>$D630*TCA!S630/100</f>
        <v>2.76</v>
      </c>
      <c r="U630" s="3">
        <f>$D630*TCA!T630/100</f>
        <v>0</v>
      </c>
      <c r="V630" s="3">
        <f>$D630*TCA!U630/100</f>
        <v>127</v>
      </c>
      <c r="W630" s="3">
        <f>$D630*TCA!V630/100</f>
        <v>9</v>
      </c>
      <c r="X630" s="3">
        <f>$D630*TCA!W630/100</f>
        <v>0.82</v>
      </c>
    </row>
    <row r="631" spans="1:24" x14ac:dyDescent="0.25">
      <c r="A631" s="3" t="s">
        <v>2031</v>
      </c>
      <c r="B631" s="3" t="s">
        <v>1242</v>
      </c>
      <c r="C631" s="3" t="s">
        <v>1243</v>
      </c>
      <c r="D631" s="3">
        <v>100</v>
      </c>
      <c r="E631" s="3">
        <f>$D631*TCA!E631/100</f>
        <v>298.58999999999997</v>
      </c>
      <c r="F631" s="3">
        <f>$D631*TCA!F631/100</f>
        <v>22.17</v>
      </c>
      <c r="G631" s="3">
        <f>$D631*TCA!G631/100</f>
        <v>22.35</v>
      </c>
      <c r="H631" s="3">
        <f>$D631*TCA!H631/100</f>
        <v>2.19</v>
      </c>
      <c r="I631" s="3">
        <f>$D631*TCA!I631/100</f>
        <v>0</v>
      </c>
      <c r="J631" s="3">
        <f>$D631*TCA!J631/100</f>
        <v>13.15</v>
      </c>
      <c r="K631" s="3">
        <f>$D631*TCA!K631/100</f>
        <v>6.57</v>
      </c>
      <c r="L631" s="3">
        <f>$D631*TCA!L631/100</f>
        <v>0.76</v>
      </c>
      <c r="M631" s="3">
        <f>$D631*TCA!M631/100</f>
        <v>79</v>
      </c>
      <c r="N631" s="3">
        <f>$D631*TCA!N631/100</f>
        <v>505</v>
      </c>
      <c r="O631" s="3">
        <f>$D631*TCA!O631/100</f>
        <v>354</v>
      </c>
      <c r="P631" s="3">
        <f t="shared" si="9"/>
        <v>15.967523680649526</v>
      </c>
      <c r="Q631" s="3">
        <f>$D631*TCA!P631/100</f>
        <v>0.44</v>
      </c>
      <c r="R631" s="3">
        <f>$D631*TCA!Q631/100</f>
        <v>76</v>
      </c>
      <c r="S631" s="3">
        <f>$D631*TCA!R631/100</f>
        <v>627</v>
      </c>
      <c r="T631" s="3">
        <f>$D631*TCA!S631/100</f>
        <v>2.92</v>
      </c>
      <c r="U631" s="3">
        <f>$D631*TCA!T631/100</f>
        <v>0</v>
      </c>
      <c r="V631" s="3">
        <f>$D631*TCA!U631/100</f>
        <v>179</v>
      </c>
      <c r="W631" s="3">
        <f>$D631*TCA!V631/100</f>
        <v>7</v>
      </c>
      <c r="X631" s="3">
        <f>$D631*TCA!W631/100</f>
        <v>2.2799999999999998</v>
      </c>
    </row>
    <row r="632" spans="1:24" x14ac:dyDescent="0.25">
      <c r="A632" s="3" t="s">
        <v>2031</v>
      </c>
      <c r="B632" s="3" t="s">
        <v>1244</v>
      </c>
      <c r="C632" s="3" t="s">
        <v>1245</v>
      </c>
      <c r="D632" s="3">
        <v>100</v>
      </c>
      <c r="E632" s="3">
        <f>$D632*TCA!E632/100</f>
        <v>388.35</v>
      </c>
      <c r="F632" s="3">
        <f>$D632*TCA!F632/100</f>
        <v>35.75</v>
      </c>
      <c r="G632" s="3">
        <f>$D632*TCA!G632/100</f>
        <v>25.83</v>
      </c>
      <c r="H632" s="3">
        <f>$D632*TCA!H632/100</f>
        <v>3.22</v>
      </c>
      <c r="I632" s="3">
        <f>$D632*TCA!I632/100</f>
        <v>0</v>
      </c>
      <c r="J632" s="3">
        <f>$D632*TCA!J632/100</f>
        <v>16.41</v>
      </c>
      <c r="K632" s="3">
        <f>$D632*TCA!K632/100</f>
        <v>7.51</v>
      </c>
      <c r="L632" s="3">
        <f>$D632*TCA!L632/100</f>
        <v>0.56999999999999995</v>
      </c>
      <c r="M632" s="3">
        <f>$D632*TCA!M632/100</f>
        <v>68</v>
      </c>
      <c r="N632" s="3">
        <f>$D632*TCA!N632/100</f>
        <v>1184</v>
      </c>
      <c r="O632" s="3">
        <f>$D632*TCA!O632/100</f>
        <v>694</v>
      </c>
      <c r="P632" s="3">
        <f t="shared" si="9"/>
        <v>19.412587412587413</v>
      </c>
      <c r="Q632" s="3">
        <f>$D632*TCA!P632/100</f>
        <v>0.82</v>
      </c>
      <c r="R632" s="3">
        <f>$D632*TCA!Q632/100</f>
        <v>92</v>
      </c>
      <c r="S632" s="3">
        <f>$D632*TCA!R632/100</f>
        <v>1602</v>
      </c>
      <c r="T632" s="3">
        <f>$D632*TCA!S632/100</f>
        <v>2.75</v>
      </c>
      <c r="U632" s="3">
        <f>$D632*TCA!T632/100</f>
        <v>0</v>
      </c>
      <c r="V632" s="3">
        <f>$D632*TCA!U632/100</f>
        <v>108</v>
      </c>
      <c r="W632" s="3">
        <f>$D632*TCA!V632/100</f>
        <v>7</v>
      </c>
      <c r="X632" s="3">
        <f>$D632*TCA!W632/100</f>
        <v>1.2</v>
      </c>
    </row>
    <row r="633" spans="1:24" x14ac:dyDescent="0.25">
      <c r="A633" s="3" t="s">
        <v>2031</v>
      </c>
      <c r="B633" s="3" t="s">
        <v>1246</v>
      </c>
      <c r="C633" s="3" t="s">
        <v>1247</v>
      </c>
      <c r="D633" s="3">
        <v>100</v>
      </c>
      <c r="E633" s="3">
        <f>$D633*TCA!E633/100</f>
        <v>137.31</v>
      </c>
      <c r="F633" s="3">
        <f>$D633*TCA!F633/100</f>
        <v>11.39</v>
      </c>
      <c r="G633" s="3">
        <f>$D633*TCA!G633/100</f>
        <v>7.91</v>
      </c>
      <c r="H633" s="3">
        <f>$D633*TCA!H633/100</f>
        <v>5.14</v>
      </c>
      <c r="I633" s="3">
        <f>$D633*TCA!I633/100</f>
        <v>0</v>
      </c>
      <c r="J633" s="3">
        <f>$D633*TCA!J633/100</f>
        <v>4.93</v>
      </c>
      <c r="K633" s="3">
        <f>$D633*TCA!K633/100</f>
        <v>2.31</v>
      </c>
      <c r="L633" s="3">
        <f>$D633*TCA!L633/100</f>
        <v>0.26</v>
      </c>
      <c r="M633" s="3">
        <f>$D633*TCA!M633/100</f>
        <v>31</v>
      </c>
      <c r="N633" s="3">
        <f>$D633*TCA!N633/100</f>
        <v>272</v>
      </c>
      <c r="O633" s="3">
        <f>$D633*TCA!O633/100</f>
        <v>183</v>
      </c>
      <c r="P633" s="3">
        <f t="shared" si="9"/>
        <v>16.066725197541704</v>
      </c>
      <c r="Q633" s="3">
        <f>$D633*TCA!P633/100</f>
        <v>0.44</v>
      </c>
      <c r="R633" s="3">
        <f>$D633*TCA!Q633/100</f>
        <v>125</v>
      </c>
      <c r="S633" s="3">
        <f>$D633*TCA!R633/100</f>
        <v>125</v>
      </c>
      <c r="T633" s="3">
        <f>$D633*TCA!S633/100</f>
        <v>1.34</v>
      </c>
      <c r="U633" s="3">
        <f>$D633*TCA!T633/100</f>
        <v>0</v>
      </c>
      <c r="V633" s="3">
        <f>$D633*TCA!U633/100</f>
        <v>107</v>
      </c>
      <c r="W633" s="3">
        <f>$D633*TCA!V633/100</f>
        <v>13</v>
      </c>
      <c r="X633" s="3">
        <f>$D633*TCA!W633/100</f>
        <v>0.28999999999999998</v>
      </c>
    </row>
    <row r="634" spans="1:24" x14ac:dyDescent="0.25">
      <c r="A634" s="3" t="s">
        <v>2031</v>
      </c>
      <c r="B634" s="3" t="s">
        <v>1248</v>
      </c>
      <c r="C634" s="3" t="s">
        <v>1249</v>
      </c>
      <c r="D634" s="3">
        <v>100</v>
      </c>
      <c r="E634" s="3">
        <f>$D634*TCA!E634/100</f>
        <v>174.02</v>
      </c>
      <c r="F634" s="3">
        <f>$D634*TCA!F634/100</f>
        <v>11.26</v>
      </c>
      <c r="G634" s="3">
        <f>$D634*TCA!G634/100</f>
        <v>12.98</v>
      </c>
      <c r="H634" s="3">
        <f>$D634*TCA!H634/100</f>
        <v>3.04</v>
      </c>
      <c r="I634" s="3">
        <f>$D634*TCA!I634/100</f>
        <v>0</v>
      </c>
      <c r="J634" s="3">
        <f>$D634*TCA!J634/100</f>
        <v>8.3000000000000007</v>
      </c>
      <c r="K634" s="3">
        <f>$D634*TCA!K634/100</f>
        <v>3.63</v>
      </c>
      <c r="L634" s="3">
        <f>$D634*TCA!L634/100</f>
        <v>0.38</v>
      </c>
      <c r="M634" s="3">
        <f>$D634*TCA!M634/100</f>
        <v>51</v>
      </c>
      <c r="N634" s="3">
        <f>$D634*TCA!N634/100</f>
        <v>207</v>
      </c>
      <c r="O634" s="3">
        <f>$D634*TCA!O634/100</f>
        <v>158</v>
      </c>
      <c r="P634" s="3">
        <f t="shared" si="9"/>
        <v>14.031971580817052</v>
      </c>
      <c r="Q634" s="3">
        <f>$D634*TCA!P634/100</f>
        <v>0.38</v>
      </c>
      <c r="R634" s="3">
        <f>$D634*TCA!Q634/100</f>
        <v>105</v>
      </c>
      <c r="S634" s="3">
        <f>$D634*TCA!R634/100</f>
        <v>84</v>
      </c>
      <c r="T634" s="3">
        <f>$D634*TCA!S634/100</f>
        <v>1.1599999999999999</v>
      </c>
      <c r="U634" s="3">
        <f>$D634*TCA!T634/100</f>
        <v>0</v>
      </c>
      <c r="V634" s="3">
        <f>$D634*TCA!U634/100</f>
        <v>120</v>
      </c>
      <c r="W634" s="3">
        <f>$D634*TCA!V634/100</f>
        <v>12</v>
      </c>
      <c r="X634" s="3">
        <f>$D634*TCA!W634/100</f>
        <v>0.34</v>
      </c>
    </row>
    <row r="635" spans="1:24" x14ac:dyDescent="0.25">
      <c r="A635" s="3" t="s">
        <v>2031</v>
      </c>
      <c r="B635" s="3" t="s">
        <v>1250</v>
      </c>
      <c r="C635" s="3" t="s">
        <v>1251</v>
      </c>
      <c r="D635" s="3">
        <v>100</v>
      </c>
      <c r="E635" s="3">
        <f>$D635*TCA!E635/100</f>
        <v>369.92</v>
      </c>
      <c r="F635" s="3">
        <f>$D635*TCA!F635/100</f>
        <v>21.54</v>
      </c>
      <c r="G635" s="3">
        <f>$D635*TCA!G635/100</f>
        <v>30.64</v>
      </c>
      <c r="H635" s="3">
        <f>$D635*TCA!H635/100</f>
        <v>2</v>
      </c>
      <c r="I635" s="3">
        <f>$D635*TCA!I635/100</f>
        <v>0</v>
      </c>
      <c r="J635" s="3">
        <f>$D635*TCA!J635/100</f>
        <v>19.260000000000002</v>
      </c>
      <c r="K635" s="3">
        <f>$D635*TCA!K635/100</f>
        <v>8.4700000000000006</v>
      </c>
      <c r="L635" s="3">
        <f>$D635*TCA!L635/100</f>
        <v>1.32</v>
      </c>
      <c r="M635" s="3">
        <f>$D635*TCA!M635/100</f>
        <v>90</v>
      </c>
      <c r="N635" s="3">
        <f>$D635*TCA!N635/100</f>
        <v>662</v>
      </c>
      <c r="O635" s="3">
        <f>$D635*TCA!O635/100</f>
        <v>392</v>
      </c>
      <c r="P635" s="3">
        <f t="shared" si="9"/>
        <v>18.198700092850512</v>
      </c>
      <c r="Q635" s="3">
        <f>$D635*TCA!P635/100</f>
        <v>0.56000000000000005</v>
      </c>
      <c r="R635" s="3">
        <f>$D635*TCA!Q635/100</f>
        <v>91</v>
      </c>
      <c r="S635" s="3">
        <f>$D635*TCA!R635/100</f>
        <v>1809</v>
      </c>
      <c r="T635" s="3">
        <f>$D635*TCA!S635/100</f>
        <v>2.08</v>
      </c>
      <c r="U635" s="3">
        <f>$D635*TCA!T635/100</f>
        <v>0</v>
      </c>
      <c r="V635" s="3">
        <f>$D635*TCA!U635/100</f>
        <v>294</v>
      </c>
      <c r="W635" s="3">
        <f>$D635*TCA!V635/100</f>
        <v>49</v>
      </c>
      <c r="X635" s="3">
        <f>$D635*TCA!W635/100</f>
        <v>0.64</v>
      </c>
    </row>
    <row r="636" spans="1:24" x14ac:dyDescent="0.25">
      <c r="A636" s="3" t="s">
        <v>2031</v>
      </c>
      <c r="B636" s="3" t="s">
        <v>1252</v>
      </c>
      <c r="C636" s="3" t="s">
        <v>1253</v>
      </c>
      <c r="D636" s="3">
        <v>100</v>
      </c>
      <c r="E636" s="3">
        <f>$D636*TCA!E636/100</f>
        <v>332.41</v>
      </c>
      <c r="F636" s="3">
        <f>$D636*TCA!F636/100</f>
        <v>24.73</v>
      </c>
      <c r="G636" s="3">
        <f>$D636*TCA!G636/100</f>
        <v>25.01</v>
      </c>
      <c r="H636" s="3">
        <f>$D636*TCA!H636/100</f>
        <v>2.1</v>
      </c>
      <c r="I636" s="3">
        <f>$D636*TCA!I636/100</f>
        <v>0</v>
      </c>
      <c r="J636" s="3">
        <f>$D636*TCA!J636/100</f>
        <v>16.05</v>
      </c>
      <c r="K636" s="3">
        <f>$D636*TCA!K636/100</f>
        <v>7.05</v>
      </c>
      <c r="L636" s="3">
        <f>$D636*TCA!L636/100</f>
        <v>0.62</v>
      </c>
      <c r="M636" s="3">
        <f>$D636*TCA!M636/100</f>
        <v>85</v>
      </c>
      <c r="N636" s="3">
        <f>$D636*TCA!N636/100</f>
        <v>772</v>
      </c>
      <c r="O636" s="3">
        <f>$D636*TCA!O636/100</f>
        <v>762</v>
      </c>
      <c r="P636" s="3">
        <f t="shared" si="9"/>
        <v>30.812778002426203</v>
      </c>
      <c r="Q636" s="3">
        <f>$D636*TCA!P636/100</f>
        <v>0.61</v>
      </c>
      <c r="R636" s="3">
        <f>$D636*TCA!Q636/100</f>
        <v>216</v>
      </c>
      <c r="S636" s="3">
        <f>$D636*TCA!R636/100</f>
        <v>1370</v>
      </c>
      <c r="T636" s="3">
        <f>$D636*TCA!S636/100</f>
        <v>3.61</v>
      </c>
      <c r="U636" s="3">
        <f>$D636*TCA!T636/100</f>
        <v>0</v>
      </c>
      <c r="V636" s="3">
        <f>$D636*TCA!U636/100</f>
        <v>198</v>
      </c>
      <c r="W636" s="3">
        <f>$D636*TCA!V636/100</f>
        <v>6</v>
      </c>
      <c r="X636" s="3">
        <f>$D636*TCA!W636/100</f>
        <v>1.23</v>
      </c>
    </row>
    <row r="637" spans="1:24" x14ac:dyDescent="0.25">
      <c r="A637" s="3" t="s">
        <v>2031</v>
      </c>
      <c r="B637" s="3" t="s">
        <v>1254</v>
      </c>
      <c r="C637" s="3" t="s">
        <v>1255</v>
      </c>
      <c r="D637" s="3">
        <v>100</v>
      </c>
      <c r="E637" s="3">
        <f>$D637*TCA!E637/100</f>
        <v>235</v>
      </c>
      <c r="F637" s="3">
        <f>$D637*TCA!F637/100</f>
        <v>18.7</v>
      </c>
      <c r="G637" s="3">
        <f>$D637*TCA!G637/100</f>
        <v>15.4</v>
      </c>
      <c r="H637" s="3">
        <f>$D637*TCA!H637/100</f>
        <v>5.4</v>
      </c>
      <c r="I637" s="3">
        <f>$D637*TCA!I637/100</f>
        <v>0</v>
      </c>
      <c r="J637" s="3">
        <f>$D637*TCA!J637/100</f>
        <v>0</v>
      </c>
      <c r="K637" s="3">
        <f>$D637*TCA!K637/100</f>
        <v>0</v>
      </c>
      <c r="L637" s="3">
        <f>$D637*TCA!L637/100</f>
        <v>0</v>
      </c>
      <c r="M637" s="3">
        <f>$D637*TCA!M637/100</f>
        <v>0</v>
      </c>
      <c r="N637" s="3">
        <f>$D637*TCA!N637/100</f>
        <v>718</v>
      </c>
      <c r="O637" s="3">
        <f>$D637*TCA!O637/100</f>
        <v>385</v>
      </c>
      <c r="P637" s="3">
        <f t="shared" si="9"/>
        <v>20.588235294117649</v>
      </c>
      <c r="Q637" s="3">
        <f>$D637*TCA!P637/100</f>
        <v>1.5</v>
      </c>
      <c r="R637" s="3">
        <f>$D637*TCA!Q637/100</f>
        <v>0</v>
      </c>
      <c r="S637" s="3">
        <f>$D637*TCA!R637/100</f>
        <v>0</v>
      </c>
      <c r="T637" s="3">
        <f>$D637*TCA!S637/100</f>
        <v>0</v>
      </c>
      <c r="U637" s="3">
        <f>$D637*TCA!T637/100</f>
        <v>0</v>
      </c>
      <c r="V637" s="3">
        <f>$D637*TCA!U637/100</f>
        <v>153</v>
      </c>
      <c r="W637" s="3">
        <f>$D637*TCA!V637/100</f>
        <v>0</v>
      </c>
      <c r="X637" s="3">
        <f>$D637*TCA!W637/100</f>
        <v>0</v>
      </c>
    </row>
    <row r="638" spans="1:24" x14ac:dyDescent="0.25">
      <c r="A638" s="3" t="s">
        <v>2031</v>
      </c>
      <c r="B638" s="3" t="s">
        <v>1256</v>
      </c>
      <c r="C638" s="3" t="s">
        <v>1257</v>
      </c>
      <c r="D638" s="3">
        <v>100</v>
      </c>
      <c r="E638" s="3">
        <f>$D638*TCA!E638/100</f>
        <v>116.2</v>
      </c>
      <c r="F638" s="3">
        <f>$D638*TCA!F638/100</f>
        <v>12.3</v>
      </c>
      <c r="G638" s="3">
        <f>$D638*TCA!G638/100</f>
        <v>3</v>
      </c>
      <c r="H638" s="3">
        <f>$D638*TCA!H638/100</f>
        <v>10</v>
      </c>
      <c r="I638" s="3">
        <f>$D638*TCA!I638/100</f>
        <v>0</v>
      </c>
      <c r="J638" s="3">
        <f>$D638*TCA!J638/100</f>
        <v>4.3</v>
      </c>
      <c r="K638" s="3">
        <f>$D638*TCA!K638/100</f>
        <v>1.8</v>
      </c>
      <c r="L638" s="3">
        <f>$D638*TCA!L638/100</f>
        <v>0.2</v>
      </c>
      <c r="M638" s="3">
        <f>$D638*TCA!M638/100</f>
        <v>25</v>
      </c>
      <c r="N638" s="3">
        <f>$D638*TCA!N638/100</f>
        <v>92</v>
      </c>
      <c r="O638" s="3">
        <f>$D638*TCA!O638/100</f>
        <v>0</v>
      </c>
      <c r="P638" s="3">
        <f t="shared" si="9"/>
        <v>0</v>
      </c>
      <c r="Q638" s="3">
        <f>$D638*TCA!P638/100</f>
        <v>0.5</v>
      </c>
      <c r="R638" s="3">
        <f>$D638*TCA!Q638/100</f>
        <v>54</v>
      </c>
      <c r="S638" s="3">
        <f>$D638*TCA!R638/100</f>
        <v>450</v>
      </c>
      <c r="T638" s="3">
        <f>$D638*TCA!S638/100</f>
        <v>0.5</v>
      </c>
      <c r="U638" s="3">
        <f>$D638*TCA!T638/100</f>
        <v>0</v>
      </c>
      <c r="V638" s="3">
        <f>$D638*TCA!U638/100</f>
        <v>0</v>
      </c>
      <c r="W638" s="3">
        <f>$D638*TCA!V638/100</f>
        <v>0</v>
      </c>
      <c r="X638" s="3">
        <f>$D638*TCA!W638/100</f>
        <v>0.5</v>
      </c>
    </row>
    <row r="639" spans="1:24" x14ac:dyDescent="0.25">
      <c r="A639" s="3" t="s">
        <v>2031</v>
      </c>
      <c r="B639" s="3" t="s">
        <v>1258</v>
      </c>
      <c r="C639" s="3" t="s">
        <v>1259</v>
      </c>
      <c r="D639" s="3">
        <v>100</v>
      </c>
      <c r="E639" s="3">
        <f>$D639*TCA!E639/100</f>
        <v>140.44</v>
      </c>
      <c r="F639" s="3">
        <f>$D639*TCA!F639/100</f>
        <v>3.15</v>
      </c>
      <c r="G639" s="3">
        <f>$D639*TCA!G639/100</f>
        <v>3.68</v>
      </c>
      <c r="H639" s="3">
        <f>$D639*TCA!H639/100</f>
        <v>23.68</v>
      </c>
      <c r="I639" s="3">
        <f>$D639*TCA!I639/100</f>
        <v>0</v>
      </c>
      <c r="J639" s="3">
        <f>$D639*TCA!J639/100</f>
        <v>2.63</v>
      </c>
      <c r="K639" s="3">
        <f>$D639*TCA!K639/100</f>
        <v>1.05</v>
      </c>
      <c r="L639" s="3">
        <f>$D639*TCA!L639/100</f>
        <v>0</v>
      </c>
      <c r="M639" s="3">
        <f>$D639*TCA!M639/100</f>
        <v>11.05</v>
      </c>
      <c r="N639" s="3">
        <f>$D639*TCA!N639/100</f>
        <v>0</v>
      </c>
      <c r="O639" s="3">
        <f>$D639*TCA!O639/100</f>
        <v>0</v>
      </c>
      <c r="P639" s="3">
        <f t="shared" si="9"/>
        <v>0</v>
      </c>
      <c r="Q639" s="3">
        <f>$D639*TCA!P639/100</f>
        <v>0</v>
      </c>
      <c r="R639" s="3">
        <f>$D639*TCA!Q639/100</f>
        <v>0</v>
      </c>
      <c r="S639" s="3">
        <f>$D639*TCA!R639/100</f>
        <v>100</v>
      </c>
      <c r="T639" s="3">
        <f>$D639*TCA!S639/100</f>
        <v>0</v>
      </c>
      <c r="U639" s="3">
        <f>$D639*TCA!T639/100</f>
        <v>0</v>
      </c>
      <c r="V639" s="3">
        <f>$D639*TCA!U639/100</f>
        <v>0</v>
      </c>
      <c r="W639" s="3">
        <f>$D639*TCA!V639/100</f>
        <v>0</v>
      </c>
      <c r="X639" s="3">
        <f>$D639*TCA!W639/100</f>
        <v>0</v>
      </c>
    </row>
    <row r="640" spans="1:24" x14ac:dyDescent="0.25">
      <c r="A640" s="3" t="s">
        <v>2031</v>
      </c>
      <c r="B640" s="3" t="s">
        <v>1260</v>
      </c>
      <c r="C640" s="3" t="s">
        <v>1261</v>
      </c>
      <c r="D640" s="3">
        <v>100</v>
      </c>
      <c r="E640" s="3">
        <f>$D640*TCA!E640/100</f>
        <v>133.33000000000001</v>
      </c>
      <c r="F640" s="3">
        <f>$D640*TCA!F640/100</f>
        <v>4</v>
      </c>
      <c r="G640" s="3">
        <f>$D640*TCA!G640/100</f>
        <v>2.67</v>
      </c>
      <c r="H640" s="3">
        <f>$D640*TCA!H640/100</f>
        <v>23.33</v>
      </c>
      <c r="I640" s="3">
        <f>$D640*TCA!I640/100</f>
        <v>0</v>
      </c>
      <c r="J640" s="3">
        <f>$D640*TCA!J640/100</f>
        <v>2.67</v>
      </c>
      <c r="K640" s="3">
        <f>$D640*TCA!K640/100</f>
        <v>0.67</v>
      </c>
      <c r="L640" s="3">
        <f>$D640*TCA!L640/100</f>
        <v>0.67</v>
      </c>
      <c r="M640" s="3">
        <f>$D640*TCA!M640/100</f>
        <v>18.670000000000002</v>
      </c>
      <c r="N640" s="3">
        <f>$D640*TCA!N640/100</f>
        <v>0</v>
      </c>
      <c r="O640" s="3">
        <f>$D640*TCA!O640/100</f>
        <v>0</v>
      </c>
      <c r="P640" s="3">
        <f t="shared" si="9"/>
        <v>0</v>
      </c>
      <c r="Q640" s="3">
        <f>$D640*TCA!P640/100</f>
        <v>0</v>
      </c>
      <c r="R640" s="3">
        <f>$D640*TCA!Q640/100</f>
        <v>0</v>
      </c>
      <c r="S640" s="3">
        <f>$D640*TCA!R640/100</f>
        <v>66.67</v>
      </c>
      <c r="T640" s="3">
        <f>$D640*TCA!S640/100</f>
        <v>0</v>
      </c>
      <c r="U640" s="3">
        <f>$D640*TCA!T640/100</f>
        <v>0</v>
      </c>
      <c r="V640" s="3">
        <f>$D640*TCA!U640/100</f>
        <v>0</v>
      </c>
      <c r="W640" s="3">
        <f>$D640*TCA!V640/100</f>
        <v>0</v>
      </c>
      <c r="X640" s="3">
        <f>$D640*TCA!W640/100</f>
        <v>0</v>
      </c>
    </row>
    <row r="641" spans="1:24" x14ac:dyDescent="0.25">
      <c r="A641" s="3" t="s">
        <v>2031</v>
      </c>
      <c r="B641" s="3" t="s">
        <v>1262</v>
      </c>
      <c r="C641" s="3" t="s">
        <v>1263</v>
      </c>
      <c r="D641" s="3">
        <v>100</v>
      </c>
      <c r="E641" s="3">
        <f>$D641*TCA!E641/100</f>
        <v>103.4</v>
      </c>
      <c r="F641" s="3">
        <f>$D641*TCA!F641/100</f>
        <v>4.37</v>
      </c>
      <c r="G641" s="3">
        <f>$D641*TCA!G641/100</f>
        <v>1.08</v>
      </c>
      <c r="H641" s="3">
        <f>$D641*TCA!H641/100</f>
        <v>19.05</v>
      </c>
      <c r="I641" s="3">
        <f>$D641*TCA!I641/100</f>
        <v>0</v>
      </c>
      <c r="J641" s="3">
        <f>$D641*TCA!J641/100</f>
        <v>0.7</v>
      </c>
      <c r="K641" s="3">
        <f>$D641*TCA!K641/100</f>
        <v>0.3</v>
      </c>
      <c r="L641" s="3">
        <f>$D641*TCA!L641/100</f>
        <v>0.03</v>
      </c>
      <c r="M641" s="3">
        <f>$D641*TCA!M641/100</f>
        <v>4</v>
      </c>
      <c r="N641" s="3">
        <f>$D641*TCA!N641/100</f>
        <v>152</v>
      </c>
      <c r="O641" s="3">
        <f>$D641*TCA!O641/100</f>
        <v>119</v>
      </c>
      <c r="P641" s="3">
        <f t="shared" si="9"/>
        <v>27.231121281464532</v>
      </c>
      <c r="Q641" s="3">
        <f>$D641*TCA!P641/100</f>
        <v>7.0000000000000007E-2</v>
      </c>
      <c r="R641" s="3">
        <f>$D641*TCA!Q641/100</f>
        <v>195</v>
      </c>
      <c r="S641" s="3">
        <f>$D641*TCA!R641/100</f>
        <v>58</v>
      </c>
      <c r="T641" s="3">
        <f>$D641*TCA!S641/100</f>
        <v>0.74</v>
      </c>
      <c r="U641" s="3">
        <f>$D641*TCA!T641/100</f>
        <v>0.7</v>
      </c>
      <c r="V641" s="3">
        <f>$D641*TCA!U641/100</f>
        <v>10</v>
      </c>
      <c r="W641" s="3">
        <f>$D641*TCA!V641/100</f>
        <v>9</v>
      </c>
      <c r="X641" s="3">
        <f>$D641*TCA!W641/100</f>
        <v>0.47</v>
      </c>
    </row>
    <row r="642" spans="1:24" x14ac:dyDescent="0.25">
      <c r="A642" s="3" t="s">
        <v>2031</v>
      </c>
      <c r="B642" s="3" t="s">
        <v>1264</v>
      </c>
      <c r="C642" s="3" t="s">
        <v>1265</v>
      </c>
      <c r="D642" s="3">
        <v>100</v>
      </c>
      <c r="E642" s="3">
        <f>$D642*TCA!E642/100</f>
        <v>100.83</v>
      </c>
      <c r="F642" s="3">
        <f>$D642*TCA!F642/100</f>
        <v>3.98</v>
      </c>
      <c r="G642" s="3">
        <f>$D642*TCA!G642/100</f>
        <v>1.1499999999999999</v>
      </c>
      <c r="H642" s="3">
        <f>$D642*TCA!H642/100</f>
        <v>18.64</v>
      </c>
      <c r="I642" s="3">
        <f>$D642*TCA!I642/100</f>
        <v>0</v>
      </c>
      <c r="J642" s="3">
        <f>$D642*TCA!J642/100</f>
        <v>0.74</v>
      </c>
      <c r="K642" s="3">
        <f>$D642*TCA!K642/100</f>
        <v>0.32</v>
      </c>
      <c r="L642" s="3">
        <f>$D642*TCA!L642/100</f>
        <v>0.03</v>
      </c>
      <c r="M642" s="3">
        <f>$D642*TCA!M642/100</f>
        <v>5</v>
      </c>
      <c r="N642" s="3">
        <f>$D642*TCA!N642/100</f>
        <v>138</v>
      </c>
      <c r="O642" s="3">
        <f>$D642*TCA!O642/100</f>
        <v>109</v>
      </c>
      <c r="P642" s="3">
        <f t="shared" si="9"/>
        <v>27.386934673366834</v>
      </c>
      <c r="Q642" s="3">
        <f>$D642*TCA!P642/100</f>
        <v>0.06</v>
      </c>
      <c r="R642" s="3">
        <f>$D642*TCA!Q642/100</f>
        <v>177</v>
      </c>
      <c r="S642" s="3">
        <f>$D642*TCA!R642/100</f>
        <v>53</v>
      </c>
      <c r="T642" s="3">
        <f>$D642*TCA!S642/100</f>
        <v>0.67</v>
      </c>
      <c r="U642" s="3">
        <f>$D642*TCA!T642/100</f>
        <v>1</v>
      </c>
      <c r="V642" s="3">
        <f>$D642*TCA!U642/100</f>
        <v>11</v>
      </c>
      <c r="W642" s="3">
        <f>$D642*TCA!V642/100</f>
        <v>9</v>
      </c>
      <c r="X642" s="3">
        <f>$D642*TCA!W642/100</f>
        <v>0.43</v>
      </c>
    </row>
    <row r="643" spans="1:24" x14ac:dyDescent="0.25">
      <c r="A643" s="3" t="s">
        <v>2031</v>
      </c>
      <c r="B643" s="3" t="s">
        <v>1266</v>
      </c>
      <c r="C643" s="3" t="s">
        <v>1267</v>
      </c>
      <c r="D643" s="3">
        <v>100</v>
      </c>
      <c r="E643" s="3">
        <f>$D643*TCA!E643/100</f>
        <v>112</v>
      </c>
      <c r="F643" s="3">
        <f>$D643*TCA!F643/100</f>
        <v>3.5</v>
      </c>
      <c r="G643" s="3">
        <f>$D643*TCA!G643/100</f>
        <v>4</v>
      </c>
      <c r="H643" s="3">
        <f>$D643*TCA!H643/100</f>
        <v>15.5</v>
      </c>
      <c r="I643" s="3">
        <f>$D643*TCA!I643/100</f>
        <v>0</v>
      </c>
      <c r="J643" s="3">
        <f>$D643*TCA!J643/100</f>
        <v>2.5</v>
      </c>
      <c r="K643" s="3">
        <f>$D643*TCA!K643/100</f>
        <v>1</v>
      </c>
      <c r="L643" s="3">
        <f>$D643*TCA!L643/100</f>
        <v>0.5</v>
      </c>
      <c r="M643" s="3">
        <f>$D643*TCA!M643/100</f>
        <v>9</v>
      </c>
      <c r="N643" s="3">
        <f>$D643*TCA!N643/100</f>
        <v>0</v>
      </c>
      <c r="O643" s="3">
        <f>$D643*TCA!O643/100</f>
        <v>0</v>
      </c>
      <c r="P643" s="3">
        <f t="shared" si="9"/>
        <v>0</v>
      </c>
      <c r="Q643" s="3">
        <f>$D643*TCA!P643/100</f>
        <v>0</v>
      </c>
      <c r="R643" s="3">
        <f>$D643*TCA!Q643/100</f>
        <v>0</v>
      </c>
      <c r="S643" s="3">
        <f>$D643*TCA!R643/100</f>
        <v>75</v>
      </c>
      <c r="T643" s="3">
        <f>$D643*TCA!S643/100</f>
        <v>0</v>
      </c>
      <c r="U643" s="3">
        <f>$D643*TCA!T643/100</f>
        <v>0</v>
      </c>
      <c r="V643" s="3">
        <f>$D643*TCA!U643/100</f>
        <v>0</v>
      </c>
      <c r="W643" s="3">
        <f>$D643*TCA!V643/100</f>
        <v>0</v>
      </c>
      <c r="X643" s="3">
        <f>$D643*TCA!W643/100</f>
        <v>0</v>
      </c>
    </row>
    <row r="644" spans="1:24" x14ac:dyDescent="0.25">
      <c r="A644" s="3" t="s">
        <v>2031</v>
      </c>
      <c r="B644" s="3" t="s">
        <v>1268</v>
      </c>
      <c r="C644" s="3" t="s">
        <v>1269</v>
      </c>
      <c r="D644" s="3">
        <v>100</v>
      </c>
      <c r="E644" s="3">
        <f>$D644*TCA!E644/100</f>
        <v>63.72</v>
      </c>
      <c r="F644" s="3">
        <f>$D644*TCA!F644/100</f>
        <v>3.33</v>
      </c>
      <c r="G644" s="3">
        <f>$D644*TCA!G644/100</f>
        <v>2.08</v>
      </c>
      <c r="H644" s="3">
        <f>$D644*TCA!H644/100</f>
        <v>7.92</v>
      </c>
      <c r="I644" s="3">
        <f>$D644*TCA!I644/100</f>
        <v>0</v>
      </c>
      <c r="J644" s="3">
        <f>$D644*TCA!J644/100</f>
        <v>1.42</v>
      </c>
      <c r="K644" s="3">
        <f>$D644*TCA!K644/100</f>
        <v>0</v>
      </c>
      <c r="L644" s="3">
        <f>$D644*TCA!L644/100</f>
        <v>0</v>
      </c>
      <c r="M644" s="3">
        <f>$D644*TCA!M644/100</f>
        <v>8</v>
      </c>
      <c r="N644" s="3">
        <f>$D644*TCA!N644/100</f>
        <v>125</v>
      </c>
      <c r="O644" s="3">
        <f>$D644*TCA!O644/100</f>
        <v>0</v>
      </c>
      <c r="P644" s="3">
        <f t="shared" ref="P644:P707" si="10">O644/F644</f>
        <v>0</v>
      </c>
      <c r="Q644" s="3">
        <f>$D644*TCA!P644/100</f>
        <v>0</v>
      </c>
      <c r="R644" s="3">
        <f>$D644*TCA!Q644/100</f>
        <v>0</v>
      </c>
      <c r="S644" s="3">
        <f>$D644*TCA!R644/100</f>
        <v>40</v>
      </c>
      <c r="T644" s="3">
        <f>$D644*TCA!S644/100</f>
        <v>0</v>
      </c>
      <c r="U644" s="3">
        <f>$D644*TCA!T644/100</f>
        <v>0</v>
      </c>
      <c r="V644" s="3">
        <f>$D644*TCA!U644/100</f>
        <v>37.5</v>
      </c>
      <c r="W644" s="3">
        <f>$D644*TCA!V644/100</f>
        <v>0</v>
      </c>
      <c r="X644" s="3">
        <f>$D644*TCA!W644/100</f>
        <v>0</v>
      </c>
    </row>
    <row r="645" spans="1:24" x14ac:dyDescent="0.25">
      <c r="A645" s="3" t="s">
        <v>2031</v>
      </c>
      <c r="B645" s="3" t="s">
        <v>1270</v>
      </c>
      <c r="C645" s="3" t="s">
        <v>1271</v>
      </c>
      <c r="D645" s="3">
        <v>100</v>
      </c>
      <c r="E645" s="3">
        <f>$D645*TCA!E645/100</f>
        <v>55.26</v>
      </c>
      <c r="F645" s="3">
        <f>$D645*TCA!F645/100</f>
        <v>5.73</v>
      </c>
      <c r="G645" s="3">
        <f>$D645*TCA!G645/100</f>
        <v>0.18</v>
      </c>
      <c r="H645" s="3">
        <f>$D645*TCA!H645/100</f>
        <v>7.68</v>
      </c>
      <c r="I645" s="3">
        <f>$D645*TCA!I645/100</f>
        <v>0</v>
      </c>
      <c r="J645" s="3">
        <f>$D645*TCA!J645/100</f>
        <v>0.12</v>
      </c>
      <c r="K645" s="3">
        <f>$D645*TCA!K645/100</f>
        <v>0.05</v>
      </c>
      <c r="L645" s="3">
        <f>$D645*TCA!L645/100</f>
        <v>0</v>
      </c>
      <c r="M645" s="3">
        <f>$D645*TCA!M645/100</f>
        <v>2</v>
      </c>
      <c r="N645" s="3">
        <f>$D645*TCA!N645/100</f>
        <v>199</v>
      </c>
      <c r="O645" s="3">
        <f>$D645*TCA!O645/100</f>
        <v>157</v>
      </c>
      <c r="P645" s="3">
        <f t="shared" si="10"/>
        <v>27.399650959860381</v>
      </c>
      <c r="Q645" s="3">
        <f>$D645*TCA!P645/100</f>
        <v>0.09</v>
      </c>
      <c r="R645" s="3">
        <f>$D645*TCA!Q645/100</f>
        <v>255</v>
      </c>
      <c r="S645" s="3">
        <f>$D645*TCA!R645/100</f>
        <v>77</v>
      </c>
      <c r="T645" s="3">
        <f>$D645*TCA!S645/100</f>
        <v>0.97</v>
      </c>
      <c r="U645" s="3">
        <f>$D645*TCA!T645/100</f>
        <v>1</v>
      </c>
      <c r="V645" s="3">
        <f>$D645*TCA!U645/100</f>
        <v>2</v>
      </c>
      <c r="W645" s="3">
        <f>$D645*TCA!V645/100</f>
        <v>12</v>
      </c>
      <c r="X645" s="3">
        <f>$D645*TCA!W645/100</f>
        <v>0.61</v>
      </c>
    </row>
    <row r="646" spans="1:24" x14ac:dyDescent="0.25">
      <c r="A646" s="3" t="s">
        <v>2031</v>
      </c>
      <c r="B646" s="3" t="s">
        <v>1272</v>
      </c>
      <c r="C646" s="3" t="s">
        <v>1273</v>
      </c>
      <c r="D646" s="3">
        <v>100</v>
      </c>
      <c r="E646" s="3">
        <f>$D646*TCA!E646/100</f>
        <v>61.77</v>
      </c>
      <c r="F646" s="3">
        <f>$D646*TCA!F646/100</f>
        <v>3.47</v>
      </c>
      <c r="G646" s="3">
        <f>$D646*TCA!G646/100</f>
        <v>3.25</v>
      </c>
      <c r="H646" s="3">
        <f>$D646*TCA!H646/100</f>
        <v>4.66</v>
      </c>
      <c r="I646" s="3">
        <f>$D646*TCA!I646/100</f>
        <v>0</v>
      </c>
      <c r="J646" s="3">
        <f>$D646*TCA!J646/100</f>
        <v>2.1</v>
      </c>
      <c r="K646" s="3">
        <f>$D646*TCA!K646/100</f>
        <v>0.89</v>
      </c>
      <c r="L646" s="3">
        <f>$D646*TCA!L646/100</f>
        <v>0.09</v>
      </c>
      <c r="M646" s="3">
        <f>$D646*TCA!M646/100</f>
        <v>13</v>
      </c>
      <c r="N646" s="3">
        <f>$D646*TCA!N646/100</f>
        <v>121</v>
      </c>
      <c r="O646" s="3">
        <f>$D646*TCA!O646/100</f>
        <v>95</v>
      </c>
      <c r="P646" s="3">
        <f t="shared" si="10"/>
        <v>27.377521613832851</v>
      </c>
      <c r="Q646" s="3">
        <f>$D646*TCA!P646/100</f>
        <v>0.05</v>
      </c>
      <c r="R646" s="3">
        <f>$D646*TCA!Q646/100</f>
        <v>155</v>
      </c>
      <c r="S646" s="3">
        <f>$D646*TCA!R646/100</f>
        <v>46</v>
      </c>
      <c r="T646" s="3">
        <f>$D646*TCA!S646/100</f>
        <v>0.59</v>
      </c>
      <c r="U646" s="3">
        <f>$D646*TCA!T646/100</f>
        <v>1</v>
      </c>
      <c r="V646" s="3">
        <f>$D646*TCA!U646/100</f>
        <v>27</v>
      </c>
      <c r="W646" s="3">
        <f>$D646*TCA!V646/100</f>
        <v>7</v>
      </c>
      <c r="X646" s="3">
        <f>$D646*TCA!W646/100</f>
        <v>0.37</v>
      </c>
    </row>
    <row r="647" spans="1:24" x14ac:dyDescent="0.25">
      <c r="A647" s="3" t="s">
        <v>2031</v>
      </c>
      <c r="B647" s="3" t="s">
        <v>1274</v>
      </c>
      <c r="C647" s="3" t="s">
        <v>1275</v>
      </c>
      <c r="D647" s="3">
        <v>100</v>
      </c>
      <c r="E647" s="3">
        <f>$D647*TCA!E647/100</f>
        <v>64</v>
      </c>
      <c r="F647" s="3">
        <f>$D647*TCA!F647/100</f>
        <v>3.33</v>
      </c>
      <c r="G647" s="3">
        <f>$D647*TCA!G647/100</f>
        <v>2.67</v>
      </c>
      <c r="H647" s="3">
        <f>$D647*TCA!H647/100</f>
        <v>6.67</v>
      </c>
      <c r="I647" s="3">
        <f>$D647*TCA!I647/100</f>
        <v>0</v>
      </c>
      <c r="J647" s="3">
        <f>$D647*TCA!J647/100</f>
        <v>0.67</v>
      </c>
      <c r="K647" s="3">
        <f>$D647*TCA!K647/100</f>
        <v>0.67</v>
      </c>
      <c r="L647" s="3">
        <f>$D647*TCA!L647/100</f>
        <v>0.67</v>
      </c>
      <c r="M647" s="3">
        <f>$D647*TCA!M647/100</f>
        <v>8.67</v>
      </c>
      <c r="N647" s="3">
        <f>$D647*TCA!N647/100</f>
        <v>0</v>
      </c>
      <c r="O647" s="3">
        <f>$D647*TCA!O647/100</f>
        <v>0</v>
      </c>
      <c r="P647" s="3">
        <f t="shared" si="10"/>
        <v>0</v>
      </c>
      <c r="Q647" s="3">
        <f>$D647*TCA!P647/100</f>
        <v>0</v>
      </c>
      <c r="R647" s="3">
        <f>$D647*TCA!Q647/100</f>
        <v>0</v>
      </c>
      <c r="S647" s="3">
        <f>$D647*TCA!R647/100</f>
        <v>53.33</v>
      </c>
      <c r="T647" s="3">
        <f>$D647*TCA!S647/100</f>
        <v>0</v>
      </c>
      <c r="U647" s="3">
        <f>$D647*TCA!T647/100</f>
        <v>0</v>
      </c>
      <c r="V647" s="3">
        <f>$D647*TCA!U647/100</f>
        <v>0</v>
      </c>
      <c r="W647" s="3">
        <f>$D647*TCA!V647/100</f>
        <v>0</v>
      </c>
      <c r="X647" s="3">
        <f>$D647*TCA!W647/100</f>
        <v>0</v>
      </c>
    </row>
    <row r="648" spans="1:24" x14ac:dyDescent="0.25">
      <c r="A648" s="3" t="s">
        <v>2031</v>
      </c>
      <c r="B648" s="3" t="s">
        <v>1276</v>
      </c>
      <c r="C648" s="3" t="s">
        <v>1277</v>
      </c>
      <c r="D648" s="3">
        <v>100</v>
      </c>
      <c r="E648" s="3">
        <f>$D648*TCA!E648/100</f>
        <v>65</v>
      </c>
      <c r="F648" s="3">
        <f>$D648*TCA!F648/100</f>
        <v>8</v>
      </c>
      <c r="G648" s="3">
        <f>$D648*TCA!G648/100</f>
        <v>1</v>
      </c>
      <c r="H648" s="3">
        <f>$D648*TCA!H648/100</f>
        <v>6</v>
      </c>
      <c r="I648" s="3">
        <f>$D648*TCA!I648/100</f>
        <v>0</v>
      </c>
      <c r="J648" s="3">
        <f>$D648*TCA!J648/100</f>
        <v>0.67</v>
      </c>
      <c r="K648" s="3">
        <f>$D648*TCA!K648/100</f>
        <v>0.33</v>
      </c>
      <c r="L648" s="3">
        <f>$D648*TCA!L648/100</f>
        <v>0</v>
      </c>
      <c r="M648" s="3">
        <f>$D648*TCA!M648/100</f>
        <v>6</v>
      </c>
      <c r="N648" s="3">
        <f>$D648*TCA!N648/100</f>
        <v>0</v>
      </c>
      <c r="O648" s="3">
        <f>$D648*TCA!O648/100</f>
        <v>0</v>
      </c>
      <c r="P648" s="3">
        <f t="shared" si="10"/>
        <v>0</v>
      </c>
      <c r="Q648" s="3">
        <f>$D648*TCA!P648/100</f>
        <v>0</v>
      </c>
      <c r="R648" s="3">
        <f>$D648*TCA!Q648/100</f>
        <v>0</v>
      </c>
      <c r="S648" s="3">
        <f>$D648*TCA!R648/100</f>
        <v>46.67</v>
      </c>
      <c r="T648" s="3">
        <f>$D648*TCA!S648/100</f>
        <v>0</v>
      </c>
      <c r="U648" s="3">
        <f>$D648*TCA!T648/100</f>
        <v>0</v>
      </c>
      <c r="V648" s="3">
        <f>$D648*TCA!U648/100</f>
        <v>0</v>
      </c>
      <c r="W648" s="3">
        <f>$D648*TCA!V648/100</f>
        <v>0</v>
      </c>
      <c r="X648" s="3">
        <f>$D648*TCA!W648/100</f>
        <v>0</v>
      </c>
    </row>
    <row r="649" spans="1:24" x14ac:dyDescent="0.25">
      <c r="A649" s="3" t="s">
        <v>2031</v>
      </c>
      <c r="B649" s="3" t="s">
        <v>1278</v>
      </c>
      <c r="C649" s="3" t="s">
        <v>1279</v>
      </c>
      <c r="D649" s="3">
        <v>100</v>
      </c>
      <c r="E649" s="3">
        <f>$D649*TCA!E649/100</f>
        <v>83.33</v>
      </c>
      <c r="F649" s="3">
        <f>$D649*TCA!F649/100</f>
        <v>2.5</v>
      </c>
      <c r="G649" s="3">
        <f>$D649*TCA!G649/100</f>
        <v>1.67</v>
      </c>
      <c r="H649" s="3">
        <f>$D649*TCA!H649/100</f>
        <v>14.58</v>
      </c>
      <c r="I649" s="3">
        <f>$D649*TCA!I649/100</f>
        <v>0</v>
      </c>
      <c r="J649" s="3">
        <f>$D649*TCA!J649/100</f>
        <v>0.83</v>
      </c>
      <c r="K649" s="3">
        <f>$D649*TCA!K649/100</f>
        <v>0.42</v>
      </c>
      <c r="L649" s="3">
        <f>$D649*TCA!L649/100</f>
        <v>0</v>
      </c>
      <c r="M649" s="3">
        <f>$D649*TCA!M649/100</f>
        <v>7.08</v>
      </c>
      <c r="N649" s="3">
        <f>$D649*TCA!N649/100</f>
        <v>0</v>
      </c>
      <c r="O649" s="3">
        <f>$D649*TCA!O649/100</f>
        <v>0</v>
      </c>
      <c r="P649" s="3">
        <f t="shared" si="10"/>
        <v>0</v>
      </c>
      <c r="Q649" s="3">
        <f>$D649*TCA!P649/100</f>
        <v>0</v>
      </c>
      <c r="R649" s="3">
        <f>$D649*TCA!Q649/100</f>
        <v>0</v>
      </c>
      <c r="S649" s="3">
        <f>$D649*TCA!R649/100</f>
        <v>56.25</v>
      </c>
      <c r="T649" s="3">
        <f>$D649*TCA!S649/100</f>
        <v>0</v>
      </c>
      <c r="U649" s="3">
        <f>$D649*TCA!T649/100</f>
        <v>0</v>
      </c>
      <c r="V649" s="3">
        <f>$D649*TCA!U649/100</f>
        <v>0</v>
      </c>
      <c r="W649" s="3">
        <f>$D649*TCA!V649/100</f>
        <v>0</v>
      </c>
      <c r="X649" s="3">
        <f>$D649*TCA!W649/100</f>
        <v>0</v>
      </c>
    </row>
    <row r="650" spans="1:24" x14ac:dyDescent="0.25">
      <c r="A650" s="11"/>
      <c r="B650" s="11"/>
      <c r="C650" s="11"/>
      <c r="D650" s="3">
        <v>100</v>
      </c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 spans="1:24" x14ac:dyDescent="0.25">
      <c r="A651" s="3" t="s">
        <v>2032</v>
      </c>
      <c r="B651" s="3" t="s">
        <v>1280</v>
      </c>
      <c r="C651" s="3" t="s">
        <v>1281</v>
      </c>
      <c r="D651" s="3">
        <v>100</v>
      </c>
      <c r="E651" s="3">
        <f>$D651*TCA!E651/100</f>
        <v>900</v>
      </c>
      <c r="F651" s="3">
        <f>$D651*TCA!F651/100</f>
        <v>0</v>
      </c>
      <c r="G651" s="3">
        <f>$D651*TCA!G651/100</f>
        <v>100</v>
      </c>
      <c r="H651" s="3">
        <f>$D651*TCA!H651/100</f>
        <v>0</v>
      </c>
      <c r="I651" s="3">
        <f>$D651*TCA!I651/100</f>
        <v>0</v>
      </c>
      <c r="J651" s="3">
        <f>$D651*TCA!J651/100</f>
        <v>11.56</v>
      </c>
      <c r="K651" s="3">
        <f>$D651*TCA!K651/100</f>
        <v>70.55</v>
      </c>
      <c r="L651" s="3">
        <f>$D651*TCA!L651/100</f>
        <v>13.49</v>
      </c>
      <c r="M651" s="3">
        <f>$D651*TCA!M651/100</f>
        <v>0</v>
      </c>
      <c r="N651" s="3">
        <f>$D651*TCA!N651/100</f>
        <v>0</v>
      </c>
      <c r="O651" s="3">
        <f>$D651*TCA!O651/100</f>
        <v>0</v>
      </c>
      <c r="P651" s="3" t="e">
        <f t="shared" si="10"/>
        <v>#DIV/0!</v>
      </c>
      <c r="Q651" s="3">
        <f>$D651*TCA!P651/100</f>
        <v>0</v>
      </c>
      <c r="R651" s="3">
        <f>$D651*TCA!Q651/100</f>
        <v>0</v>
      </c>
      <c r="S651" s="3">
        <f>$D651*TCA!R651/100</f>
        <v>0</v>
      </c>
      <c r="T651" s="3">
        <f>$D651*TCA!S651/100</f>
        <v>0</v>
      </c>
      <c r="U651" s="3">
        <f>$D651*TCA!T651/100</f>
        <v>0</v>
      </c>
      <c r="V651" s="3">
        <f>$D651*TCA!U651/100</f>
        <v>0</v>
      </c>
      <c r="W651" s="3">
        <f>$D651*TCA!V651/100</f>
        <v>0</v>
      </c>
      <c r="X651" s="3">
        <f>$D651*TCA!W651/100</f>
        <v>0</v>
      </c>
    </row>
    <row r="652" spans="1:24" x14ac:dyDescent="0.25">
      <c r="A652" s="3" t="s">
        <v>2032</v>
      </c>
      <c r="B652" s="3" t="s">
        <v>1282</v>
      </c>
      <c r="C652" s="3" t="s">
        <v>1283</v>
      </c>
      <c r="D652" s="3">
        <v>100</v>
      </c>
      <c r="E652" s="3">
        <f>$D652*TCA!E652/100</f>
        <v>900</v>
      </c>
      <c r="F652" s="3">
        <f>$D652*TCA!F652/100</f>
        <v>0</v>
      </c>
      <c r="G652" s="3">
        <f>$D652*TCA!G652/100</f>
        <v>100</v>
      </c>
      <c r="H652" s="3">
        <f>$D652*TCA!H652/100</f>
        <v>0</v>
      </c>
      <c r="I652" s="3">
        <f>$D652*TCA!I652/100</f>
        <v>0</v>
      </c>
      <c r="J652" s="3">
        <f>$D652*TCA!J652/100</f>
        <v>14.2</v>
      </c>
      <c r="K652" s="3">
        <f>$D652*TCA!K652/100</f>
        <v>39.700000000000003</v>
      </c>
      <c r="L652" s="3">
        <f>$D652*TCA!L652/100</f>
        <v>41.7</v>
      </c>
      <c r="M652" s="3">
        <f>$D652*TCA!M652/100</f>
        <v>0</v>
      </c>
      <c r="N652" s="3">
        <f>$D652*TCA!N652/100</f>
        <v>0</v>
      </c>
      <c r="O652" s="3">
        <f>$D652*TCA!O652/100</f>
        <v>0</v>
      </c>
      <c r="P652" s="3" t="e">
        <f t="shared" si="10"/>
        <v>#DIV/0!</v>
      </c>
      <c r="Q652" s="3">
        <f>$D652*TCA!P652/100</f>
        <v>0</v>
      </c>
      <c r="R652" s="3">
        <f>$D652*TCA!Q652/100</f>
        <v>0</v>
      </c>
      <c r="S652" s="3">
        <f>$D652*TCA!R652/100</f>
        <v>0</v>
      </c>
      <c r="T652" s="3">
        <f>$D652*TCA!S652/100</f>
        <v>0</v>
      </c>
      <c r="U652" s="3">
        <f>$D652*TCA!T652/100</f>
        <v>0</v>
      </c>
      <c r="V652" s="3">
        <f>$D652*TCA!U652/100</f>
        <v>0</v>
      </c>
      <c r="W652" s="3">
        <f>$D652*TCA!V652/100</f>
        <v>0</v>
      </c>
      <c r="X652" s="3">
        <f>$D652*TCA!W652/100</f>
        <v>0</v>
      </c>
    </row>
    <row r="653" spans="1:24" x14ac:dyDescent="0.25">
      <c r="A653" s="3" t="s">
        <v>2032</v>
      </c>
      <c r="B653" s="3" t="s">
        <v>1284</v>
      </c>
      <c r="C653" s="3" t="s">
        <v>1285</v>
      </c>
      <c r="D653" s="3">
        <v>100</v>
      </c>
      <c r="E653" s="3">
        <f>$D653*TCA!E653/100</f>
        <v>900</v>
      </c>
      <c r="F653" s="3">
        <f>$D653*TCA!F653/100</f>
        <v>0</v>
      </c>
      <c r="G653" s="3">
        <f>$D653*TCA!G653/100</f>
        <v>100</v>
      </c>
      <c r="H653" s="3">
        <f>$D653*TCA!H653/100</f>
        <v>0</v>
      </c>
      <c r="I653" s="3">
        <f>$D653*TCA!I653/100</f>
        <v>0</v>
      </c>
      <c r="J653" s="3">
        <f>$D653*TCA!J653/100</f>
        <v>8.1999999999999993</v>
      </c>
      <c r="K653" s="3">
        <f>$D653*TCA!K653/100</f>
        <v>69.900000000000006</v>
      </c>
      <c r="L653" s="3">
        <f>$D653*TCA!L653/100</f>
        <v>17.399999999999999</v>
      </c>
      <c r="M653" s="3">
        <f>$D653*TCA!M653/100</f>
        <v>0</v>
      </c>
      <c r="N653" s="3">
        <f>$D653*TCA!N653/100</f>
        <v>0</v>
      </c>
      <c r="O653" s="3">
        <f>$D653*TCA!O653/100</f>
        <v>0</v>
      </c>
      <c r="P653" s="3" t="e">
        <f t="shared" si="10"/>
        <v>#DIV/0!</v>
      </c>
      <c r="Q653" s="3">
        <f>$D653*TCA!P653/100</f>
        <v>0</v>
      </c>
      <c r="R653" s="3">
        <f>$D653*TCA!Q653/100</f>
        <v>0</v>
      </c>
      <c r="S653" s="3">
        <f>$D653*TCA!R653/100</f>
        <v>0</v>
      </c>
      <c r="T653" s="3">
        <f>$D653*TCA!S653/100</f>
        <v>0</v>
      </c>
      <c r="U653" s="3">
        <f>$D653*TCA!T653/100</f>
        <v>0</v>
      </c>
      <c r="V653" s="3">
        <f>$D653*TCA!U653/100</f>
        <v>0</v>
      </c>
      <c r="W653" s="3">
        <f>$D653*TCA!V653/100</f>
        <v>0</v>
      </c>
      <c r="X653" s="3">
        <f>$D653*TCA!W653/100</f>
        <v>0</v>
      </c>
    </row>
    <row r="654" spans="1:24" x14ac:dyDescent="0.25">
      <c r="A654" s="3" t="s">
        <v>2032</v>
      </c>
      <c r="B654" s="3" t="s">
        <v>1286</v>
      </c>
      <c r="C654" s="3" t="s">
        <v>1287</v>
      </c>
      <c r="D654" s="3">
        <v>100</v>
      </c>
      <c r="E654" s="3">
        <f>$D654*TCA!E654/100</f>
        <v>900</v>
      </c>
      <c r="F654" s="3">
        <f>$D654*TCA!F654/100</f>
        <v>0</v>
      </c>
      <c r="G654" s="3">
        <f>$D654*TCA!G654/100</f>
        <v>100</v>
      </c>
      <c r="H654" s="3">
        <f>$D654*TCA!H654/100</f>
        <v>0</v>
      </c>
      <c r="I654" s="3">
        <f>$D654*TCA!I654/100</f>
        <v>0</v>
      </c>
      <c r="J654" s="3">
        <f>$D654*TCA!J654/100</f>
        <v>7.37</v>
      </c>
      <c r="K654" s="3">
        <f>$D654*TCA!K654/100</f>
        <v>63.28</v>
      </c>
      <c r="L654" s="3">
        <f>$D654*TCA!L654/100</f>
        <v>28.14</v>
      </c>
      <c r="M654" s="3">
        <f>$D654*TCA!M654/100</f>
        <v>0</v>
      </c>
      <c r="N654" s="3">
        <f>$D654*TCA!N654/100</f>
        <v>0</v>
      </c>
      <c r="O654" s="3">
        <f>$D654*TCA!O654/100</f>
        <v>0</v>
      </c>
      <c r="P654" s="3" t="e">
        <f t="shared" si="10"/>
        <v>#DIV/0!</v>
      </c>
      <c r="Q654" s="3">
        <f>$D654*TCA!P654/100</f>
        <v>0</v>
      </c>
      <c r="R654" s="3">
        <f>$D654*TCA!Q654/100</f>
        <v>0</v>
      </c>
      <c r="S654" s="3">
        <f>$D654*TCA!R654/100</f>
        <v>0</v>
      </c>
      <c r="T654" s="3">
        <f>$D654*TCA!S654/100</f>
        <v>0</v>
      </c>
      <c r="U654" s="3">
        <f>$D654*TCA!T654/100</f>
        <v>0</v>
      </c>
      <c r="V654" s="3">
        <f>$D654*TCA!U654/100</f>
        <v>0</v>
      </c>
      <c r="W654" s="3">
        <f>$D654*TCA!V654/100</f>
        <v>0</v>
      </c>
      <c r="X654" s="3">
        <f>$D654*TCA!W654/100</f>
        <v>0</v>
      </c>
    </row>
    <row r="655" spans="1:24" x14ac:dyDescent="0.25">
      <c r="A655" s="3" t="s">
        <v>2032</v>
      </c>
      <c r="B655" s="3" t="s">
        <v>1288</v>
      </c>
      <c r="C655" s="3" t="s">
        <v>1289</v>
      </c>
      <c r="D655" s="3">
        <v>100</v>
      </c>
      <c r="E655" s="3">
        <f>$D655*TCA!E655/100</f>
        <v>900</v>
      </c>
      <c r="F655" s="3">
        <f>$D655*TCA!F655/100</f>
        <v>0</v>
      </c>
      <c r="G655" s="3">
        <f>$D655*TCA!G655/100</f>
        <v>100</v>
      </c>
      <c r="H655" s="3">
        <f>$D655*TCA!H655/100</f>
        <v>0</v>
      </c>
      <c r="I655" s="3">
        <f>$D655*TCA!I655/100</f>
        <v>0</v>
      </c>
      <c r="J655" s="3">
        <f>$D655*TCA!J655/100</f>
        <v>86.5</v>
      </c>
      <c r="K655" s="3">
        <f>$D655*TCA!K655/100</f>
        <v>5.8</v>
      </c>
      <c r="L655" s="3">
        <f>$D655*TCA!L655/100</f>
        <v>1.8</v>
      </c>
      <c r="M655" s="3">
        <f>$D655*TCA!M655/100</f>
        <v>0</v>
      </c>
      <c r="N655" s="3">
        <f>$D655*TCA!N655/100</f>
        <v>0</v>
      </c>
      <c r="O655" s="3">
        <f>$D655*TCA!O655/100</f>
        <v>0</v>
      </c>
      <c r="P655" s="3" t="e">
        <f t="shared" si="10"/>
        <v>#DIV/0!</v>
      </c>
      <c r="Q655" s="3">
        <f>$D655*TCA!P655/100</f>
        <v>0.04</v>
      </c>
      <c r="R655" s="3">
        <f>$D655*TCA!Q655/100</f>
        <v>0</v>
      </c>
      <c r="S655" s="3">
        <f>$D655*TCA!R655/100</f>
        <v>0</v>
      </c>
      <c r="T655" s="3">
        <f>$D655*TCA!S655/100</f>
        <v>0</v>
      </c>
      <c r="U655" s="3">
        <f>$D655*TCA!T655/100</f>
        <v>0</v>
      </c>
      <c r="V655" s="3">
        <f>$D655*TCA!U655/100</f>
        <v>0</v>
      </c>
      <c r="W655" s="3">
        <f>$D655*TCA!V655/100</f>
        <v>0</v>
      </c>
      <c r="X655" s="3">
        <f>$D655*TCA!W655/100</f>
        <v>0</v>
      </c>
    </row>
    <row r="656" spans="1:24" x14ac:dyDescent="0.25">
      <c r="A656" s="3" t="s">
        <v>2032</v>
      </c>
      <c r="B656" s="3" t="s">
        <v>1290</v>
      </c>
      <c r="C656" s="3" t="s">
        <v>1291</v>
      </c>
      <c r="D656" s="3">
        <v>100</v>
      </c>
      <c r="E656" s="3">
        <f>$D656*TCA!E656/100</f>
        <v>900</v>
      </c>
      <c r="F656" s="3">
        <f>$D656*TCA!F656/100</f>
        <v>0</v>
      </c>
      <c r="G656" s="3">
        <f>$D656*TCA!G656/100</f>
        <v>100</v>
      </c>
      <c r="H656" s="3">
        <f>$D656*TCA!H656/100</f>
        <v>0</v>
      </c>
      <c r="I656" s="3">
        <f>$D656*TCA!I656/100</f>
        <v>0</v>
      </c>
      <c r="J656" s="3">
        <f>$D656*TCA!J656/100</f>
        <v>10.1</v>
      </c>
      <c r="K656" s="3">
        <f>$D656*TCA!K656/100</f>
        <v>45.4</v>
      </c>
      <c r="L656" s="3">
        <f>$D656*TCA!L656/100</f>
        <v>40.1</v>
      </c>
      <c r="M656" s="3">
        <f>$D656*TCA!M656/100</f>
        <v>0</v>
      </c>
      <c r="N656" s="3">
        <f>$D656*TCA!N656/100</f>
        <v>0</v>
      </c>
      <c r="O656" s="3">
        <f>$D656*TCA!O656/100</f>
        <v>0</v>
      </c>
      <c r="P656" s="3" t="e">
        <f t="shared" si="10"/>
        <v>#DIV/0!</v>
      </c>
      <c r="Q656" s="3">
        <f>$D656*TCA!P656/100</f>
        <v>0.03</v>
      </c>
      <c r="R656" s="3">
        <f>$D656*TCA!Q656/100</f>
        <v>0</v>
      </c>
      <c r="S656" s="3">
        <f>$D656*TCA!R656/100</f>
        <v>0</v>
      </c>
      <c r="T656" s="3">
        <f>$D656*TCA!S656/100</f>
        <v>0</v>
      </c>
      <c r="U656" s="3">
        <f>$D656*TCA!T656/100</f>
        <v>0</v>
      </c>
      <c r="V656" s="3">
        <f>$D656*TCA!U656/100</f>
        <v>0</v>
      </c>
      <c r="W656" s="3">
        <f>$D656*TCA!V656/100</f>
        <v>0</v>
      </c>
      <c r="X656" s="3">
        <f>$D656*TCA!W656/100</f>
        <v>0</v>
      </c>
    </row>
    <row r="657" spans="1:24" x14ac:dyDescent="0.25">
      <c r="A657" s="3" t="s">
        <v>2032</v>
      </c>
      <c r="B657" s="3" t="s">
        <v>1292</v>
      </c>
      <c r="C657" s="3" t="s">
        <v>1293</v>
      </c>
      <c r="D657" s="3">
        <v>100</v>
      </c>
      <c r="E657" s="3">
        <f>$D657*TCA!E657/100</f>
        <v>900</v>
      </c>
      <c r="F657" s="3">
        <f>$D657*TCA!F657/100</f>
        <v>0</v>
      </c>
      <c r="G657" s="3">
        <f>$D657*TCA!G657/100</f>
        <v>100</v>
      </c>
      <c r="H657" s="3">
        <f>$D657*TCA!H657/100</f>
        <v>0</v>
      </c>
      <c r="I657" s="3">
        <f>$D657*TCA!I657/100</f>
        <v>0</v>
      </c>
      <c r="J657" s="3">
        <f>$D657*TCA!J657/100</f>
        <v>12.95</v>
      </c>
      <c r="K657" s="3">
        <f>$D657*TCA!K657/100</f>
        <v>27.58</v>
      </c>
      <c r="L657" s="3">
        <f>$D657*TCA!L657/100</f>
        <v>54.68</v>
      </c>
      <c r="M657" s="3">
        <f>$D657*TCA!M657/100</f>
        <v>0</v>
      </c>
      <c r="N657" s="3">
        <f>$D657*TCA!N657/100</f>
        <v>0</v>
      </c>
      <c r="O657" s="3">
        <f>$D657*TCA!O657/100</f>
        <v>0</v>
      </c>
      <c r="P657" s="3" t="e">
        <f t="shared" si="10"/>
        <v>#DIV/0!</v>
      </c>
      <c r="Q657" s="3">
        <f>$D657*TCA!P657/100</f>
        <v>0</v>
      </c>
      <c r="R657" s="3">
        <f>$D657*TCA!Q657/100</f>
        <v>0</v>
      </c>
      <c r="S657" s="3">
        <f>$D657*TCA!R657/100</f>
        <v>0</v>
      </c>
      <c r="T657" s="3">
        <f>$D657*TCA!S657/100</f>
        <v>0</v>
      </c>
      <c r="U657" s="3">
        <f>$D657*TCA!T657/100</f>
        <v>0</v>
      </c>
      <c r="V657" s="3">
        <f>$D657*TCA!U657/100</f>
        <v>0</v>
      </c>
      <c r="W657" s="3">
        <f>$D657*TCA!V657/100</f>
        <v>0</v>
      </c>
      <c r="X657" s="3">
        <f>$D657*TCA!W657/100</f>
        <v>0</v>
      </c>
    </row>
    <row r="658" spans="1:24" x14ac:dyDescent="0.25">
      <c r="A658" s="3" t="s">
        <v>2032</v>
      </c>
      <c r="B658" s="3" t="s">
        <v>1294</v>
      </c>
      <c r="C658" s="3" t="s">
        <v>1295</v>
      </c>
      <c r="D658" s="3">
        <v>100</v>
      </c>
      <c r="E658" s="3">
        <f>$D658*TCA!E658/100</f>
        <v>900</v>
      </c>
      <c r="F658" s="3">
        <f>$D658*TCA!F658/100</f>
        <v>0</v>
      </c>
      <c r="G658" s="3">
        <f>$D658*TCA!G658/100</f>
        <v>100</v>
      </c>
      <c r="H658" s="3">
        <f>$D658*TCA!H658/100</f>
        <v>0</v>
      </c>
      <c r="I658" s="3">
        <f>$D658*TCA!I658/100</f>
        <v>0</v>
      </c>
      <c r="J658" s="3">
        <f>$D658*TCA!J658/100</f>
        <v>9.1</v>
      </c>
      <c r="K658" s="3">
        <f>$D658*TCA!K658/100</f>
        <v>22.8</v>
      </c>
      <c r="L658" s="3">
        <f>$D658*TCA!L658/100</f>
        <v>63.3</v>
      </c>
      <c r="M658" s="3">
        <f>$D658*TCA!M658/100</f>
        <v>0</v>
      </c>
      <c r="N658" s="3">
        <f>$D658*TCA!N658/100</f>
        <v>0</v>
      </c>
      <c r="O658" s="3">
        <f>$D658*TCA!O658/100</f>
        <v>0</v>
      </c>
      <c r="P658" s="3" t="e">
        <f t="shared" si="10"/>
        <v>#DIV/0!</v>
      </c>
      <c r="Q658" s="3">
        <f>$D658*TCA!P658/100</f>
        <v>0</v>
      </c>
      <c r="R658" s="3">
        <f>$D658*TCA!Q658/100</f>
        <v>0</v>
      </c>
      <c r="S658" s="3">
        <f>$D658*TCA!R658/100</f>
        <v>0</v>
      </c>
      <c r="T658" s="3">
        <f>$D658*TCA!S658/100</f>
        <v>0</v>
      </c>
      <c r="U658" s="3">
        <f>$D658*TCA!T658/100</f>
        <v>0</v>
      </c>
      <c r="V658" s="3">
        <f>$D658*TCA!U658/100</f>
        <v>0</v>
      </c>
      <c r="W658" s="3">
        <f>$D658*TCA!V658/100</f>
        <v>0</v>
      </c>
      <c r="X658" s="3">
        <f>$D658*TCA!W658/100</f>
        <v>0</v>
      </c>
    </row>
    <row r="659" spans="1:24" x14ac:dyDescent="0.25">
      <c r="A659" s="3" t="s">
        <v>2032</v>
      </c>
      <c r="B659" s="3" t="s">
        <v>1296</v>
      </c>
      <c r="C659" s="3" t="s">
        <v>1297</v>
      </c>
      <c r="D659" s="3">
        <v>100</v>
      </c>
      <c r="E659" s="3">
        <f>$D659*TCA!E659/100</f>
        <v>900</v>
      </c>
      <c r="F659" s="3">
        <f>$D659*TCA!F659/100</f>
        <v>0</v>
      </c>
      <c r="G659" s="3">
        <f>$D659*TCA!G659/100</f>
        <v>100</v>
      </c>
      <c r="H659" s="3">
        <f>$D659*TCA!H659/100</f>
        <v>0</v>
      </c>
      <c r="I659" s="3">
        <f>$D659*TCA!I659/100</f>
        <v>0</v>
      </c>
      <c r="J659" s="3">
        <f>$D659*TCA!J659/100</f>
        <v>13.81</v>
      </c>
      <c r="K659" s="3">
        <f>$D659*TCA!K659/100</f>
        <v>72.959999999999994</v>
      </c>
      <c r="L659" s="3">
        <f>$D659*TCA!L659/100</f>
        <v>10.52</v>
      </c>
      <c r="M659" s="3">
        <f>$D659*TCA!M659/100</f>
        <v>0</v>
      </c>
      <c r="N659" s="3">
        <f>$D659*TCA!N659/100</f>
        <v>1</v>
      </c>
      <c r="O659" s="3">
        <f>$D659*TCA!O659/100</f>
        <v>0</v>
      </c>
      <c r="P659" s="3" t="e">
        <f t="shared" si="10"/>
        <v>#DIV/0!</v>
      </c>
      <c r="Q659" s="3">
        <f>$D659*TCA!P659/100</f>
        <v>0.56000000000000005</v>
      </c>
      <c r="R659" s="3">
        <f>$D659*TCA!Q659/100</f>
        <v>1</v>
      </c>
      <c r="S659" s="3">
        <f>$D659*TCA!R659/100</f>
        <v>2</v>
      </c>
      <c r="T659" s="3">
        <f>$D659*TCA!S659/100</f>
        <v>0</v>
      </c>
      <c r="U659" s="3">
        <f>$D659*TCA!T659/100</f>
        <v>0</v>
      </c>
      <c r="V659" s="3">
        <f>$D659*TCA!U659/100</f>
        <v>0</v>
      </c>
      <c r="W659" s="3">
        <f>$D659*TCA!V659/100</f>
        <v>0</v>
      </c>
      <c r="X659" s="3">
        <f>$D659*TCA!W659/100</f>
        <v>0</v>
      </c>
    </row>
    <row r="660" spans="1:24" x14ac:dyDescent="0.25">
      <c r="A660" s="3" t="s">
        <v>2032</v>
      </c>
      <c r="B660" s="3" t="s">
        <v>1298</v>
      </c>
      <c r="C660" s="3" t="s">
        <v>1299</v>
      </c>
      <c r="D660" s="3">
        <v>100</v>
      </c>
      <c r="E660" s="3">
        <f>$D660*TCA!E660/100</f>
        <v>900</v>
      </c>
      <c r="F660" s="3">
        <f>$D660*TCA!F660/100</f>
        <v>0</v>
      </c>
      <c r="G660" s="3">
        <f>$D660*TCA!G660/100</f>
        <v>100</v>
      </c>
      <c r="H660" s="3">
        <f>$D660*TCA!H660/100</f>
        <v>0</v>
      </c>
      <c r="I660" s="3">
        <f>$D660*TCA!I660/100</f>
        <v>0</v>
      </c>
      <c r="J660" s="3">
        <f>$D660*TCA!J660/100</f>
        <v>49.3</v>
      </c>
      <c r="K660" s="3">
        <f>$D660*TCA!K660/100</f>
        <v>37</v>
      </c>
      <c r="L660" s="3">
        <f>$D660*TCA!L660/100</f>
        <v>9.3000000000000007</v>
      </c>
      <c r="M660" s="3">
        <f>$D660*TCA!M660/100</f>
        <v>0</v>
      </c>
      <c r="N660" s="3">
        <f>$D660*TCA!N660/100</f>
        <v>0</v>
      </c>
      <c r="O660" s="3">
        <f>$D660*TCA!O660/100</f>
        <v>0</v>
      </c>
      <c r="P660" s="3" t="e">
        <f t="shared" si="10"/>
        <v>#DIV/0!</v>
      </c>
      <c r="Q660" s="3">
        <f>$D660*TCA!P660/100</f>
        <v>0.01</v>
      </c>
      <c r="R660" s="3">
        <f>$D660*TCA!Q660/100</f>
        <v>0</v>
      </c>
      <c r="S660" s="3">
        <f>$D660*TCA!R660/100</f>
        <v>0</v>
      </c>
      <c r="T660" s="3">
        <f>$D660*TCA!S660/100</f>
        <v>0</v>
      </c>
      <c r="U660" s="3">
        <f>$D660*TCA!T660/100</f>
        <v>0</v>
      </c>
      <c r="V660" s="3">
        <f>$D660*TCA!U660/100</f>
        <v>0</v>
      </c>
      <c r="W660" s="3">
        <f>$D660*TCA!V660/100</f>
        <v>0</v>
      </c>
      <c r="X660" s="3">
        <f>$D660*TCA!W660/100</f>
        <v>0</v>
      </c>
    </row>
    <row r="661" spans="1:24" x14ac:dyDescent="0.25">
      <c r="A661" s="3" t="s">
        <v>2032</v>
      </c>
      <c r="B661" s="3" t="s">
        <v>1300</v>
      </c>
      <c r="C661" s="3" t="s">
        <v>1301</v>
      </c>
      <c r="D661" s="3">
        <v>100</v>
      </c>
      <c r="E661" s="3">
        <f>$D661*TCA!E661/100</f>
        <v>900</v>
      </c>
      <c r="F661" s="3">
        <f>$D661*TCA!F661/100</f>
        <v>0</v>
      </c>
      <c r="G661" s="3">
        <f>$D661*TCA!G661/100</f>
        <v>100</v>
      </c>
      <c r="H661" s="3">
        <f>$D661*TCA!H661/100</f>
        <v>0</v>
      </c>
      <c r="I661" s="3">
        <f>$D661*TCA!I661/100</f>
        <v>0</v>
      </c>
      <c r="J661" s="3">
        <f>$D661*TCA!J661/100</f>
        <v>14.4</v>
      </c>
      <c r="K661" s="3">
        <f>$D661*TCA!K661/100</f>
        <v>23.3</v>
      </c>
      <c r="L661" s="3">
        <f>$D661*TCA!L661/100</f>
        <v>57.9</v>
      </c>
      <c r="M661" s="3">
        <f>$D661*TCA!M661/100</f>
        <v>0</v>
      </c>
      <c r="N661" s="3">
        <f>$D661*TCA!N661/100</f>
        <v>0</v>
      </c>
      <c r="O661" s="3">
        <f>$D661*TCA!O661/100</f>
        <v>0</v>
      </c>
      <c r="P661" s="3" t="e">
        <f t="shared" si="10"/>
        <v>#DIV/0!</v>
      </c>
      <c r="Q661" s="3">
        <f>$D661*TCA!P661/100</f>
        <v>0.02</v>
      </c>
      <c r="R661" s="3">
        <f>$D661*TCA!Q661/100</f>
        <v>0</v>
      </c>
      <c r="S661" s="3">
        <f>$D661*TCA!R661/100</f>
        <v>0</v>
      </c>
      <c r="T661" s="3">
        <f>$D661*TCA!S661/100</f>
        <v>0.01</v>
      </c>
      <c r="U661" s="3">
        <f>$D661*TCA!T661/100</f>
        <v>0</v>
      </c>
      <c r="V661" s="3">
        <f>$D661*TCA!U661/100</f>
        <v>0</v>
      </c>
      <c r="W661" s="3">
        <f>$D661*TCA!V661/100</f>
        <v>0</v>
      </c>
      <c r="X661" s="3">
        <f>$D661*TCA!W661/100</f>
        <v>0</v>
      </c>
    </row>
    <row r="662" spans="1:24" x14ac:dyDescent="0.25">
      <c r="A662" s="3" t="s">
        <v>2032</v>
      </c>
      <c r="B662" s="3" t="s">
        <v>1302</v>
      </c>
      <c r="C662" s="3" t="s">
        <v>1303</v>
      </c>
      <c r="D662" s="3">
        <v>100</v>
      </c>
      <c r="E662" s="3">
        <f>$D662*TCA!E662/100</f>
        <v>147</v>
      </c>
      <c r="F662" s="3">
        <f>$D662*TCA!F662/100</f>
        <v>1</v>
      </c>
      <c r="G662" s="3">
        <f>$D662*TCA!G662/100</f>
        <v>15</v>
      </c>
      <c r="H662" s="3">
        <f>$D662*TCA!H662/100</f>
        <v>2</v>
      </c>
      <c r="I662" s="3">
        <f>$D662*TCA!I662/100</f>
        <v>2</v>
      </c>
      <c r="J662" s="3">
        <f>$D662*TCA!J662/100</f>
        <v>2</v>
      </c>
      <c r="K662" s="3">
        <f>$D662*TCA!K662/100</f>
        <v>10</v>
      </c>
      <c r="L662" s="3">
        <f>$D662*TCA!L662/100</f>
        <v>2</v>
      </c>
      <c r="M662" s="3">
        <f>$D662*TCA!M662/100</f>
        <v>0</v>
      </c>
      <c r="N662" s="3">
        <f>$D662*TCA!N662/100</f>
        <v>0</v>
      </c>
      <c r="O662" s="3">
        <f>$D662*TCA!O662/100</f>
        <v>0</v>
      </c>
      <c r="P662" s="3">
        <f t="shared" si="10"/>
        <v>0</v>
      </c>
      <c r="Q662" s="3">
        <f>$D662*TCA!P662/100</f>
        <v>0</v>
      </c>
      <c r="R662" s="3">
        <f>$D662*TCA!Q662/100</f>
        <v>0</v>
      </c>
      <c r="S662" s="3">
        <f>$D662*TCA!R662/100</f>
        <v>620</v>
      </c>
      <c r="T662" s="3">
        <f>$D662*TCA!S662/100</f>
        <v>0</v>
      </c>
      <c r="U662" s="3">
        <f>$D662*TCA!T662/100</f>
        <v>0</v>
      </c>
      <c r="V662" s="3">
        <f>$D662*TCA!U662/100</f>
        <v>0</v>
      </c>
      <c r="W662" s="3">
        <f>$D662*TCA!V662/100</f>
        <v>0</v>
      </c>
      <c r="X662" s="3">
        <f>$D662*TCA!W662/100</f>
        <v>0</v>
      </c>
    </row>
    <row r="663" spans="1:24" x14ac:dyDescent="0.25">
      <c r="A663" s="3" t="s">
        <v>2032</v>
      </c>
      <c r="B663" s="3" t="s">
        <v>1304</v>
      </c>
      <c r="C663" s="3" t="s">
        <v>1305</v>
      </c>
      <c r="D663" s="3">
        <v>100</v>
      </c>
      <c r="E663" s="3">
        <f>$D663*TCA!E663/100</f>
        <v>124.52</v>
      </c>
      <c r="F663" s="3">
        <f>$D663*TCA!F663/100</f>
        <v>0.84</v>
      </c>
      <c r="G663" s="3">
        <f>$D663*TCA!G663/100</f>
        <v>10.68</v>
      </c>
      <c r="H663" s="3">
        <f>$D663*TCA!H663/100</f>
        <v>6.26</v>
      </c>
      <c r="I663" s="3">
        <f>$D663*TCA!I663/100</f>
        <v>3.2</v>
      </c>
      <c r="J663" s="3">
        <f>$D663*TCA!J663/100</f>
        <v>1.41</v>
      </c>
      <c r="K663" s="3">
        <f>$D663*TCA!K663/100</f>
        <v>7.89</v>
      </c>
      <c r="L663" s="3">
        <f>$D663*TCA!L663/100</f>
        <v>0.91</v>
      </c>
      <c r="M663" s="3">
        <f>$D663*TCA!M663/100</f>
        <v>0</v>
      </c>
      <c r="N663" s="3">
        <f>$D663*TCA!N663/100</f>
        <v>88</v>
      </c>
      <c r="O663" s="3">
        <f>$D663*TCA!O663/100</f>
        <v>3</v>
      </c>
      <c r="P663" s="3">
        <f t="shared" si="10"/>
        <v>3.5714285714285716</v>
      </c>
      <c r="Q663" s="3">
        <f>$D663*TCA!P663/100</f>
        <v>3.3</v>
      </c>
      <c r="R663" s="3">
        <f>$D663*TCA!Q663/100</f>
        <v>8</v>
      </c>
      <c r="S663" s="3">
        <f>$D663*TCA!R663/100</f>
        <v>872</v>
      </c>
      <c r="T663" s="3">
        <f>$D663*TCA!S663/100</f>
        <v>0.22</v>
      </c>
      <c r="U663" s="3">
        <f>$D663*TCA!T663/100</f>
        <v>1</v>
      </c>
      <c r="V663" s="3">
        <f>$D663*TCA!U663/100</f>
        <v>20</v>
      </c>
      <c r="W663" s="3">
        <f>$D663*TCA!V663/100</f>
        <v>0</v>
      </c>
      <c r="X663" s="3">
        <f>$D663*TCA!W663/100</f>
        <v>0</v>
      </c>
    </row>
    <row r="664" spans="1:24" x14ac:dyDescent="0.25">
      <c r="A664" s="3" t="s">
        <v>2032</v>
      </c>
      <c r="B664" s="3" t="s">
        <v>1306</v>
      </c>
      <c r="C664" s="3" t="s">
        <v>1307</v>
      </c>
      <c r="D664" s="3">
        <v>100</v>
      </c>
      <c r="E664" s="3">
        <f>$D664*TCA!E664/100</f>
        <v>623.1</v>
      </c>
      <c r="F664" s="3">
        <f>$D664*TCA!F664/100</f>
        <v>21.94</v>
      </c>
      <c r="G664" s="3">
        <f>$D664*TCA!G664/100</f>
        <v>50.62</v>
      </c>
      <c r="H664" s="3">
        <f>$D664*TCA!H664/100</f>
        <v>19.940000000000001</v>
      </c>
      <c r="I664" s="3">
        <f>$D664*TCA!I664/100</f>
        <v>10.4</v>
      </c>
      <c r="J664" s="3">
        <f>$D664*TCA!J664/100</f>
        <v>3.89</v>
      </c>
      <c r="K664" s="3">
        <f>$D664*TCA!K664/100</f>
        <v>32.29</v>
      </c>
      <c r="L664" s="3">
        <f>$D664*TCA!L664/100</f>
        <v>12.05</v>
      </c>
      <c r="M664" s="3">
        <f>$D664*TCA!M664/100</f>
        <v>0</v>
      </c>
      <c r="N664" s="3">
        <f>$D664*TCA!N664/100</f>
        <v>216</v>
      </c>
      <c r="O664" s="3">
        <f>$D664*TCA!O664/100</f>
        <v>480</v>
      </c>
      <c r="P664" s="3">
        <f t="shared" si="10"/>
        <v>21.877848678213308</v>
      </c>
      <c r="Q664" s="3">
        <f>$D664*TCA!P664/100</f>
        <v>3.72</v>
      </c>
      <c r="R664" s="3">
        <f>$D664*TCA!Q664/100</f>
        <v>687</v>
      </c>
      <c r="S664" s="3">
        <f>$D664*TCA!R664/100</f>
        <v>28</v>
      </c>
      <c r="T664" s="3">
        <f>$D664*TCA!S664/100</f>
        <v>3.12</v>
      </c>
      <c r="U664" s="3">
        <f>$D664*TCA!T664/100</f>
        <v>0</v>
      </c>
      <c r="V664" s="3">
        <f>$D664*TCA!U664/100</f>
        <v>0</v>
      </c>
      <c r="W664" s="3">
        <f>$D664*TCA!V664/100</f>
        <v>30</v>
      </c>
      <c r="X664" s="3">
        <f>$D664*TCA!W664/100</f>
        <v>0</v>
      </c>
    </row>
    <row r="665" spans="1:24" x14ac:dyDescent="0.25">
      <c r="A665" s="3" t="s">
        <v>2032</v>
      </c>
      <c r="B665" s="3" t="s">
        <v>1308</v>
      </c>
      <c r="C665" s="3" t="s">
        <v>1309</v>
      </c>
      <c r="D665" s="3">
        <v>100</v>
      </c>
      <c r="E665" s="3">
        <f>$D665*TCA!E665/100</f>
        <v>673.35</v>
      </c>
      <c r="F665" s="3">
        <f>$D665*TCA!F665/100</f>
        <v>14.95</v>
      </c>
      <c r="G665" s="3">
        <f>$D665*TCA!G665/100</f>
        <v>60.75</v>
      </c>
      <c r="H665" s="3">
        <f>$D665*TCA!H665/100</f>
        <v>16.7</v>
      </c>
      <c r="I665" s="3">
        <f>$D665*TCA!I665/100</f>
        <v>9.6999999999999993</v>
      </c>
      <c r="J665" s="3">
        <f>$D665*TCA!J665/100</f>
        <v>4.46</v>
      </c>
      <c r="K665" s="3">
        <f>$D665*TCA!K665/100</f>
        <v>45.65</v>
      </c>
      <c r="L665" s="3">
        <f>$D665*TCA!L665/100</f>
        <v>7.92</v>
      </c>
      <c r="M665" s="3">
        <f>$D665*TCA!M665/100</f>
        <v>0</v>
      </c>
      <c r="N665" s="3">
        <f>$D665*TCA!N665/100</f>
        <v>114</v>
      </c>
      <c r="O665" s="3">
        <f>$D665*TCA!O665/100</f>
        <v>290</v>
      </c>
      <c r="P665" s="3">
        <f t="shared" si="10"/>
        <v>19.397993311036789</v>
      </c>
      <c r="Q665" s="3">
        <f>$D665*TCA!P665/100</f>
        <v>4.7</v>
      </c>
      <c r="R665" s="3">
        <f>$D665*TCA!Q665/100</f>
        <v>680</v>
      </c>
      <c r="S665" s="3">
        <f>$D665*TCA!R665/100</f>
        <v>0</v>
      </c>
      <c r="T665" s="3">
        <f>$D665*TCA!S665/100</f>
        <v>2.4500000000000002</v>
      </c>
      <c r="U665" s="3">
        <f>$D665*TCA!T665/100</f>
        <v>6.3</v>
      </c>
      <c r="V665" s="3">
        <f>$D665*TCA!U665/100</f>
        <v>1</v>
      </c>
      <c r="W665" s="3">
        <f>$D665*TCA!V665/100</f>
        <v>113</v>
      </c>
      <c r="X665" s="3">
        <f>$D665*TCA!W665/100</f>
        <v>0</v>
      </c>
    </row>
    <row r="666" spans="1:24" x14ac:dyDescent="0.25">
      <c r="A666" s="3" t="s">
        <v>2032</v>
      </c>
      <c r="B666" s="3" t="s">
        <v>1310</v>
      </c>
      <c r="C666" s="3" t="s">
        <v>1311</v>
      </c>
      <c r="D666" s="3">
        <v>100</v>
      </c>
      <c r="E666" s="3">
        <f>$D666*TCA!E666/100</f>
        <v>223.07</v>
      </c>
      <c r="F666" s="3">
        <f>$D666*TCA!F666/100</f>
        <v>4.2</v>
      </c>
      <c r="G666" s="3">
        <f>$D666*TCA!G666/100</f>
        <v>1.1100000000000001</v>
      </c>
      <c r="H666" s="3">
        <f>$D666*TCA!H666/100</f>
        <v>49.07</v>
      </c>
      <c r="I666" s="3">
        <f>$D666*TCA!I666/100</f>
        <v>0</v>
      </c>
      <c r="J666" s="3">
        <f>$D666*TCA!J666/100</f>
        <v>0.16</v>
      </c>
      <c r="K666" s="3">
        <f>$D666*TCA!K666/100</f>
        <v>0.57999999999999996</v>
      </c>
      <c r="L666" s="3">
        <f>$D666*TCA!L666/100</f>
        <v>0.28999999999999998</v>
      </c>
      <c r="M666" s="3">
        <f>$D666*TCA!M666/100</f>
        <v>0</v>
      </c>
      <c r="N666" s="3">
        <f>$D666*TCA!N666/100</f>
        <v>18</v>
      </c>
      <c r="O666" s="3">
        <f>$D666*TCA!O666/100</f>
        <v>96</v>
      </c>
      <c r="P666" s="3">
        <f t="shared" si="10"/>
        <v>22.857142857142858</v>
      </c>
      <c r="Q666" s="3">
        <f>$D666*TCA!P666/100</f>
        <v>1.41</v>
      </c>
      <c r="R666" s="3">
        <f>$D666*TCA!Q666/100</f>
        <v>447</v>
      </c>
      <c r="S666" s="3">
        <f>$D666*TCA!R666/100</f>
        <v>3</v>
      </c>
      <c r="T666" s="3">
        <f>$D666*TCA!S666/100</f>
        <v>0.87</v>
      </c>
      <c r="U666" s="3">
        <f>$D666*TCA!T666/100</f>
        <v>36</v>
      </c>
      <c r="V666" s="3">
        <f>$D666*TCA!U666/100</f>
        <v>10</v>
      </c>
      <c r="W666" s="3">
        <f>$D666*TCA!V666/100</f>
        <v>68</v>
      </c>
      <c r="X666" s="3">
        <f>$D666*TCA!W666/100</f>
        <v>0</v>
      </c>
    </row>
    <row r="667" spans="1:24" x14ac:dyDescent="0.25">
      <c r="A667" s="3" t="s">
        <v>2032</v>
      </c>
      <c r="B667" s="3" t="s">
        <v>1312</v>
      </c>
      <c r="C667" s="3" t="s">
        <v>1313</v>
      </c>
      <c r="D667" s="3">
        <v>100</v>
      </c>
      <c r="E667" s="3">
        <f>$D667*TCA!E667/100</f>
        <v>368.95</v>
      </c>
      <c r="F667" s="3">
        <f>$D667*TCA!F667/100</f>
        <v>5.01</v>
      </c>
      <c r="G667" s="3">
        <f>$D667*TCA!G667/100</f>
        <v>3.91</v>
      </c>
      <c r="H667" s="3">
        <f>$D667*TCA!H667/100</f>
        <v>78.430000000000007</v>
      </c>
      <c r="I667" s="3">
        <f>$D667*TCA!I667/100</f>
        <v>0</v>
      </c>
      <c r="J667" s="3">
        <f>$D667*TCA!J667/100</f>
        <v>0.74</v>
      </c>
      <c r="K667" s="3">
        <f>$D667*TCA!K667/100</f>
        <v>1.35</v>
      </c>
      <c r="L667" s="3">
        <f>$D667*TCA!L667/100</f>
        <v>1.55</v>
      </c>
      <c r="M667" s="3">
        <f>$D667*TCA!M667/100</f>
        <v>0</v>
      </c>
      <c r="N667" s="3">
        <f>$D667*TCA!N667/100</f>
        <v>64</v>
      </c>
      <c r="O667" s="3">
        <f>$D667*TCA!O667/100</f>
        <v>137</v>
      </c>
      <c r="P667" s="3">
        <f t="shared" si="10"/>
        <v>27.345309381237527</v>
      </c>
      <c r="Q667" s="3">
        <f>$D667*TCA!P667/100</f>
        <v>2.39</v>
      </c>
      <c r="R667" s="3">
        <f>$D667*TCA!Q667/100</f>
        <v>991</v>
      </c>
      <c r="S667" s="3">
        <f>$D667*TCA!R667/100</f>
        <v>37</v>
      </c>
      <c r="T667" s="3">
        <f>$D667*TCA!S667/100</f>
        <v>0.35</v>
      </c>
      <c r="U667" s="3">
        <f>$D667*TCA!T667/100</f>
        <v>15.1</v>
      </c>
      <c r="V667" s="3">
        <f>$D667*TCA!U667/100</f>
        <v>0</v>
      </c>
      <c r="W667" s="3">
        <f>$D667*TCA!V667/100</f>
        <v>110</v>
      </c>
      <c r="X667" s="3">
        <f>$D667*TCA!W667/100</f>
        <v>0</v>
      </c>
    </row>
    <row r="668" spans="1:24" x14ac:dyDescent="0.25">
      <c r="A668" s="3" t="s">
        <v>2032</v>
      </c>
      <c r="B668" s="3" t="s">
        <v>1314</v>
      </c>
      <c r="C668" s="3" t="s">
        <v>1315</v>
      </c>
      <c r="D668" s="3">
        <v>100</v>
      </c>
      <c r="E668" s="3">
        <f>$D668*TCA!E668/100</f>
        <v>566.66999999999996</v>
      </c>
      <c r="F668" s="3">
        <f>$D668*TCA!F668/100</f>
        <v>3.33</v>
      </c>
      <c r="G668" s="3">
        <f>$D668*TCA!G668/100</f>
        <v>33.33</v>
      </c>
      <c r="H668" s="3">
        <f>$D668*TCA!H668/100</f>
        <v>63.33</v>
      </c>
      <c r="I668" s="3">
        <f>$D668*TCA!I668/100</f>
        <v>3.33</v>
      </c>
      <c r="J668" s="3">
        <f>$D668*TCA!J668/100</f>
        <v>13.33</v>
      </c>
      <c r="K668" s="3">
        <f>$D668*TCA!K668/100</f>
        <v>13.33</v>
      </c>
      <c r="L668" s="3">
        <f>$D668*TCA!L668/100</f>
        <v>5</v>
      </c>
      <c r="M668" s="3">
        <f>$D668*TCA!M668/100</f>
        <v>0</v>
      </c>
      <c r="N668" s="3">
        <f>$D668*TCA!N668/100</f>
        <v>0</v>
      </c>
      <c r="O668" s="3">
        <f>$D668*TCA!O668/100</f>
        <v>0</v>
      </c>
      <c r="P668" s="3">
        <f t="shared" si="10"/>
        <v>0</v>
      </c>
      <c r="Q668" s="3">
        <f>$D668*TCA!P668/100</f>
        <v>0</v>
      </c>
      <c r="R668" s="3">
        <f>$D668*TCA!Q668/100</f>
        <v>0</v>
      </c>
      <c r="S668" s="3">
        <f>$D668*TCA!R668/100</f>
        <v>50</v>
      </c>
      <c r="T668" s="3">
        <f>$D668*TCA!S668/100</f>
        <v>0</v>
      </c>
      <c r="U668" s="3">
        <f>$D668*TCA!T668/100</f>
        <v>0</v>
      </c>
      <c r="V668" s="3">
        <f>$D668*TCA!U668/100</f>
        <v>0</v>
      </c>
      <c r="W668" s="3">
        <f>$D668*TCA!V668/100</f>
        <v>0</v>
      </c>
      <c r="X668" s="3">
        <f>$D668*TCA!W668/100</f>
        <v>0</v>
      </c>
    </row>
    <row r="669" spans="1:24" x14ac:dyDescent="0.25">
      <c r="A669" s="3" t="s">
        <v>2032</v>
      </c>
      <c r="B669" s="3" t="s">
        <v>1316</v>
      </c>
      <c r="C669" s="3" t="s">
        <v>1317</v>
      </c>
      <c r="D669" s="3">
        <v>100</v>
      </c>
      <c r="E669" s="3">
        <f>$D669*TCA!E669/100</f>
        <v>250</v>
      </c>
      <c r="F669" s="3">
        <f>$D669*TCA!F669/100</f>
        <v>0</v>
      </c>
      <c r="G669" s="3">
        <f>$D669*TCA!G669/100</f>
        <v>10</v>
      </c>
      <c r="H669" s="3">
        <f>$D669*TCA!H669/100</f>
        <v>40</v>
      </c>
      <c r="I669" s="3">
        <f>$D669*TCA!I669/100</f>
        <v>0</v>
      </c>
      <c r="J669" s="3">
        <f>$D669*TCA!J669/100</f>
        <v>0</v>
      </c>
      <c r="K669" s="3">
        <f>$D669*TCA!K669/100</f>
        <v>0</v>
      </c>
      <c r="L669" s="3">
        <f>$D669*TCA!L669/100</f>
        <v>0</v>
      </c>
      <c r="M669" s="3">
        <f>$D669*TCA!M669/100</f>
        <v>0</v>
      </c>
      <c r="N669" s="3">
        <f>$D669*TCA!N669/100</f>
        <v>0</v>
      </c>
      <c r="O669" s="3">
        <f>$D669*TCA!O669/100</f>
        <v>0</v>
      </c>
      <c r="P669" s="3" t="e">
        <f t="shared" si="10"/>
        <v>#DIV/0!</v>
      </c>
      <c r="Q669" s="3">
        <f>$D669*TCA!P669/100</f>
        <v>0</v>
      </c>
      <c r="R669" s="3">
        <f>$D669*TCA!Q669/100</f>
        <v>0</v>
      </c>
      <c r="S669" s="3">
        <f>$D669*TCA!R669/100</f>
        <v>0</v>
      </c>
      <c r="T669" s="3">
        <f>$D669*TCA!S669/100</f>
        <v>0</v>
      </c>
      <c r="U669" s="3">
        <f>$D669*TCA!T669/100</f>
        <v>0</v>
      </c>
      <c r="V669" s="3">
        <f>$D669*TCA!U669/100</f>
        <v>0</v>
      </c>
      <c r="W669" s="3">
        <f>$D669*TCA!V669/100</f>
        <v>0</v>
      </c>
      <c r="X669" s="3">
        <f>$D669*TCA!W669/100</f>
        <v>0</v>
      </c>
    </row>
    <row r="670" spans="1:24" x14ac:dyDescent="0.25">
      <c r="A670" s="3" t="s">
        <v>2032</v>
      </c>
      <c r="B670" s="3" t="s">
        <v>1318</v>
      </c>
      <c r="C670" s="3" t="s">
        <v>1319</v>
      </c>
      <c r="D670" s="3">
        <v>100</v>
      </c>
      <c r="E670" s="3">
        <f>$D670*TCA!E670/100</f>
        <v>544</v>
      </c>
      <c r="F670" s="3">
        <f>$D670*TCA!F670/100</f>
        <v>4</v>
      </c>
      <c r="G670" s="3">
        <f>$D670*TCA!G670/100</f>
        <v>32</v>
      </c>
      <c r="H670" s="3">
        <f>$D670*TCA!H670/100</f>
        <v>60</v>
      </c>
      <c r="I670" s="3">
        <f>$D670*TCA!I670/100</f>
        <v>0</v>
      </c>
      <c r="J670" s="3">
        <f>$D670*TCA!J670/100</f>
        <v>12</v>
      </c>
      <c r="K670" s="3">
        <f>$D670*TCA!K670/100</f>
        <v>16</v>
      </c>
      <c r="L670" s="3">
        <f>$D670*TCA!L670/100</f>
        <v>4</v>
      </c>
      <c r="M670" s="3">
        <f>$D670*TCA!M670/100</f>
        <v>20</v>
      </c>
      <c r="N670" s="3">
        <f>$D670*TCA!N670/100</f>
        <v>0</v>
      </c>
      <c r="O670" s="3">
        <f>$D670*TCA!O670/100</f>
        <v>0</v>
      </c>
      <c r="P670" s="3">
        <f t="shared" si="10"/>
        <v>0</v>
      </c>
      <c r="Q670" s="3">
        <f>$D670*TCA!P670/100</f>
        <v>0</v>
      </c>
      <c r="R670" s="3">
        <f>$D670*TCA!Q670/100</f>
        <v>0</v>
      </c>
      <c r="S670" s="3">
        <f>$D670*TCA!R670/100</f>
        <v>60</v>
      </c>
      <c r="T670" s="3">
        <f>$D670*TCA!S670/100</f>
        <v>0</v>
      </c>
      <c r="U670" s="3">
        <f>$D670*TCA!T670/100</f>
        <v>0</v>
      </c>
      <c r="V670" s="3">
        <f>$D670*TCA!U670/100</f>
        <v>0</v>
      </c>
      <c r="W670" s="3">
        <f>$D670*TCA!V670/100</f>
        <v>0</v>
      </c>
      <c r="X670" s="3">
        <f>$D670*TCA!W670/100</f>
        <v>0</v>
      </c>
    </row>
    <row r="671" spans="1:24" x14ac:dyDescent="0.25">
      <c r="A671" s="3" t="s">
        <v>2032</v>
      </c>
      <c r="B671" s="3" t="s">
        <v>1320</v>
      </c>
      <c r="C671" s="3" t="s">
        <v>1321</v>
      </c>
      <c r="D671" s="3">
        <v>100</v>
      </c>
      <c r="E671" s="3">
        <f>$D671*TCA!E671/100</f>
        <v>563</v>
      </c>
      <c r="F671" s="3">
        <f>$D671*TCA!F671/100</f>
        <v>3</v>
      </c>
      <c r="G671" s="3">
        <f>$D671*TCA!G671/100</f>
        <v>35</v>
      </c>
      <c r="H671" s="3">
        <f>$D671*TCA!H671/100</f>
        <v>59</v>
      </c>
      <c r="I671" s="3">
        <f>$D671*TCA!I671/100</f>
        <v>2.2000000000000002</v>
      </c>
      <c r="J671" s="3">
        <f>$D671*TCA!J671/100</f>
        <v>5.7</v>
      </c>
      <c r="K671" s="3">
        <f>$D671*TCA!K671/100</f>
        <v>0</v>
      </c>
      <c r="L671" s="3">
        <f>$D671*TCA!L671/100</f>
        <v>0</v>
      </c>
      <c r="M671" s="3">
        <f>$D671*TCA!M671/100</f>
        <v>0</v>
      </c>
      <c r="N671" s="3">
        <f>$D671*TCA!N671/100</f>
        <v>0</v>
      </c>
      <c r="O671" s="3">
        <f>$D671*TCA!O671/100</f>
        <v>0</v>
      </c>
      <c r="P671" s="3">
        <f t="shared" si="10"/>
        <v>0</v>
      </c>
      <c r="Q671" s="3">
        <f>$D671*TCA!P671/100</f>
        <v>0</v>
      </c>
      <c r="R671" s="3">
        <f>$D671*TCA!Q671/100</f>
        <v>0</v>
      </c>
      <c r="S671" s="3">
        <f>$D671*TCA!R671/100</f>
        <v>20</v>
      </c>
      <c r="T671" s="3">
        <f>$D671*TCA!S671/100</f>
        <v>0</v>
      </c>
      <c r="U671" s="3">
        <f>$D671*TCA!T671/100</f>
        <v>0</v>
      </c>
      <c r="V671" s="3">
        <f>$D671*TCA!U671/100</f>
        <v>0</v>
      </c>
      <c r="W671" s="3">
        <f>$D671*TCA!V671/100</f>
        <v>0</v>
      </c>
      <c r="X671" s="3">
        <f>$D671*TCA!W671/100</f>
        <v>0</v>
      </c>
    </row>
    <row r="672" spans="1:24" x14ac:dyDescent="0.25">
      <c r="A672" s="3" t="s">
        <v>2032</v>
      </c>
      <c r="B672" s="3" t="s">
        <v>1322</v>
      </c>
      <c r="C672" s="3" t="s">
        <v>1323</v>
      </c>
      <c r="D672" s="3">
        <v>100</v>
      </c>
      <c r="E672" s="3">
        <f>$D672*TCA!E672/100</f>
        <v>544</v>
      </c>
      <c r="F672" s="3">
        <f>$D672*TCA!F672/100</f>
        <v>8</v>
      </c>
      <c r="G672" s="3">
        <f>$D672*TCA!G672/100</f>
        <v>32</v>
      </c>
      <c r="H672" s="3">
        <f>$D672*TCA!H672/100</f>
        <v>56</v>
      </c>
      <c r="I672" s="3">
        <f>$D672*TCA!I672/100</f>
        <v>0</v>
      </c>
      <c r="J672" s="3">
        <f>$D672*TCA!J672/100</f>
        <v>10</v>
      </c>
      <c r="K672" s="3">
        <f>$D672*TCA!K672/100</f>
        <v>16</v>
      </c>
      <c r="L672" s="3">
        <f>$D672*TCA!L672/100</f>
        <v>4</v>
      </c>
      <c r="M672" s="3">
        <f>$D672*TCA!M672/100</f>
        <v>0</v>
      </c>
      <c r="N672" s="3">
        <f>$D672*TCA!N672/100</f>
        <v>0</v>
      </c>
      <c r="O672" s="3">
        <f>$D672*TCA!O672/100</f>
        <v>0</v>
      </c>
      <c r="P672" s="3">
        <f t="shared" si="10"/>
        <v>0</v>
      </c>
      <c r="Q672" s="3">
        <f>$D672*TCA!P672/100</f>
        <v>0</v>
      </c>
      <c r="R672" s="3">
        <f>$D672*TCA!Q672/100</f>
        <v>0</v>
      </c>
      <c r="S672" s="3">
        <f>$D672*TCA!R672/100</f>
        <v>40</v>
      </c>
      <c r="T672" s="3">
        <f>$D672*TCA!S672/100</f>
        <v>0</v>
      </c>
      <c r="U672" s="3">
        <f>$D672*TCA!T672/100</f>
        <v>0</v>
      </c>
      <c r="V672" s="3">
        <f>$D672*TCA!U672/100</f>
        <v>0</v>
      </c>
      <c r="W672" s="3">
        <f>$D672*TCA!V672/100</f>
        <v>0</v>
      </c>
      <c r="X672" s="3">
        <f>$D672*TCA!W672/100</f>
        <v>0</v>
      </c>
    </row>
    <row r="673" spans="1:24" x14ac:dyDescent="0.25">
      <c r="A673" s="3" t="s">
        <v>2032</v>
      </c>
      <c r="B673" s="3" t="s">
        <v>1324</v>
      </c>
      <c r="C673" s="3" t="s">
        <v>1325</v>
      </c>
      <c r="D673" s="3">
        <v>100</v>
      </c>
      <c r="E673" s="3">
        <f>$D673*TCA!E673/100</f>
        <v>555.20000000000005</v>
      </c>
      <c r="F673" s="3">
        <f>$D673*TCA!F673/100</f>
        <v>4.0999999999999996</v>
      </c>
      <c r="G673" s="3">
        <f>$D673*TCA!G673/100</f>
        <v>36</v>
      </c>
      <c r="H673" s="3">
        <f>$D673*TCA!H673/100</f>
        <v>53.7</v>
      </c>
      <c r="I673" s="3">
        <f>$D673*TCA!I673/100</f>
        <v>3</v>
      </c>
      <c r="J673" s="3">
        <f>$D673*TCA!J673/100</f>
        <v>7.4</v>
      </c>
      <c r="K673" s="3">
        <f>$D673*TCA!K673/100</f>
        <v>21.7</v>
      </c>
      <c r="L673" s="3">
        <f>$D673*TCA!L673/100</f>
        <v>7.2</v>
      </c>
      <c r="M673" s="3">
        <f>$D673*TCA!M673/100</f>
        <v>0</v>
      </c>
      <c r="N673" s="3">
        <f>$D673*TCA!N673/100</f>
        <v>0</v>
      </c>
      <c r="O673" s="3">
        <f>$D673*TCA!O673/100</f>
        <v>0</v>
      </c>
      <c r="P673" s="3">
        <f t="shared" si="10"/>
        <v>0</v>
      </c>
      <c r="Q673" s="3">
        <f>$D673*TCA!P673/100</f>
        <v>0</v>
      </c>
      <c r="R673" s="3">
        <f>$D673*TCA!Q673/100</f>
        <v>0</v>
      </c>
      <c r="S673" s="3">
        <f>$D673*TCA!R673/100</f>
        <v>60</v>
      </c>
      <c r="T673" s="3">
        <f>$D673*TCA!S673/100</f>
        <v>0</v>
      </c>
      <c r="U673" s="3">
        <f>$D673*TCA!T673/100</f>
        <v>0</v>
      </c>
      <c r="V673" s="3">
        <f>$D673*TCA!U673/100</f>
        <v>0</v>
      </c>
      <c r="W673" s="3">
        <f>$D673*TCA!V673/100</f>
        <v>0</v>
      </c>
      <c r="X673" s="3">
        <f>$D673*TCA!W673/100</f>
        <v>0</v>
      </c>
    </row>
    <row r="674" spans="1:24" x14ac:dyDescent="0.25">
      <c r="A674" s="3" t="s">
        <v>2032</v>
      </c>
      <c r="B674" s="3" t="s">
        <v>1326</v>
      </c>
      <c r="C674" s="3" t="s">
        <v>1327</v>
      </c>
      <c r="D674" s="3">
        <v>100</v>
      </c>
      <c r="E674" s="3">
        <f>$D674*TCA!E674/100</f>
        <v>540</v>
      </c>
      <c r="F674" s="3">
        <f>$D674*TCA!F674/100</f>
        <v>6.67</v>
      </c>
      <c r="G674" s="3">
        <f>$D674*TCA!G674/100</f>
        <v>33.33</v>
      </c>
      <c r="H674" s="3">
        <f>$D674*TCA!H674/100</f>
        <v>53.33</v>
      </c>
      <c r="I674" s="3">
        <f>$D674*TCA!I674/100</f>
        <v>3.33</v>
      </c>
      <c r="J674" s="3">
        <f>$D674*TCA!J674/100</f>
        <v>6.67</v>
      </c>
      <c r="K674" s="3">
        <f>$D674*TCA!K674/100</f>
        <v>23.33</v>
      </c>
      <c r="L674" s="3">
        <f>$D674*TCA!L674/100</f>
        <v>3.33</v>
      </c>
      <c r="M674" s="3">
        <f>$D674*TCA!M674/100</f>
        <v>0</v>
      </c>
      <c r="N674" s="3">
        <f>$D674*TCA!N674/100</f>
        <v>0</v>
      </c>
      <c r="O674" s="3">
        <f>$D674*TCA!O674/100</f>
        <v>0</v>
      </c>
      <c r="P674" s="3">
        <f t="shared" si="10"/>
        <v>0</v>
      </c>
      <c r="Q674" s="3">
        <f>$D674*TCA!P674/100</f>
        <v>0</v>
      </c>
      <c r="R674" s="3">
        <f>$D674*TCA!Q674/100</f>
        <v>0</v>
      </c>
      <c r="S674" s="3">
        <f>$D674*TCA!R674/100</f>
        <v>66.67</v>
      </c>
      <c r="T674" s="3">
        <f>$D674*TCA!S674/100</f>
        <v>0</v>
      </c>
      <c r="U674" s="3">
        <f>$D674*TCA!T674/100</f>
        <v>0</v>
      </c>
      <c r="V674" s="3">
        <f>$D674*TCA!U674/100</f>
        <v>0</v>
      </c>
      <c r="W674" s="3">
        <f>$D674*TCA!V674/100</f>
        <v>0</v>
      </c>
      <c r="X674" s="3">
        <f>$D674*TCA!W674/100</f>
        <v>0</v>
      </c>
    </row>
    <row r="675" spans="1:24" x14ac:dyDescent="0.25">
      <c r="A675" s="3" t="s">
        <v>2032</v>
      </c>
      <c r="B675" s="3" t="s">
        <v>1328</v>
      </c>
      <c r="C675" s="3" t="s">
        <v>1329</v>
      </c>
      <c r="D675" s="3">
        <v>100</v>
      </c>
      <c r="E675" s="3">
        <f>$D675*TCA!E675/100</f>
        <v>546.66999999999996</v>
      </c>
      <c r="F675" s="3">
        <f>$D675*TCA!F675/100</f>
        <v>6.67</v>
      </c>
      <c r="G675" s="3">
        <f>$D675*TCA!G675/100</f>
        <v>40</v>
      </c>
      <c r="H675" s="3">
        <f>$D675*TCA!H675/100</f>
        <v>40</v>
      </c>
      <c r="I675" s="3">
        <f>$D675*TCA!I675/100</f>
        <v>0</v>
      </c>
      <c r="J675" s="3">
        <f>$D675*TCA!J675/100</f>
        <v>6.67</v>
      </c>
      <c r="K675" s="3">
        <f>$D675*TCA!K675/100</f>
        <v>0</v>
      </c>
      <c r="L675" s="3">
        <f>$D675*TCA!L675/100</f>
        <v>0</v>
      </c>
      <c r="M675" s="3">
        <f>$D675*TCA!M675/100</f>
        <v>13.33</v>
      </c>
      <c r="N675" s="3">
        <f>$D675*TCA!N675/100</f>
        <v>0</v>
      </c>
      <c r="O675" s="3">
        <f>$D675*TCA!O675/100</f>
        <v>0</v>
      </c>
      <c r="P675" s="3">
        <f t="shared" si="10"/>
        <v>0</v>
      </c>
      <c r="Q675" s="3">
        <f>$D675*TCA!P675/100</f>
        <v>0</v>
      </c>
      <c r="R675" s="3">
        <f>$D675*TCA!Q675/100</f>
        <v>0</v>
      </c>
      <c r="S675" s="3">
        <f>$D675*TCA!R675/100</f>
        <v>100</v>
      </c>
      <c r="T675" s="3">
        <f>$D675*TCA!S675/100</f>
        <v>0</v>
      </c>
      <c r="U675" s="3">
        <f>$D675*TCA!T675/100</f>
        <v>0</v>
      </c>
      <c r="V675" s="3">
        <f>$D675*TCA!U675/100</f>
        <v>0</v>
      </c>
      <c r="W675" s="3">
        <f>$D675*TCA!V675/100</f>
        <v>0</v>
      </c>
      <c r="X675" s="3">
        <f>$D675*TCA!W675/100</f>
        <v>0</v>
      </c>
    </row>
    <row r="676" spans="1:24" x14ac:dyDescent="0.25">
      <c r="A676" s="3" t="s">
        <v>2032</v>
      </c>
      <c r="B676" s="3" t="s">
        <v>1330</v>
      </c>
      <c r="C676" s="3" t="s">
        <v>1331</v>
      </c>
      <c r="D676" s="3">
        <v>100</v>
      </c>
      <c r="E676" s="3">
        <f>$D676*TCA!E676/100</f>
        <v>768.85</v>
      </c>
      <c r="F676" s="3">
        <f>$D676*TCA!F676/100</f>
        <v>7.91</v>
      </c>
      <c r="G676" s="3">
        <f>$D676*TCA!G676/100</f>
        <v>75.77</v>
      </c>
      <c r="H676" s="3">
        <f>$D676*TCA!H676/100</f>
        <v>13.82</v>
      </c>
      <c r="I676" s="3">
        <f>$D676*TCA!I676/100</f>
        <v>8.6</v>
      </c>
      <c r="J676" s="3">
        <f>$D676*TCA!J676/100</f>
        <v>12.06</v>
      </c>
      <c r="K676" s="3">
        <f>$D676*TCA!K676/100</f>
        <v>58.88</v>
      </c>
      <c r="L676" s="3">
        <f>$D676*TCA!L676/100</f>
        <v>1.5</v>
      </c>
      <c r="M676" s="3">
        <f>$D676*TCA!M676/100</f>
        <v>0</v>
      </c>
      <c r="N676" s="3">
        <f>$D676*TCA!N676/100</f>
        <v>85</v>
      </c>
      <c r="O676" s="3">
        <f>$D676*TCA!O676/100</f>
        <v>188</v>
      </c>
      <c r="P676" s="3">
        <f t="shared" si="10"/>
        <v>23.767383059418457</v>
      </c>
      <c r="Q676" s="3">
        <f>$D676*TCA!P676/100</f>
        <v>3.69</v>
      </c>
      <c r="R676" s="3">
        <f>$D676*TCA!Q676/100</f>
        <v>368</v>
      </c>
      <c r="S676" s="3">
        <f>$D676*TCA!R676/100</f>
        <v>5</v>
      </c>
      <c r="T676" s="3">
        <f>$D676*TCA!S676/100</f>
        <v>1.3</v>
      </c>
      <c r="U676" s="3">
        <f>$D676*TCA!T676/100</f>
        <v>1.2</v>
      </c>
      <c r="V676" s="3">
        <f>$D676*TCA!U676/100</f>
        <v>0</v>
      </c>
      <c r="W676" s="3">
        <f>$D676*TCA!V676/100</f>
        <v>11</v>
      </c>
      <c r="X676" s="3">
        <f>$D676*TCA!W676/100</f>
        <v>0</v>
      </c>
    </row>
    <row r="677" spans="1:24" x14ac:dyDescent="0.25">
      <c r="A677" s="3" t="s">
        <v>2032</v>
      </c>
      <c r="B677" s="3" t="s">
        <v>1332</v>
      </c>
      <c r="C677" s="3" t="s">
        <v>1333</v>
      </c>
      <c r="D677" s="3">
        <v>100</v>
      </c>
      <c r="E677" s="3">
        <f>$D677*TCA!E677/100</f>
        <v>337.13</v>
      </c>
      <c r="F677" s="3">
        <f>$D677*TCA!F677/100</f>
        <v>13.5</v>
      </c>
      <c r="G677" s="3">
        <f>$D677*TCA!G677/100</f>
        <v>22.01</v>
      </c>
      <c r="H677" s="3">
        <f>$D677*TCA!H677/100</f>
        <v>21.26</v>
      </c>
      <c r="I677" s="3">
        <f>$D677*TCA!I677/100</f>
        <v>8.8000000000000007</v>
      </c>
      <c r="J677" s="3">
        <f>$D677*TCA!J677/100</f>
        <v>3.06</v>
      </c>
      <c r="K677" s="3">
        <f>$D677*TCA!K677/100</f>
        <v>10.92</v>
      </c>
      <c r="L677" s="3">
        <f>$D677*TCA!L677/100</f>
        <v>6.96</v>
      </c>
      <c r="M677" s="3">
        <f>$D677*TCA!M677/100</f>
        <v>0</v>
      </c>
      <c r="N677" s="3">
        <f>$D677*TCA!N677/100</f>
        <v>55</v>
      </c>
      <c r="O677" s="3">
        <f>$D677*TCA!O677/100</f>
        <v>198</v>
      </c>
      <c r="P677" s="3">
        <f t="shared" si="10"/>
        <v>14.666666666666666</v>
      </c>
      <c r="Q677" s="3">
        <f>$D677*TCA!P677/100</f>
        <v>1.01</v>
      </c>
      <c r="R677" s="3">
        <f>$D677*TCA!Q677/100</f>
        <v>180</v>
      </c>
      <c r="S677" s="3">
        <f>$D677*TCA!R677/100</f>
        <v>751</v>
      </c>
      <c r="T677" s="3">
        <f>$D677*TCA!S677/100</f>
        <v>1.83</v>
      </c>
      <c r="U677" s="3">
        <f>$D677*TCA!T677/100</f>
        <v>0</v>
      </c>
      <c r="V677" s="3">
        <f>$D677*TCA!U677/100</f>
        <v>0</v>
      </c>
      <c r="W677" s="3">
        <f>$D677*TCA!V677/100</f>
        <v>75</v>
      </c>
      <c r="X677" s="3">
        <f>$D677*TCA!W677/100</f>
        <v>0</v>
      </c>
    </row>
    <row r="678" spans="1:24" x14ac:dyDescent="0.25">
      <c r="A678" s="3" t="s">
        <v>2032</v>
      </c>
      <c r="B678" s="3" t="s">
        <v>1334</v>
      </c>
      <c r="C678" s="3" t="s">
        <v>1335</v>
      </c>
      <c r="D678" s="3">
        <v>100</v>
      </c>
      <c r="E678" s="3">
        <f>$D678*TCA!E678/100</f>
        <v>610.88</v>
      </c>
      <c r="F678" s="3">
        <f>$D678*TCA!F678/100</f>
        <v>25.8</v>
      </c>
      <c r="G678" s="3">
        <f>$D678*TCA!G678/100</f>
        <v>49.24</v>
      </c>
      <c r="H678" s="3">
        <f>$D678*TCA!H678/100</f>
        <v>16.13</v>
      </c>
      <c r="I678" s="3">
        <f>$D678*TCA!I678/100</f>
        <v>8.5</v>
      </c>
      <c r="J678" s="3">
        <f>$D678*TCA!J678/100</f>
        <v>6.18</v>
      </c>
      <c r="K678" s="3">
        <f>$D678*TCA!K678/100</f>
        <v>24.43</v>
      </c>
      <c r="L678" s="3">
        <f>$D678*TCA!L678/100</f>
        <v>15.56</v>
      </c>
      <c r="M678" s="3">
        <f>$D678*TCA!M678/100</f>
        <v>0</v>
      </c>
      <c r="N678" s="3">
        <f>$D678*TCA!N678/100</f>
        <v>92</v>
      </c>
      <c r="O678" s="3">
        <f>$D678*TCA!O678/100</f>
        <v>376</v>
      </c>
      <c r="P678" s="3">
        <f t="shared" si="10"/>
        <v>14.573643410852712</v>
      </c>
      <c r="Q678" s="3">
        <f>$D678*TCA!P678/100</f>
        <v>4.58</v>
      </c>
      <c r="R678" s="3">
        <f>$D678*TCA!Q678/100</f>
        <v>70.5</v>
      </c>
      <c r="S678" s="3">
        <f>$D678*TCA!R678/100</f>
        <v>18</v>
      </c>
      <c r="T678" s="3">
        <f>$D678*TCA!S678/100</f>
        <v>3.27</v>
      </c>
      <c r="U678" s="3">
        <f>$D678*TCA!T678/100</f>
        <v>0</v>
      </c>
      <c r="V678" s="3">
        <f>$D678*TCA!U678/100</f>
        <v>0</v>
      </c>
      <c r="W678" s="3">
        <f>$D678*TCA!V678/100</f>
        <v>240</v>
      </c>
      <c r="X678" s="3">
        <f>$D678*TCA!W678/100</f>
        <v>0</v>
      </c>
    </row>
    <row r="679" spans="1:24" x14ac:dyDescent="0.25">
      <c r="A679" s="3" t="s">
        <v>2032</v>
      </c>
      <c r="B679" s="3" t="s">
        <v>1336</v>
      </c>
      <c r="C679" s="3" t="s">
        <v>1337</v>
      </c>
      <c r="D679" s="3">
        <v>100</v>
      </c>
      <c r="E679" s="3">
        <f>$D679*TCA!E679/100</f>
        <v>645.66</v>
      </c>
      <c r="F679" s="3">
        <f>$D679*TCA!F679/100</f>
        <v>28.03</v>
      </c>
      <c r="G679" s="3">
        <f>$D679*TCA!G679/100</f>
        <v>52.5</v>
      </c>
      <c r="H679" s="3">
        <f>$D679*TCA!H679/100</f>
        <v>15.26</v>
      </c>
      <c r="I679" s="3">
        <f>$D679*TCA!I679/100</f>
        <v>9.4</v>
      </c>
      <c r="J679" s="3">
        <f>$D679*TCA!J679/100</f>
        <v>8.67</v>
      </c>
      <c r="K679" s="3">
        <f>$D679*TCA!K679/100</f>
        <v>25.94</v>
      </c>
      <c r="L679" s="3">
        <f>$D679*TCA!L679/100</f>
        <v>15.27</v>
      </c>
      <c r="M679" s="3">
        <f>$D679*TCA!M679/100</f>
        <v>0</v>
      </c>
      <c r="N679" s="3">
        <f>$D679*TCA!N679/100</f>
        <v>61</v>
      </c>
      <c r="O679" s="3">
        <f>$D679*TCA!O679/100</f>
        <v>397</v>
      </c>
      <c r="P679" s="3">
        <f t="shared" si="10"/>
        <v>14.163396361041741</v>
      </c>
      <c r="Q679" s="3">
        <f>$D679*TCA!P679/100</f>
        <v>1.52</v>
      </c>
      <c r="R679" s="3">
        <f>$D679*TCA!Q679/100</f>
        <v>726</v>
      </c>
      <c r="S679" s="3">
        <f>$D679*TCA!R679/100</f>
        <v>320</v>
      </c>
      <c r="T679" s="3">
        <f>$D679*TCA!S679/100</f>
        <v>3.28</v>
      </c>
      <c r="U679" s="3">
        <f>$D679*TCA!T679/100</f>
        <v>1</v>
      </c>
      <c r="V679" s="3">
        <f>$D679*TCA!U679/100</f>
        <v>0</v>
      </c>
      <c r="W679" s="3">
        <f>$D679*TCA!V679/100</f>
        <v>120</v>
      </c>
      <c r="X679" s="3">
        <f>$D679*TCA!W679/100</f>
        <v>0</v>
      </c>
    </row>
    <row r="680" spans="1:24" x14ac:dyDescent="0.25">
      <c r="A680" s="3" t="s">
        <v>2032</v>
      </c>
      <c r="B680" s="3" t="s">
        <v>1338</v>
      </c>
      <c r="C680" s="3" t="s">
        <v>1339</v>
      </c>
      <c r="D680" s="3">
        <v>100</v>
      </c>
      <c r="E680" s="3">
        <f>$D680*TCA!E680/100</f>
        <v>627.70000000000005</v>
      </c>
      <c r="F680" s="3">
        <f>$D680*TCA!F680/100</f>
        <v>23.68</v>
      </c>
      <c r="G680" s="3">
        <f>$D680*TCA!G680/100</f>
        <v>49.66</v>
      </c>
      <c r="H680" s="3">
        <f>$D680*TCA!H680/100</f>
        <v>21.51</v>
      </c>
      <c r="I680" s="3">
        <f>$D680*TCA!I680/100</f>
        <v>8</v>
      </c>
      <c r="J680" s="3">
        <f>$D680*TCA!J680/100</f>
        <v>6.89</v>
      </c>
      <c r="K680" s="3">
        <f>$D680*TCA!K680/100</f>
        <v>24.64</v>
      </c>
      <c r="L680" s="3">
        <f>$D680*TCA!L680/100</f>
        <v>15.69</v>
      </c>
      <c r="M680" s="3">
        <f>$D680*TCA!M680/100</f>
        <v>0</v>
      </c>
      <c r="N680" s="3">
        <f>$D680*TCA!N680/100</f>
        <v>54</v>
      </c>
      <c r="O680" s="3">
        <f>$D680*TCA!O680/100</f>
        <v>358</v>
      </c>
      <c r="P680" s="3">
        <f t="shared" si="10"/>
        <v>15.118243243243244</v>
      </c>
      <c r="Q680" s="3">
        <f>$D680*TCA!P680/100</f>
        <v>2.2599999999999998</v>
      </c>
      <c r="R680" s="3">
        <f>$D680*TCA!Q680/100</f>
        <v>658</v>
      </c>
      <c r="S680" s="3">
        <f>$D680*TCA!R680/100</f>
        <v>813</v>
      </c>
      <c r="T680" s="3">
        <f>$D680*TCA!S680/100</f>
        <v>3.31</v>
      </c>
      <c r="U680" s="3">
        <f>$D680*TCA!T680/100</f>
        <v>0</v>
      </c>
      <c r="V680" s="3">
        <f>$D680*TCA!U680/100</f>
        <v>0</v>
      </c>
      <c r="W680" s="3">
        <f>$D680*TCA!V680/100</f>
        <v>145</v>
      </c>
      <c r="X680" s="3">
        <f>$D680*TCA!W680/100</f>
        <v>0</v>
      </c>
    </row>
    <row r="681" spans="1:24" x14ac:dyDescent="0.25">
      <c r="A681" s="3" t="s">
        <v>2032</v>
      </c>
      <c r="B681" s="3" t="s">
        <v>1340</v>
      </c>
      <c r="C681" s="3" t="s">
        <v>1341</v>
      </c>
      <c r="D681" s="3">
        <v>100</v>
      </c>
      <c r="E681" s="3">
        <f>$D681*TCA!E681/100</f>
        <v>894.6</v>
      </c>
      <c r="F681" s="3">
        <f>$D681*TCA!F681/100</f>
        <v>0</v>
      </c>
      <c r="G681" s="3">
        <f>$D681*TCA!G681/100</f>
        <v>99.4</v>
      </c>
      <c r="H681" s="3">
        <f>$D681*TCA!H681/100</f>
        <v>0</v>
      </c>
      <c r="I681" s="3">
        <f>$D681*TCA!I681/100</f>
        <v>0</v>
      </c>
      <c r="J681" s="3">
        <f>$D681*TCA!J681/100</f>
        <v>39.200000000000003</v>
      </c>
      <c r="K681" s="3">
        <f>$D681*TCA!K681/100</f>
        <v>45.1</v>
      </c>
      <c r="L681" s="3">
        <f>$D681*TCA!L681/100</f>
        <v>11.2</v>
      </c>
      <c r="M681" s="3">
        <f>$D681*TCA!M681/100</f>
        <v>95</v>
      </c>
      <c r="N681" s="3">
        <f>$D681*TCA!N681/100</f>
        <v>0</v>
      </c>
      <c r="O681" s="3">
        <f>$D681*TCA!O681/100</f>
        <v>0</v>
      </c>
      <c r="P681" s="3" t="e">
        <f t="shared" si="10"/>
        <v>#DIV/0!</v>
      </c>
      <c r="Q681" s="3">
        <f>$D681*TCA!P681/100</f>
        <v>0</v>
      </c>
      <c r="R681" s="3">
        <f>$D681*TCA!Q681/100</f>
        <v>0</v>
      </c>
      <c r="S681" s="3">
        <f>$D681*TCA!R681/100</f>
        <v>0</v>
      </c>
      <c r="T681" s="3">
        <f>$D681*TCA!S681/100</f>
        <v>0.11</v>
      </c>
      <c r="U681" s="3">
        <f>$D681*TCA!T681/100</f>
        <v>0</v>
      </c>
      <c r="V681" s="3">
        <f>$D681*TCA!U681/100</f>
        <v>0</v>
      </c>
      <c r="W681" s="3">
        <f>$D681*TCA!V681/100</f>
        <v>0</v>
      </c>
      <c r="X681" s="3">
        <f>$D681*TCA!W681/100</f>
        <v>0</v>
      </c>
    </row>
    <row r="682" spans="1:24" x14ac:dyDescent="0.25">
      <c r="A682" s="3" t="s">
        <v>2032</v>
      </c>
      <c r="B682" s="3" t="s">
        <v>1342</v>
      </c>
      <c r="C682" s="3" t="s">
        <v>1343</v>
      </c>
      <c r="D682" s="3">
        <v>100</v>
      </c>
      <c r="E682" s="3">
        <f>$D682*TCA!E682/100</f>
        <v>509.1</v>
      </c>
      <c r="F682" s="3">
        <f>$D682*TCA!F682/100</f>
        <v>3.3</v>
      </c>
      <c r="G682" s="3">
        <f>$D682*TCA!G682/100</f>
        <v>55.1</v>
      </c>
      <c r="H682" s="3">
        <f>$D682*TCA!H682/100</f>
        <v>0</v>
      </c>
      <c r="I682" s="3">
        <f>$D682*TCA!I682/100</f>
        <v>0</v>
      </c>
      <c r="J682" s="3">
        <f>$D682*TCA!J682/100</f>
        <v>34.32</v>
      </c>
      <c r="K682" s="3">
        <f>$D682*TCA!K682/100</f>
        <v>15.93</v>
      </c>
      <c r="L682" s="3">
        <f>$D682*TCA!L682/100</f>
        <v>2.0499999999999998</v>
      </c>
      <c r="M682" s="3">
        <f>$D682*TCA!M682/100</f>
        <v>106</v>
      </c>
      <c r="N682" s="3">
        <f>$D682*TCA!N682/100</f>
        <v>48</v>
      </c>
      <c r="O682" s="3">
        <f>$D682*TCA!O682/100</f>
        <v>34</v>
      </c>
      <c r="P682" s="3">
        <f t="shared" si="10"/>
        <v>10.303030303030303</v>
      </c>
      <c r="Q682" s="3">
        <f>$D682*TCA!P682/100</f>
        <v>1.0900000000000001</v>
      </c>
      <c r="R682" s="3">
        <f>$D682*TCA!Q682/100</f>
        <v>71</v>
      </c>
      <c r="S682" s="3">
        <f>$D682*TCA!R682/100</f>
        <v>450</v>
      </c>
      <c r="T682" s="3">
        <f>$D682*TCA!S682/100</f>
        <v>0.26</v>
      </c>
      <c r="U682" s="3">
        <f>$D682*TCA!T682/100</f>
        <v>0</v>
      </c>
      <c r="V682" s="3">
        <f>$D682*TCA!U682/100</f>
        <v>465</v>
      </c>
      <c r="W682" s="3">
        <f>$D682*TCA!V682/100</f>
        <v>1</v>
      </c>
      <c r="X682" s="3">
        <f>$D682*TCA!W682/100</f>
        <v>0.13</v>
      </c>
    </row>
    <row r="683" spans="1:24" x14ac:dyDescent="0.25">
      <c r="A683" s="3" t="s">
        <v>2032</v>
      </c>
      <c r="B683" s="3" t="s">
        <v>1344</v>
      </c>
      <c r="C683" s="3" t="s">
        <v>1345</v>
      </c>
      <c r="D683" s="3">
        <v>100</v>
      </c>
      <c r="E683" s="3">
        <f>$D683*TCA!E683/100</f>
        <v>733.63</v>
      </c>
      <c r="F683" s="3">
        <f>$D683*TCA!F683/100</f>
        <v>0.85</v>
      </c>
      <c r="G683" s="3">
        <f>$D683*TCA!G683/100</f>
        <v>81.11</v>
      </c>
      <c r="H683" s="3">
        <f>$D683*TCA!H683/100</f>
        <v>0.06</v>
      </c>
      <c r="I683" s="3">
        <f>$D683*TCA!I683/100</f>
        <v>0</v>
      </c>
      <c r="J683" s="3">
        <f>$D683*TCA!J683/100</f>
        <v>51.37</v>
      </c>
      <c r="K683" s="3">
        <f>$D683*TCA!K683/100</f>
        <v>21.02</v>
      </c>
      <c r="L683" s="3">
        <f>$D683*TCA!L683/100</f>
        <v>3.04</v>
      </c>
      <c r="M683" s="3">
        <f>$D683*TCA!M683/100</f>
        <v>215</v>
      </c>
      <c r="N683" s="3">
        <f>$D683*TCA!N683/100</f>
        <v>24</v>
      </c>
      <c r="O683" s="3">
        <f>$D683*TCA!O683/100</f>
        <v>24</v>
      </c>
      <c r="P683" s="3">
        <f t="shared" si="10"/>
        <v>28.235294117647058</v>
      </c>
      <c r="Q683" s="3">
        <f>$D683*TCA!P683/100</f>
        <v>0.02</v>
      </c>
      <c r="R683" s="3">
        <f>$D683*TCA!Q683/100</f>
        <v>24</v>
      </c>
      <c r="S683" s="3">
        <f>$D683*TCA!R683/100</f>
        <v>576</v>
      </c>
      <c r="T683" s="3">
        <f>$D683*TCA!S683/100</f>
        <v>0.09</v>
      </c>
      <c r="U683" s="3">
        <f>$D683*TCA!T683/100</f>
        <v>0</v>
      </c>
      <c r="V683" s="3">
        <f>$D683*TCA!U683/100</f>
        <v>684</v>
      </c>
      <c r="W683" s="3">
        <f>$D683*TCA!V683/100</f>
        <v>3</v>
      </c>
      <c r="X683" s="3">
        <f>$D683*TCA!W683/100</f>
        <v>0.17</v>
      </c>
    </row>
    <row r="684" spans="1:24" x14ac:dyDescent="0.25">
      <c r="A684" s="3" t="s">
        <v>2032</v>
      </c>
      <c r="B684" s="3" t="s">
        <v>1346</v>
      </c>
      <c r="C684" s="3" t="s">
        <v>1347</v>
      </c>
      <c r="D684" s="3">
        <v>100</v>
      </c>
      <c r="E684" s="3">
        <f>$D684*TCA!E684/100</f>
        <v>610</v>
      </c>
      <c r="F684" s="3">
        <f>$D684*TCA!F684/100</f>
        <v>20</v>
      </c>
      <c r="G684" s="3">
        <f>$D684*TCA!G684/100</f>
        <v>50</v>
      </c>
      <c r="H684" s="3">
        <f>$D684*TCA!H684/100</f>
        <v>20</v>
      </c>
      <c r="I684" s="3">
        <f>$D684*TCA!I684/100</f>
        <v>15</v>
      </c>
      <c r="J684" s="3">
        <f>$D684*TCA!J684/100</f>
        <v>5</v>
      </c>
      <c r="K684" s="3">
        <f>$D684*TCA!K684/100</f>
        <v>30</v>
      </c>
      <c r="L684" s="3">
        <f>$D684*TCA!L684/100</f>
        <v>12.5</v>
      </c>
      <c r="M684" s="3">
        <f>$D684*TCA!M684/100</f>
        <v>0</v>
      </c>
      <c r="N684" s="3">
        <f>$D684*TCA!N684/100</f>
        <v>0</v>
      </c>
      <c r="O684" s="3">
        <f>$D684*TCA!O684/100</f>
        <v>0</v>
      </c>
      <c r="P684" s="3">
        <f t="shared" si="10"/>
        <v>0</v>
      </c>
      <c r="Q684" s="3">
        <f>$D684*TCA!P684/100</f>
        <v>0</v>
      </c>
      <c r="R684" s="3">
        <f>$D684*TCA!Q684/100</f>
        <v>0</v>
      </c>
      <c r="S684" s="3">
        <f>$D684*TCA!R684/100</f>
        <v>0</v>
      </c>
      <c r="T684" s="3">
        <f>$D684*TCA!S684/100</f>
        <v>0</v>
      </c>
      <c r="U684" s="3">
        <f>$D684*TCA!T684/100</f>
        <v>0</v>
      </c>
      <c r="V684" s="3">
        <f>$D684*TCA!U684/100</f>
        <v>0</v>
      </c>
      <c r="W684" s="3">
        <f>$D684*TCA!V684/100</f>
        <v>0</v>
      </c>
      <c r="X684" s="3">
        <f>$D684*TCA!W684/100</f>
        <v>0</v>
      </c>
    </row>
    <row r="685" spans="1:24" x14ac:dyDescent="0.25">
      <c r="A685" s="3" t="s">
        <v>2032</v>
      </c>
      <c r="B685" s="3" t="s">
        <v>1348</v>
      </c>
      <c r="C685" s="3" t="s">
        <v>1349</v>
      </c>
      <c r="D685" s="3">
        <v>100</v>
      </c>
      <c r="E685" s="3">
        <f>$D685*TCA!E685/100</f>
        <v>623.53</v>
      </c>
      <c r="F685" s="3">
        <f>$D685*TCA!F685/100</f>
        <v>20.59</v>
      </c>
      <c r="G685" s="3">
        <f>$D685*TCA!G685/100</f>
        <v>47.06</v>
      </c>
      <c r="H685" s="3">
        <f>$D685*TCA!H685/100</f>
        <v>29.41</v>
      </c>
      <c r="I685" s="3">
        <f>$D685*TCA!I685/100</f>
        <v>5.88</v>
      </c>
      <c r="J685" s="3">
        <f>$D685*TCA!J685/100</f>
        <v>8.82</v>
      </c>
      <c r="K685" s="3">
        <f>$D685*TCA!K685/100</f>
        <v>0</v>
      </c>
      <c r="L685" s="3">
        <f>$D685*TCA!L685/100</f>
        <v>0</v>
      </c>
      <c r="M685" s="3">
        <f>$D685*TCA!M685/100</f>
        <v>0</v>
      </c>
      <c r="N685" s="3">
        <f>$D685*TCA!N685/100</f>
        <v>0</v>
      </c>
      <c r="O685" s="3">
        <f>$D685*TCA!O685/100</f>
        <v>0</v>
      </c>
      <c r="P685" s="3">
        <f t="shared" si="10"/>
        <v>0</v>
      </c>
      <c r="Q685" s="3">
        <f>$D685*TCA!P685/100</f>
        <v>1.18</v>
      </c>
      <c r="R685" s="3">
        <f>$D685*TCA!Q685/100</f>
        <v>470.59</v>
      </c>
      <c r="S685" s="3">
        <f>$D685*TCA!R685/100</f>
        <v>323.52999999999997</v>
      </c>
      <c r="T685" s="3">
        <f>$D685*TCA!S685/100</f>
        <v>0</v>
      </c>
      <c r="U685" s="3">
        <f>$D685*TCA!T685/100</f>
        <v>0</v>
      </c>
      <c r="V685" s="3">
        <f>$D685*TCA!U685/100</f>
        <v>0</v>
      </c>
      <c r="W685" s="3">
        <f>$D685*TCA!V685/100</f>
        <v>0</v>
      </c>
      <c r="X685" s="3">
        <f>$D685*TCA!W685/100</f>
        <v>0</v>
      </c>
    </row>
    <row r="686" spans="1:24" x14ac:dyDescent="0.25">
      <c r="A686" s="3" t="s">
        <v>2032</v>
      </c>
      <c r="B686" s="3" t="s">
        <v>1350</v>
      </c>
      <c r="C686" s="3" t="s">
        <v>1351</v>
      </c>
      <c r="D686" s="3">
        <v>100</v>
      </c>
      <c r="E686" s="3">
        <f>$D686*TCA!E686/100</f>
        <v>552.20000000000005</v>
      </c>
      <c r="F686" s="3">
        <f>$D686*TCA!F686/100</f>
        <v>25.9</v>
      </c>
      <c r="G686" s="3">
        <f>$D686*TCA!G686/100</f>
        <v>34</v>
      </c>
      <c r="H686" s="3">
        <f>$D686*TCA!H686/100</f>
        <v>35.65</v>
      </c>
      <c r="I686" s="3">
        <f>$D686*TCA!I686/100</f>
        <v>5.2</v>
      </c>
      <c r="J686" s="3">
        <f>$D686*TCA!J686/100</f>
        <v>5.76</v>
      </c>
      <c r="K686" s="3">
        <f>$D686*TCA!K686/100</f>
        <v>16.16</v>
      </c>
      <c r="L686" s="3">
        <f>$D686*TCA!L686/100</f>
        <v>9.18</v>
      </c>
      <c r="M686" s="3">
        <f>$D686*TCA!M686/100</f>
        <v>0</v>
      </c>
      <c r="N686" s="3">
        <f>$D686*TCA!N686/100</f>
        <v>35</v>
      </c>
      <c r="O686" s="3">
        <f>$D686*TCA!O686/100</f>
        <v>369</v>
      </c>
      <c r="P686" s="3">
        <f t="shared" si="10"/>
        <v>14.247104247104248</v>
      </c>
      <c r="Q686" s="3">
        <f>$D686*TCA!P686/100</f>
        <v>1.9</v>
      </c>
      <c r="R686" s="3">
        <f>$D686*TCA!Q686/100</f>
        <v>669</v>
      </c>
      <c r="S686" s="3">
        <f>$D686*TCA!R686/100</f>
        <v>540</v>
      </c>
      <c r="T686" s="3">
        <f>$D686*TCA!S686/100</f>
        <v>2.08</v>
      </c>
      <c r="U686" s="3">
        <f>$D686*TCA!T686/100</f>
        <v>0</v>
      </c>
      <c r="V686" s="3">
        <f>$D686*TCA!U686/100</f>
        <v>0</v>
      </c>
      <c r="W686" s="3">
        <f>$D686*TCA!V686/100</f>
        <v>60</v>
      </c>
      <c r="X686" s="3">
        <f>$D686*TCA!W686/100</f>
        <v>0</v>
      </c>
    </row>
    <row r="687" spans="1:24" x14ac:dyDescent="0.25">
      <c r="A687" s="3" t="s">
        <v>2032</v>
      </c>
      <c r="B687" s="3" t="s">
        <v>1352</v>
      </c>
      <c r="C687" s="3" t="s">
        <v>1353</v>
      </c>
      <c r="D687" s="3">
        <v>100</v>
      </c>
      <c r="E687" s="3">
        <f>$D687*TCA!E687/100</f>
        <v>666.67</v>
      </c>
      <c r="F687" s="3">
        <f>$D687*TCA!F687/100</f>
        <v>20</v>
      </c>
      <c r="G687" s="3">
        <f>$D687*TCA!G687/100</f>
        <v>53.33</v>
      </c>
      <c r="H687" s="3">
        <f>$D687*TCA!H687/100</f>
        <v>26.67</v>
      </c>
      <c r="I687" s="3">
        <f>$D687*TCA!I687/100</f>
        <v>0</v>
      </c>
      <c r="J687" s="3">
        <f>$D687*TCA!J687/100</f>
        <v>10</v>
      </c>
      <c r="K687" s="3">
        <f>$D687*TCA!K687/100</f>
        <v>33.33</v>
      </c>
      <c r="L687" s="3">
        <f>$D687*TCA!L687/100</f>
        <v>10</v>
      </c>
      <c r="M687" s="3">
        <f>$D687*TCA!M687/100</f>
        <v>0</v>
      </c>
      <c r="N687" s="3">
        <f>$D687*TCA!N687/100</f>
        <v>0</v>
      </c>
      <c r="O687" s="3">
        <f>$D687*TCA!O687/100</f>
        <v>0</v>
      </c>
      <c r="P687" s="3">
        <f t="shared" si="10"/>
        <v>0</v>
      </c>
      <c r="Q687" s="3">
        <f>$D687*TCA!P687/100</f>
        <v>0</v>
      </c>
      <c r="R687" s="3">
        <f>$D687*TCA!Q687/100</f>
        <v>0</v>
      </c>
      <c r="S687" s="3">
        <f>$D687*TCA!R687/100</f>
        <v>33.33</v>
      </c>
      <c r="T687" s="3">
        <f>$D687*TCA!S687/100</f>
        <v>0</v>
      </c>
      <c r="U687" s="3">
        <f>$D687*TCA!T687/100</f>
        <v>0</v>
      </c>
      <c r="V687" s="3">
        <f>$D687*TCA!U687/100</f>
        <v>0</v>
      </c>
      <c r="W687" s="3">
        <f>$D687*TCA!V687/100</f>
        <v>0</v>
      </c>
      <c r="X687" s="3">
        <f>$D687*TCA!W687/100</f>
        <v>0</v>
      </c>
    </row>
    <row r="688" spans="1:24" x14ac:dyDescent="0.25">
      <c r="A688" s="3" t="s">
        <v>2032</v>
      </c>
      <c r="B688" s="3" t="s">
        <v>1354</v>
      </c>
      <c r="C688" s="3" t="s">
        <v>1355</v>
      </c>
      <c r="D688" s="3">
        <v>100</v>
      </c>
      <c r="E688" s="3">
        <f>$D688*TCA!E688/100</f>
        <v>637.29999999999995</v>
      </c>
      <c r="F688" s="3">
        <f>$D688*TCA!F688/100</f>
        <v>22.05</v>
      </c>
      <c r="G688" s="3">
        <f>$D688*TCA!G688/100</f>
        <v>51.1</v>
      </c>
      <c r="H688" s="3">
        <f>$D688*TCA!H688/100</f>
        <v>22.3</v>
      </c>
      <c r="I688" s="3">
        <f>$D688*TCA!I688/100</f>
        <v>4.8</v>
      </c>
      <c r="J688" s="3">
        <f>$D688*TCA!J688/100</f>
        <v>10.1</v>
      </c>
      <c r="K688" s="3">
        <f>$D688*TCA!K688/100</f>
        <v>25.4</v>
      </c>
      <c r="L688" s="3">
        <f>$D688*TCA!L688/100</f>
        <v>12.3</v>
      </c>
      <c r="M688" s="3">
        <f>$D688*TCA!M688/100</f>
        <v>0</v>
      </c>
      <c r="N688" s="3">
        <f>$D688*TCA!N688/100</f>
        <v>49</v>
      </c>
      <c r="O688" s="3">
        <f>$D688*TCA!O688/100</f>
        <v>339</v>
      </c>
      <c r="P688" s="3">
        <f t="shared" si="10"/>
        <v>15.374149659863946</v>
      </c>
      <c r="Q688" s="3">
        <f>$D688*TCA!P688/100</f>
        <v>1.73</v>
      </c>
      <c r="R688" s="3">
        <f>$D688*TCA!Q688/100</f>
        <v>564</v>
      </c>
      <c r="S688" s="3">
        <f>$D688*TCA!R688/100</f>
        <v>429</v>
      </c>
      <c r="T688" s="3">
        <f>$D688*TCA!S688/100</f>
        <v>2.54</v>
      </c>
      <c r="U688" s="3">
        <f>$D688*TCA!T688/100</f>
        <v>0</v>
      </c>
      <c r="V688" s="3">
        <f>$D688*TCA!U688/100</f>
        <v>0</v>
      </c>
      <c r="W688" s="3">
        <f>$D688*TCA!V688/100</f>
        <v>86</v>
      </c>
      <c r="X688" s="3">
        <f>$D688*TCA!W688/100</f>
        <v>0</v>
      </c>
    </row>
    <row r="689" spans="1:24" x14ac:dyDescent="0.25">
      <c r="A689" s="3" t="s">
        <v>2032</v>
      </c>
      <c r="B689" s="3" t="s">
        <v>1356</v>
      </c>
      <c r="C689" s="3" t="s">
        <v>1357</v>
      </c>
      <c r="D689" s="3">
        <v>100</v>
      </c>
      <c r="E689" s="3">
        <f>$D689*TCA!E689/100</f>
        <v>637.5</v>
      </c>
      <c r="F689" s="3">
        <f>$D689*TCA!F689/100</f>
        <v>21.88</v>
      </c>
      <c r="G689" s="3">
        <f>$D689*TCA!G689/100</f>
        <v>50</v>
      </c>
      <c r="H689" s="3">
        <f>$D689*TCA!H689/100</f>
        <v>25</v>
      </c>
      <c r="I689" s="3">
        <f>$D689*TCA!I689/100</f>
        <v>6.25</v>
      </c>
      <c r="J689" s="3">
        <f>$D689*TCA!J689/100</f>
        <v>7.81</v>
      </c>
      <c r="K689" s="3">
        <f>$D689*TCA!K689/100</f>
        <v>0</v>
      </c>
      <c r="L689" s="3">
        <f>$D689*TCA!L689/100</f>
        <v>0</v>
      </c>
      <c r="M689" s="3">
        <f>$D689*TCA!M689/100</f>
        <v>0</v>
      </c>
      <c r="N689" s="3">
        <f>$D689*TCA!N689/100</f>
        <v>0</v>
      </c>
      <c r="O689" s="3">
        <f>$D689*TCA!O689/100</f>
        <v>0</v>
      </c>
      <c r="P689" s="3">
        <f t="shared" si="10"/>
        <v>0</v>
      </c>
      <c r="Q689" s="3">
        <f>$D689*TCA!P689/100</f>
        <v>0</v>
      </c>
      <c r="R689" s="3">
        <f>$D689*TCA!Q689/100</f>
        <v>0</v>
      </c>
      <c r="S689" s="3">
        <f>$D689*TCA!R689/100</f>
        <v>421.88</v>
      </c>
      <c r="T689" s="3">
        <f>$D689*TCA!S689/100</f>
        <v>0</v>
      </c>
      <c r="U689" s="3">
        <f>$D689*TCA!T689/100</f>
        <v>0</v>
      </c>
      <c r="V689" s="3">
        <f>$D689*TCA!U689/100</f>
        <v>0</v>
      </c>
      <c r="W689" s="3">
        <f>$D689*TCA!V689/100</f>
        <v>0</v>
      </c>
      <c r="X689" s="3">
        <f>$D689*TCA!W689/100</f>
        <v>0</v>
      </c>
    </row>
    <row r="690" spans="1:24" x14ac:dyDescent="0.25">
      <c r="A690" s="3" t="s">
        <v>2032</v>
      </c>
      <c r="B690" s="3" t="s">
        <v>1358</v>
      </c>
      <c r="C690" s="3" t="s">
        <v>1359</v>
      </c>
      <c r="D690" s="3">
        <v>100</v>
      </c>
      <c r="E690" s="3">
        <f>$D690*TCA!E690/100</f>
        <v>640</v>
      </c>
      <c r="F690" s="3">
        <f>$D690*TCA!F690/100</f>
        <v>26.67</v>
      </c>
      <c r="G690" s="3">
        <f>$D690*TCA!G690/100</f>
        <v>53.33</v>
      </c>
      <c r="H690" s="3">
        <f>$D690*TCA!H690/100</f>
        <v>13.33</v>
      </c>
      <c r="I690" s="3">
        <f>$D690*TCA!I690/100</f>
        <v>0</v>
      </c>
      <c r="J690" s="3">
        <f>$D690*TCA!J690/100</f>
        <v>13.33</v>
      </c>
      <c r="K690" s="3">
        <f>$D690*TCA!K690/100</f>
        <v>20</v>
      </c>
      <c r="L690" s="3">
        <f>$D690*TCA!L690/100</f>
        <v>20</v>
      </c>
      <c r="M690" s="3">
        <f>$D690*TCA!M690/100</f>
        <v>0</v>
      </c>
      <c r="N690" s="3">
        <f>$D690*TCA!N690/100</f>
        <v>0</v>
      </c>
      <c r="O690" s="3">
        <f>$D690*TCA!O690/100</f>
        <v>0</v>
      </c>
      <c r="P690" s="3">
        <f t="shared" si="10"/>
        <v>0</v>
      </c>
      <c r="Q690" s="3">
        <f>$D690*TCA!P690/100</f>
        <v>0</v>
      </c>
      <c r="R690" s="3">
        <f>$D690*TCA!Q690/100</f>
        <v>0</v>
      </c>
      <c r="S690" s="3">
        <f>$D690*TCA!R690/100</f>
        <v>166.67</v>
      </c>
      <c r="T690" s="3">
        <f>$D690*TCA!S690/100</f>
        <v>0</v>
      </c>
      <c r="U690" s="3">
        <f>$D690*TCA!T690/100</f>
        <v>0</v>
      </c>
      <c r="V690" s="3">
        <f>$D690*TCA!U690/100</f>
        <v>0</v>
      </c>
      <c r="W690" s="3">
        <f>$D690*TCA!V690/100</f>
        <v>0</v>
      </c>
      <c r="X690" s="3">
        <f>$D690*TCA!W690/100</f>
        <v>0</v>
      </c>
    </row>
    <row r="691" spans="1:24" x14ac:dyDescent="0.25">
      <c r="A691" s="3" t="s">
        <v>2032</v>
      </c>
      <c r="B691" s="3" t="s">
        <v>1360</v>
      </c>
      <c r="C691" s="3" t="s">
        <v>1361</v>
      </c>
      <c r="D691" s="3">
        <v>100</v>
      </c>
      <c r="E691" s="3">
        <f>$D691*TCA!E691/100</f>
        <v>650</v>
      </c>
      <c r="F691" s="3">
        <f>$D691*TCA!F691/100</f>
        <v>28.57</v>
      </c>
      <c r="G691" s="3">
        <f>$D691*TCA!G691/100</f>
        <v>50</v>
      </c>
      <c r="H691" s="3">
        <f>$D691*TCA!H691/100</f>
        <v>21.43</v>
      </c>
      <c r="I691" s="3">
        <f>$D691*TCA!I691/100</f>
        <v>7.14</v>
      </c>
      <c r="J691" s="3">
        <f>$D691*TCA!J691/100</f>
        <v>7.14</v>
      </c>
      <c r="K691" s="3">
        <f>$D691*TCA!K691/100</f>
        <v>35.71</v>
      </c>
      <c r="L691" s="3">
        <f>$D691*TCA!L691/100</f>
        <v>7.14</v>
      </c>
      <c r="M691" s="3">
        <f>$D691*TCA!M691/100</f>
        <v>0</v>
      </c>
      <c r="N691" s="3">
        <f>$D691*TCA!N691/100</f>
        <v>0</v>
      </c>
      <c r="O691" s="3">
        <f>$D691*TCA!O691/100</f>
        <v>0</v>
      </c>
      <c r="P691" s="3">
        <f t="shared" si="10"/>
        <v>0</v>
      </c>
      <c r="Q691" s="3">
        <f>$D691*TCA!P691/100</f>
        <v>0</v>
      </c>
      <c r="R691" s="3">
        <f>$D691*TCA!Q691/100</f>
        <v>0</v>
      </c>
      <c r="S691" s="3">
        <f>$D691*TCA!R691/100</f>
        <v>214.29</v>
      </c>
      <c r="T691" s="3">
        <f>$D691*TCA!S691/100</f>
        <v>0</v>
      </c>
      <c r="U691" s="3">
        <f>$D691*TCA!T691/100</f>
        <v>0</v>
      </c>
      <c r="V691" s="3">
        <f>$D691*TCA!U691/100</f>
        <v>0</v>
      </c>
      <c r="W691" s="3">
        <f>$D691*TCA!V691/100</f>
        <v>0</v>
      </c>
      <c r="X691" s="3">
        <f>$D691*TCA!W691/100</f>
        <v>0</v>
      </c>
    </row>
    <row r="692" spans="1:24" x14ac:dyDescent="0.25">
      <c r="A692" s="3" t="s">
        <v>2032</v>
      </c>
      <c r="B692" s="3" t="s">
        <v>1362</v>
      </c>
      <c r="C692" s="3" t="s">
        <v>1363</v>
      </c>
      <c r="D692" s="3">
        <v>100</v>
      </c>
      <c r="E692" s="3">
        <f>$D692*TCA!E692/100</f>
        <v>733.63</v>
      </c>
      <c r="F692" s="3">
        <f>$D692*TCA!F692/100</f>
        <v>0.85</v>
      </c>
      <c r="G692" s="3">
        <f>$D692*TCA!G692/100</f>
        <v>81.11</v>
      </c>
      <c r="H692" s="3">
        <f>$D692*TCA!H692/100</f>
        <v>0.06</v>
      </c>
      <c r="I692" s="3">
        <f>$D692*TCA!I692/100</f>
        <v>0</v>
      </c>
      <c r="J692" s="3">
        <f>$D692*TCA!J692/100</f>
        <v>51.37</v>
      </c>
      <c r="K692" s="3">
        <f>$D692*TCA!K692/100</f>
        <v>21.02</v>
      </c>
      <c r="L692" s="3">
        <f>$D692*TCA!L692/100</f>
        <v>3.04</v>
      </c>
      <c r="M692" s="3">
        <f>$D692*TCA!M692/100</f>
        <v>215</v>
      </c>
      <c r="N692" s="3">
        <f>$D692*TCA!N692/100</f>
        <v>24</v>
      </c>
      <c r="O692" s="3">
        <f>$D692*TCA!O692/100</f>
        <v>24</v>
      </c>
      <c r="P692" s="3">
        <f t="shared" si="10"/>
        <v>28.235294117647058</v>
      </c>
      <c r="Q692" s="3">
        <f>$D692*TCA!P692/100</f>
        <v>0.02</v>
      </c>
      <c r="R692" s="3">
        <f>$D692*TCA!Q692/100</f>
        <v>24</v>
      </c>
      <c r="S692" s="3">
        <f>$D692*TCA!R692/100</f>
        <v>11</v>
      </c>
      <c r="T692" s="3">
        <f>$D692*TCA!S692/100</f>
        <v>0.09</v>
      </c>
      <c r="U692" s="3">
        <f>$D692*TCA!T692/100</f>
        <v>0</v>
      </c>
      <c r="V692" s="3">
        <f>$D692*TCA!U692/100</f>
        <v>684</v>
      </c>
      <c r="W692" s="3">
        <f>$D692*TCA!V692/100</f>
        <v>3</v>
      </c>
      <c r="X692" s="3">
        <f>$D692*TCA!W692/100</f>
        <v>0.17</v>
      </c>
    </row>
    <row r="693" spans="1:24" x14ac:dyDescent="0.25">
      <c r="A693" s="3" t="s">
        <v>2032</v>
      </c>
      <c r="B693" s="3" t="s">
        <v>1364</v>
      </c>
      <c r="C693" s="3" t="s">
        <v>1365</v>
      </c>
      <c r="D693" s="3">
        <v>100</v>
      </c>
      <c r="E693" s="3">
        <f>$D693*TCA!E693/100</f>
        <v>177.1</v>
      </c>
      <c r="F693" s="3">
        <f>$D693*TCA!F693/100</f>
        <v>0</v>
      </c>
      <c r="G693" s="3">
        <f>$D693*TCA!G693/100</f>
        <v>19.5</v>
      </c>
      <c r="H693" s="3">
        <f>$D693*TCA!H693/100</f>
        <v>0.4</v>
      </c>
      <c r="I693" s="3">
        <f>$D693*TCA!I693/100</f>
        <v>0</v>
      </c>
      <c r="J693" s="3">
        <f>$D693*TCA!J693/100</f>
        <v>2.87</v>
      </c>
      <c r="K693" s="3">
        <f>$D693*TCA!K693/100</f>
        <v>7.48</v>
      </c>
      <c r="L693" s="3">
        <f>$D693*TCA!L693/100</f>
        <v>8.0399999999999991</v>
      </c>
      <c r="M693" s="3">
        <f>$D693*TCA!M693/100</f>
        <v>0</v>
      </c>
      <c r="N693" s="3">
        <f>$D693*TCA!N693/100</f>
        <v>0</v>
      </c>
      <c r="O693" s="3">
        <f>$D693*TCA!O693/100</f>
        <v>14</v>
      </c>
      <c r="P693" s="3" t="e">
        <f t="shared" si="10"/>
        <v>#DIV/0!</v>
      </c>
      <c r="Q693" s="3">
        <f>$D693*TCA!P693/100</f>
        <v>0</v>
      </c>
      <c r="R693" s="3">
        <f>$D693*TCA!Q693/100</f>
        <v>25</v>
      </c>
      <c r="S693" s="3">
        <f>$D693*TCA!R693/100</f>
        <v>733</v>
      </c>
      <c r="T693" s="3">
        <f>$D693*TCA!S693/100</f>
        <v>0</v>
      </c>
      <c r="U693" s="3">
        <f>$D693*TCA!T693/100</f>
        <v>0</v>
      </c>
      <c r="V693" s="3">
        <f>$D693*TCA!U693/100</f>
        <v>819</v>
      </c>
      <c r="W693" s="3">
        <f>$D693*TCA!V693/100</f>
        <v>0</v>
      </c>
      <c r="X693" s="3">
        <f>$D693*TCA!W693/100</f>
        <v>0</v>
      </c>
    </row>
    <row r="694" spans="1:24" x14ac:dyDescent="0.25">
      <c r="A694" s="3" t="s">
        <v>2032</v>
      </c>
      <c r="B694" s="3" t="s">
        <v>1366</v>
      </c>
      <c r="C694" s="3" t="s">
        <v>1367</v>
      </c>
      <c r="D694" s="3">
        <v>100</v>
      </c>
      <c r="E694" s="3">
        <f>$D694*TCA!E694/100</f>
        <v>578.57000000000005</v>
      </c>
      <c r="F694" s="3">
        <f>$D694*TCA!F694/100</f>
        <v>0</v>
      </c>
      <c r="G694" s="3">
        <f>$D694*TCA!G694/100</f>
        <v>64.290000000000006</v>
      </c>
      <c r="H694" s="3">
        <f>$D694*TCA!H694/100</f>
        <v>0</v>
      </c>
      <c r="I694" s="3">
        <f>$D694*TCA!I694/100</f>
        <v>0</v>
      </c>
      <c r="J694" s="3">
        <f>$D694*TCA!J694/100</f>
        <v>42.86</v>
      </c>
      <c r="K694" s="3">
        <f>$D694*TCA!K694/100</f>
        <v>14.29</v>
      </c>
      <c r="L694" s="3">
        <f>$D694*TCA!L694/100</f>
        <v>7.14</v>
      </c>
      <c r="M694" s="3">
        <f>$D694*TCA!M694/100</f>
        <v>0</v>
      </c>
      <c r="N694" s="3">
        <f>$D694*TCA!N694/100</f>
        <v>0</v>
      </c>
      <c r="O694" s="3">
        <f>$D694*TCA!O694/100</f>
        <v>0</v>
      </c>
      <c r="P694" s="3" t="e">
        <f t="shared" si="10"/>
        <v>#DIV/0!</v>
      </c>
      <c r="Q694" s="3">
        <f>$D694*TCA!P694/100</f>
        <v>0</v>
      </c>
      <c r="R694" s="3">
        <f>$D694*TCA!Q694/100</f>
        <v>0</v>
      </c>
      <c r="S694" s="3">
        <f>$D694*TCA!R694/100</f>
        <v>1142.8599999999999</v>
      </c>
      <c r="T694" s="3">
        <f>$D694*TCA!S694/100</f>
        <v>0</v>
      </c>
      <c r="U694" s="3">
        <f>$D694*TCA!T694/100</f>
        <v>0</v>
      </c>
      <c r="V694" s="3">
        <f>$D694*TCA!U694/100</f>
        <v>0</v>
      </c>
      <c r="W694" s="3">
        <f>$D694*TCA!V694/100</f>
        <v>0</v>
      </c>
      <c r="X694" s="3">
        <f>$D694*TCA!W694/100</f>
        <v>0</v>
      </c>
    </row>
    <row r="695" spans="1:24" x14ac:dyDescent="0.25">
      <c r="A695" s="3" t="s">
        <v>2032</v>
      </c>
      <c r="B695" s="3" t="s">
        <v>1368</v>
      </c>
      <c r="C695" s="3" t="s">
        <v>1369</v>
      </c>
      <c r="D695" s="3">
        <v>100</v>
      </c>
      <c r="E695" s="3">
        <f>$D695*TCA!E695/100</f>
        <v>731.7</v>
      </c>
      <c r="F695" s="3">
        <f>$D695*TCA!F695/100</f>
        <v>0.9</v>
      </c>
      <c r="G695" s="3">
        <f>$D695*TCA!G695/100</f>
        <v>80.5</v>
      </c>
      <c r="H695" s="3">
        <f>$D695*TCA!H695/100</f>
        <v>0.9</v>
      </c>
      <c r="I695" s="3">
        <f>$D695*TCA!I695/100</f>
        <v>0</v>
      </c>
      <c r="J695" s="3">
        <f>$D695*TCA!J695/100</f>
        <v>15.8</v>
      </c>
      <c r="K695" s="3">
        <f>$D695*TCA!K695/100</f>
        <v>35.799999999999997</v>
      </c>
      <c r="L695" s="3">
        <f>$D695*TCA!L695/100</f>
        <v>25.4</v>
      </c>
      <c r="M695" s="3">
        <f>$D695*TCA!M695/100</f>
        <v>0</v>
      </c>
      <c r="N695" s="3">
        <f>$D695*TCA!N695/100</f>
        <v>30</v>
      </c>
      <c r="O695" s="3">
        <f>$D695*TCA!O695/100</f>
        <v>23</v>
      </c>
      <c r="P695" s="3">
        <f t="shared" si="10"/>
        <v>25.555555555555554</v>
      </c>
      <c r="Q695" s="3">
        <f>$D695*TCA!P695/100</f>
        <v>0.06</v>
      </c>
      <c r="R695" s="3">
        <f>$D695*TCA!Q695/100</f>
        <v>42</v>
      </c>
      <c r="S695" s="3">
        <f>$D695*TCA!R695/100</f>
        <v>943</v>
      </c>
      <c r="T695" s="3">
        <f>$D695*TCA!S695/100</f>
        <v>0</v>
      </c>
      <c r="U695" s="3">
        <f>$D695*TCA!T695/100</f>
        <v>0</v>
      </c>
      <c r="V695" s="3">
        <f>$D695*TCA!U695/100</f>
        <v>819</v>
      </c>
      <c r="W695" s="3">
        <f>$D695*TCA!V695/100</f>
        <v>1</v>
      </c>
      <c r="X695" s="3">
        <f>$D695*TCA!W695/100</f>
        <v>0.1</v>
      </c>
    </row>
    <row r="696" spans="1:24" x14ac:dyDescent="0.25">
      <c r="A696" s="3" t="s">
        <v>2032</v>
      </c>
      <c r="B696" s="3" t="s">
        <v>1370</v>
      </c>
      <c r="C696" s="3" t="s">
        <v>1371</v>
      </c>
      <c r="D696" s="3">
        <v>100</v>
      </c>
      <c r="E696" s="3">
        <f>$D696*TCA!E696/100</f>
        <v>399.8</v>
      </c>
      <c r="F696" s="3">
        <f>$D696*TCA!F696/100</f>
        <v>0.9</v>
      </c>
      <c r="G696" s="3">
        <f>$D696*TCA!G696/100</f>
        <v>33.4</v>
      </c>
      <c r="H696" s="3">
        <f>$D696*TCA!H696/100</f>
        <v>23.9</v>
      </c>
      <c r="I696" s="3">
        <f>$D696*TCA!I696/100</f>
        <v>0</v>
      </c>
      <c r="J696" s="3">
        <f>$D696*TCA!J696/100</f>
        <v>4.9000000000000004</v>
      </c>
      <c r="K696" s="3">
        <f>$D696*TCA!K696/100</f>
        <v>9</v>
      </c>
      <c r="L696" s="3">
        <f>$D696*TCA!L696/100</f>
        <v>18</v>
      </c>
      <c r="M696" s="3">
        <f>$D696*TCA!M696/100</f>
        <v>26</v>
      </c>
      <c r="N696" s="3">
        <f>$D696*TCA!N696/100</f>
        <v>14</v>
      </c>
      <c r="O696" s="3">
        <f>$D696*TCA!O696/100</f>
        <v>26</v>
      </c>
      <c r="P696" s="3">
        <f t="shared" si="10"/>
        <v>28.888888888888889</v>
      </c>
      <c r="Q696" s="3">
        <f>$D696*TCA!P696/100</f>
        <v>0.2</v>
      </c>
      <c r="R696" s="3">
        <f>$D696*TCA!Q696/100</f>
        <v>9</v>
      </c>
      <c r="S696" s="3">
        <f>$D696*TCA!R696/100</f>
        <v>711</v>
      </c>
      <c r="T696" s="3">
        <f>$D696*TCA!S696/100</f>
        <v>0.18</v>
      </c>
      <c r="U696" s="3">
        <f>$D696*TCA!T696/100</f>
        <v>0</v>
      </c>
      <c r="V696" s="3">
        <f>$D696*TCA!U696/100</f>
        <v>21</v>
      </c>
      <c r="W696" s="3">
        <f>$D696*TCA!V696/100</f>
        <v>6</v>
      </c>
      <c r="X696" s="3">
        <f>$D696*TCA!W696/100</f>
        <v>0.21</v>
      </c>
    </row>
    <row r="697" spans="1:24" x14ac:dyDescent="0.25">
      <c r="A697" s="3" t="s">
        <v>2032</v>
      </c>
      <c r="B697" s="3" t="s">
        <v>1372</v>
      </c>
      <c r="C697" s="3" t="s">
        <v>1373</v>
      </c>
      <c r="D697" s="3">
        <v>100</v>
      </c>
      <c r="E697" s="3">
        <f>$D697*TCA!E697/100</f>
        <v>702.65</v>
      </c>
      <c r="F697" s="3">
        <f>$D697*TCA!F697/100</f>
        <v>15.23</v>
      </c>
      <c r="G697" s="3">
        <f>$D697*TCA!G697/100</f>
        <v>65.209999999999994</v>
      </c>
      <c r="H697" s="3">
        <f>$D697*TCA!H697/100</f>
        <v>13.71</v>
      </c>
      <c r="I697" s="3">
        <f>$D697*TCA!I697/100</f>
        <v>6.7</v>
      </c>
      <c r="J697" s="3">
        <f>$D697*TCA!J697/100</f>
        <v>6.13</v>
      </c>
      <c r="K697" s="3">
        <f>$D697*TCA!K697/100</f>
        <v>8.93</v>
      </c>
      <c r="L697" s="3">
        <f>$D697*TCA!L697/100</f>
        <v>47.17</v>
      </c>
      <c r="M697" s="3">
        <f>$D697*TCA!M697/100</f>
        <v>0</v>
      </c>
      <c r="N697" s="3">
        <f>$D697*TCA!N697/100</f>
        <v>98</v>
      </c>
      <c r="O697" s="3">
        <f>$D697*TCA!O697/100</f>
        <v>346</v>
      </c>
      <c r="P697" s="3">
        <f t="shared" si="10"/>
        <v>22.718319107025607</v>
      </c>
      <c r="Q697" s="3">
        <f>$D697*TCA!P697/100</f>
        <v>2.91</v>
      </c>
      <c r="R697" s="3">
        <f>$D697*TCA!Q697/100</f>
        <v>441</v>
      </c>
      <c r="S697" s="3">
        <f>$D697*TCA!R697/100</f>
        <v>2</v>
      </c>
      <c r="T697" s="3">
        <f>$D697*TCA!S697/100</f>
        <v>3.09</v>
      </c>
      <c r="U697" s="3">
        <f>$D697*TCA!T697/100</f>
        <v>1</v>
      </c>
      <c r="V697" s="3">
        <f>$D697*TCA!U697/100</f>
        <v>1</v>
      </c>
      <c r="W697" s="3">
        <f>$D697*TCA!V697/100</f>
        <v>98</v>
      </c>
      <c r="X697" s="3">
        <f>$D697*TCA!W697/100</f>
        <v>0</v>
      </c>
    </row>
    <row r="698" spans="1:24" x14ac:dyDescent="0.25">
      <c r="A698" s="3" t="s">
        <v>2032</v>
      </c>
      <c r="B698" s="3" t="s">
        <v>1374</v>
      </c>
      <c r="C698" s="3" t="s">
        <v>1375</v>
      </c>
      <c r="D698" s="3">
        <v>100</v>
      </c>
      <c r="E698" s="3">
        <f>$D698*TCA!E698/100</f>
        <v>609.70000000000005</v>
      </c>
      <c r="F698" s="3">
        <f>$D698*TCA!F698/100</f>
        <v>21.05</v>
      </c>
      <c r="G698" s="3">
        <f>$D698*TCA!G698/100</f>
        <v>45.82</v>
      </c>
      <c r="H698" s="3">
        <f>$D698*TCA!H698/100</f>
        <v>28.28</v>
      </c>
      <c r="I698" s="3">
        <f>$D698*TCA!I698/100</f>
        <v>10.3</v>
      </c>
      <c r="J698" s="3">
        <f>$D698*TCA!J698/100</f>
        <v>5.65</v>
      </c>
      <c r="K698" s="3">
        <f>$D698*TCA!K698/100</f>
        <v>24.53</v>
      </c>
      <c r="L698" s="3">
        <f>$D698*TCA!L698/100</f>
        <v>13.35</v>
      </c>
      <c r="M698" s="3">
        <f>$D698*TCA!M698/100</f>
        <v>0</v>
      </c>
      <c r="N698" s="3">
        <f>$D698*TCA!N698/100</f>
        <v>107</v>
      </c>
      <c r="O698" s="3">
        <f>$D698*TCA!O698/100</f>
        <v>469</v>
      </c>
      <c r="P698" s="3">
        <f t="shared" si="10"/>
        <v>22.280285035629454</v>
      </c>
      <c r="Q698" s="3">
        <f>$D698*TCA!P698/100</f>
        <v>4.03</v>
      </c>
      <c r="R698" s="3">
        <f>$D698*TCA!Q698/100</f>
        <v>1007</v>
      </c>
      <c r="S698" s="3">
        <f>$D698*TCA!R698/100</f>
        <v>6</v>
      </c>
      <c r="T698" s="3">
        <f>$D698*TCA!S698/100</f>
        <v>2.34</v>
      </c>
      <c r="U698" s="3">
        <f>$D698*TCA!T698/100</f>
        <v>3</v>
      </c>
      <c r="V698" s="3">
        <f>$D698*TCA!U698/100</f>
        <v>13</v>
      </c>
      <c r="W698" s="3">
        <f>$D698*TCA!V698/100</f>
        <v>51</v>
      </c>
      <c r="X698" s="3">
        <f>$D698*TCA!W698/100</f>
        <v>0</v>
      </c>
    </row>
    <row r="699" spans="1:24" x14ac:dyDescent="0.25">
      <c r="A699" s="3" t="s">
        <v>2032</v>
      </c>
      <c r="B699" s="3" t="s">
        <v>1376</v>
      </c>
      <c r="C699" s="3" t="s">
        <v>1377</v>
      </c>
      <c r="D699" s="3">
        <v>100</v>
      </c>
      <c r="E699" s="3">
        <f>$D699*TCA!E699/100</f>
        <v>511.3</v>
      </c>
      <c r="F699" s="3">
        <f>$D699*TCA!F699/100</f>
        <v>16.54</v>
      </c>
      <c r="G699" s="3">
        <f>$D699*TCA!G699/100</f>
        <v>30.74</v>
      </c>
      <c r="H699" s="3">
        <f>$D699*TCA!H699/100</f>
        <v>42.12</v>
      </c>
      <c r="I699" s="3">
        <f>$D699*TCA!I699/100</f>
        <v>34.4</v>
      </c>
      <c r="J699" s="3">
        <f>$D699*TCA!J699/100</f>
        <v>3.33</v>
      </c>
      <c r="K699" s="3">
        <f>$D699*TCA!K699/100</f>
        <v>2.31</v>
      </c>
      <c r="L699" s="3">
        <f>$D699*TCA!L699/100</f>
        <v>23.66</v>
      </c>
      <c r="M699" s="3">
        <f>$D699*TCA!M699/100</f>
        <v>0</v>
      </c>
      <c r="N699" s="3">
        <f>$D699*TCA!N699/100</f>
        <v>631</v>
      </c>
      <c r="O699" s="3">
        <f>$D699*TCA!O699/100</f>
        <v>860</v>
      </c>
      <c r="P699" s="3">
        <f t="shared" si="10"/>
        <v>51.995163240628784</v>
      </c>
      <c r="Q699" s="3">
        <f>$D699*TCA!P699/100</f>
        <v>7.72</v>
      </c>
      <c r="R699" s="3">
        <f>$D699*TCA!Q699/100</f>
        <v>407</v>
      </c>
      <c r="S699" s="3">
        <f>$D699*TCA!R699/100</f>
        <v>16</v>
      </c>
      <c r="T699" s="3">
        <f>$D699*TCA!S699/100</f>
        <v>4.58</v>
      </c>
      <c r="U699" s="3">
        <f>$D699*TCA!T699/100</f>
        <v>1.6</v>
      </c>
      <c r="V699" s="3">
        <f>$D699*TCA!U699/100</f>
        <v>16.2</v>
      </c>
      <c r="W699" s="3">
        <f>$D699*TCA!V699/100</f>
        <v>49</v>
      </c>
      <c r="X699" s="3">
        <f>$D699*TCA!W699/100</f>
        <v>0</v>
      </c>
    </row>
    <row r="700" spans="1:24" x14ac:dyDescent="0.25">
      <c r="A700" s="3" t="s">
        <v>2032</v>
      </c>
      <c r="B700" s="3" t="s">
        <v>1378</v>
      </c>
      <c r="C700" s="3" t="s">
        <v>1379</v>
      </c>
      <c r="D700" s="3">
        <v>100</v>
      </c>
      <c r="E700" s="3">
        <f>$D700*TCA!E700/100</f>
        <v>568.12</v>
      </c>
      <c r="F700" s="3">
        <f>$D700*TCA!F700/100</f>
        <v>18.29</v>
      </c>
      <c r="G700" s="3">
        <f>$D700*TCA!G700/100</f>
        <v>42.16</v>
      </c>
      <c r="H700" s="3">
        <f>$D700*TCA!H700/100</f>
        <v>28.88</v>
      </c>
      <c r="I700" s="3">
        <f>$D700*TCA!I700/100</f>
        <v>27.3</v>
      </c>
      <c r="J700" s="3">
        <f>$D700*TCA!J700/100</f>
        <v>3.66</v>
      </c>
      <c r="K700" s="3">
        <f>$D700*TCA!K700/100</f>
        <v>7.53</v>
      </c>
      <c r="L700" s="3">
        <f>$D700*TCA!L700/100</f>
        <v>28.73</v>
      </c>
      <c r="M700" s="3">
        <f>$D700*TCA!M700/100</f>
        <v>0</v>
      </c>
      <c r="N700" s="3">
        <f>$D700*TCA!N700/100</f>
        <v>255</v>
      </c>
      <c r="O700" s="3">
        <f>$D700*TCA!O700/100</f>
        <v>642</v>
      </c>
      <c r="P700" s="3">
        <f t="shared" si="10"/>
        <v>35.101148168398034</v>
      </c>
      <c r="Q700" s="3">
        <f>$D700*TCA!P700/100</f>
        <v>5.73</v>
      </c>
      <c r="R700" s="3">
        <f>$D700*TCA!Q700/100</f>
        <v>813</v>
      </c>
      <c r="S700" s="3">
        <f>$D700*TCA!R700/100</f>
        <v>30</v>
      </c>
      <c r="T700" s="3">
        <f>$D700*TCA!S700/100</f>
        <v>4.34</v>
      </c>
      <c r="U700" s="3">
        <f>$D700*TCA!T700/100</f>
        <v>0.6</v>
      </c>
      <c r="V700" s="3">
        <f>$D700*TCA!U700/100</f>
        <v>0</v>
      </c>
      <c r="W700" s="3">
        <f>$D700*TCA!V700/100</f>
        <v>87</v>
      </c>
      <c r="X700" s="3">
        <f>$D700*TCA!W700/100</f>
        <v>0</v>
      </c>
    </row>
    <row r="701" spans="1:24" x14ac:dyDescent="0.25">
      <c r="A701" s="3" t="s">
        <v>2032</v>
      </c>
      <c r="B701" s="3" t="s">
        <v>1380</v>
      </c>
      <c r="C701" s="3" t="s">
        <v>1381</v>
      </c>
      <c r="D701" s="3">
        <v>100</v>
      </c>
      <c r="E701" s="3">
        <f>$D701*TCA!E701/100</f>
        <v>611.75</v>
      </c>
      <c r="F701" s="3">
        <f>$D701*TCA!F701/100</f>
        <v>17.73</v>
      </c>
      <c r="G701" s="3">
        <f>$D701*TCA!G701/100</f>
        <v>49.67</v>
      </c>
      <c r="H701" s="3">
        <f>$D701*TCA!H701/100</f>
        <v>23.45</v>
      </c>
      <c r="I701" s="3">
        <f>$D701*TCA!I701/100</f>
        <v>11.8</v>
      </c>
      <c r="J701" s="3">
        <f>$D701*TCA!J701/100</f>
        <v>6.96</v>
      </c>
      <c r="K701" s="3">
        <f>$D701*TCA!K701/100</f>
        <v>18.760000000000002</v>
      </c>
      <c r="L701" s="3">
        <f>$D701*TCA!L701/100</f>
        <v>21.77</v>
      </c>
      <c r="M701" s="3">
        <f>$D701*TCA!M701/100</f>
        <v>0</v>
      </c>
      <c r="N701" s="3">
        <f>$D701*TCA!N701/100</f>
        <v>975</v>
      </c>
      <c r="O701" s="3">
        <f>$D701*TCA!O701/100</f>
        <v>629</v>
      </c>
      <c r="P701" s="3">
        <f t="shared" si="10"/>
        <v>35.476593344613647</v>
      </c>
      <c r="Q701" s="3">
        <f>$D701*TCA!P701/100</f>
        <v>14.55</v>
      </c>
      <c r="R701" s="3">
        <f>$D701*TCA!Q701/100</f>
        <v>468</v>
      </c>
      <c r="S701" s="3">
        <f>$D701*TCA!R701/100</f>
        <v>11</v>
      </c>
      <c r="T701" s="3">
        <f>$D701*TCA!S701/100</f>
        <v>7.75</v>
      </c>
      <c r="U701" s="3">
        <f>$D701*TCA!T701/100</f>
        <v>0</v>
      </c>
      <c r="V701" s="3">
        <f>$D701*TCA!U701/100</f>
        <v>0</v>
      </c>
      <c r="W701" s="3">
        <f>$D701*TCA!V701/100</f>
        <v>97</v>
      </c>
      <c r="X701" s="3">
        <f>$D701*TCA!W701/100</f>
        <v>0</v>
      </c>
    </row>
    <row r="702" spans="1:24" x14ac:dyDescent="0.25">
      <c r="A702" s="3" t="s">
        <v>2032</v>
      </c>
      <c r="B702" s="3" t="s">
        <v>1382</v>
      </c>
      <c r="C702" s="3" t="s">
        <v>1383</v>
      </c>
      <c r="D702" s="3">
        <v>100</v>
      </c>
      <c r="E702" s="3">
        <f>$D702*TCA!E702/100</f>
        <v>540</v>
      </c>
      <c r="F702" s="3">
        <f>$D702*TCA!F702/100</f>
        <v>20</v>
      </c>
      <c r="G702" s="3">
        <f>$D702*TCA!G702/100</f>
        <v>33.33</v>
      </c>
      <c r="H702" s="3">
        <f>$D702*TCA!H702/100</f>
        <v>40</v>
      </c>
      <c r="I702" s="3">
        <f>$D702*TCA!I702/100</f>
        <v>26.67</v>
      </c>
      <c r="J702" s="3">
        <f>$D702*TCA!J702/100</f>
        <v>3.33</v>
      </c>
      <c r="K702" s="3">
        <f>$D702*TCA!K702/100</f>
        <v>0</v>
      </c>
      <c r="L702" s="3">
        <f>$D702*TCA!L702/100</f>
        <v>26.67</v>
      </c>
      <c r="M702" s="3">
        <f>$D702*TCA!M702/100</f>
        <v>0</v>
      </c>
      <c r="N702" s="3">
        <f>$D702*TCA!N702/100</f>
        <v>500</v>
      </c>
      <c r="O702" s="3">
        <f>$D702*TCA!O702/100</f>
        <v>0</v>
      </c>
      <c r="P702" s="3">
        <f t="shared" si="10"/>
        <v>0</v>
      </c>
      <c r="Q702" s="3">
        <f>$D702*TCA!P702/100</f>
        <v>6.67</v>
      </c>
      <c r="R702" s="3">
        <f>$D702*TCA!Q702/100</f>
        <v>500</v>
      </c>
      <c r="S702" s="3">
        <f>$D702*TCA!R702/100</f>
        <v>0</v>
      </c>
      <c r="T702" s="3">
        <f>$D702*TCA!S702/100</f>
        <v>0</v>
      </c>
      <c r="U702" s="3">
        <f>$D702*TCA!T702/100</f>
        <v>0</v>
      </c>
      <c r="V702" s="3">
        <f>$D702*TCA!U702/100</f>
        <v>0</v>
      </c>
      <c r="W702" s="3">
        <f>$D702*TCA!V702/100</f>
        <v>0</v>
      </c>
      <c r="X702" s="3">
        <f>$D702*TCA!W702/100</f>
        <v>0</v>
      </c>
    </row>
    <row r="703" spans="1:24" x14ac:dyDescent="0.25">
      <c r="A703" s="3" t="s">
        <v>2032</v>
      </c>
      <c r="B703" s="3" t="s">
        <v>1384</v>
      </c>
      <c r="C703" s="3" t="s">
        <v>1385</v>
      </c>
      <c r="D703" s="3">
        <v>100</v>
      </c>
      <c r="E703" s="3">
        <f>$D703*TCA!E703/100</f>
        <v>614.41</v>
      </c>
      <c r="F703" s="3">
        <f>$D703*TCA!F703/100</f>
        <v>19.100000000000001</v>
      </c>
      <c r="G703" s="3">
        <f>$D703*TCA!G703/100</f>
        <v>49.21</v>
      </c>
      <c r="H703" s="3">
        <f>$D703*TCA!H703/100</f>
        <v>23.78</v>
      </c>
      <c r="I703" s="3">
        <f>$D703*TCA!I703/100</f>
        <v>10.7</v>
      </c>
      <c r="J703" s="3">
        <f>$D703*TCA!J703/100</f>
        <v>5.15</v>
      </c>
      <c r="K703" s="3">
        <f>$D703*TCA!K703/100</f>
        <v>9.39</v>
      </c>
      <c r="L703" s="3">
        <f>$D703*TCA!L703/100</f>
        <v>32.5</v>
      </c>
      <c r="M703" s="3">
        <f>$D703*TCA!M703/100</f>
        <v>0</v>
      </c>
      <c r="N703" s="3">
        <f>$D703*TCA!N703/100</f>
        <v>70</v>
      </c>
      <c r="O703" s="3">
        <f>$D703*TCA!O703/100</f>
        <v>1141</v>
      </c>
      <c r="P703" s="3">
        <f t="shared" si="10"/>
        <v>59.738219895287955</v>
      </c>
      <c r="Q703" s="3">
        <f>$D703*TCA!P703/100</f>
        <v>3.76</v>
      </c>
      <c r="R703" s="3">
        <f>$D703*TCA!Q703/100</f>
        <v>840</v>
      </c>
      <c r="S703" s="3">
        <f>$D703*TCA!R703/100</f>
        <v>462</v>
      </c>
      <c r="T703" s="3">
        <f>$D703*TCA!S703/100</f>
        <v>5.23</v>
      </c>
      <c r="U703" s="3">
        <f>$D703*TCA!T703/100</f>
        <v>1.4</v>
      </c>
      <c r="V703" s="3">
        <f>$D703*TCA!U703/100</f>
        <v>0</v>
      </c>
      <c r="W703" s="3">
        <f>$D703*TCA!V703/100</f>
        <v>234</v>
      </c>
      <c r="X703" s="3">
        <f>$D703*TCA!W703/100</f>
        <v>0</v>
      </c>
    </row>
    <row r="704" spans="1:24" x14ac:dyDescent="0.25">
      <c r="A704" s="3" t="s">
        <v>2032</v>
      </c>
      <c r="B704" s="3" t="s">
        <v>1386</v>
      </c>
      <c r="C704" s="3" t="s">
        <v>1387</v>
      </c>
      <c r="D704" s="3">
        <v>100</v>
      </c>
      <c r="E704" s="3">
        <f>$D704*TCA!E704/100</f>
        <v>621.67999999999995</v>
      </c>
      <c r="F704" s="3">
        <f>$D704*TCA!F704/100</f>
        <v>19.3</v>
      </c>
      <c r="G704" s="3">
        <f>$D704*TCA!G704/100</f>
        <v>49.8</v>
      </c>
      <c r="H704" s="3">
        <f>$D704*TCA!H704/100</f>
        <v>24.07</v>
      </c>
      <c r="I704" s="3">
        <f>$D704*TCA!I704/100</f>
        <v>11.1</v>
      </c>
      <c r="J704" s="3">
        <f>$D704*TCA!J704/100</f>
        <v>5.21</v>
      </c>
      <c r="K704" s="3">
        <f>$D704*TCA!K704/100</f>
        <v>9.5</v>
      </c>
      <c r="L704" s="3">
        <f>$D704*TCA!L704/100</f>
        <v>32.799999999999997</v>
      </c>
      <c r="M704" s="3">
        <f>$D704*TCA!M704/100</f>
        <v>0</v>
      </c>
      <c r="N704" s="3">
        <f>$D704*TCA!N704/100</f>
        <v>70</v>
      </c>
      <c r="O704" s="3">
        <f>$D704*TCA!O704/100</f>
        <v>1155</v>
      </c>
      <c r="P704" s="3">
        <f t="shared" si="10"/>
        <v>59.844559585492227</v>
      </c>
      <c r="Q704" s="3">
        <f>$D704*TCA!P704/100</f>
        <v>3.8</v>
      </c>
      <c r="R704" s="3">
        <f>$D704*TCA!Q704/100</f>
        <v>850</v>
      </c>
      <c r="S704" s="3">
        <f>$D704*TCA!R704/100</f>
        <v>3</v>
      </c>
      <c r="T704" s="3">
        <f>$D704*TCA!S704/100</f>
        <v>5.29</v>
      </c>
      <c r="U704" s="3">
        <f>$D704*TCA!T704/100</f>
        <v>1.4</v>
      </c>
      <c r="V704" s="3">
        <f>$D704*TCA!U704/100</f>
        <v>0</v>
      </c>
      <c r="W704" s="3">
        <f>$D704*TCA!V704/100</f>
        <v>237</v>
      </c>
      <c r="X704" s="3">
        <f>$D704*TCA!W704/100</f>
        <v>0</v>
      </c>
    </row>
    <row r="705" spans="1:24" x14ac:dyDescent="0.25">
      <c r="A705" s="3" t="s">
        <v>2032</v>
      </c>
      <c r="B705" s="3" t="s">
        <v>1388</v>
      </c>
      <c r="C705" s="3" t="s">
        <v>1389</v>
      </c>
      <c r="D705" s="3">
        <v>100</v>
      </c>
      <c r="E705" s="3">
        <f>$D705*TCA!E705/100</f>
        <v>406.19</v>
      </c>
      <c r="F705" s="3">
        <f>$D705*TCA!F705/100</f>
        <v>15.8</v>
      </c>
      <c r="G705" s="3">
        <f>$D705*TCA!G705/100</f>
        <v>14.87</v>
      </c>
      <c r="H705" s="3">
        <f>$D705*TCA!H705/100</f>
        <v>52.29</v>
      </c>
      <c r="I705" s="3">
        <f>$D705*TCA!I705/100</f>
        <v>39.799999999999997</v>
      </c>
      <c r="J705" s="3">
        <f>$D705*TCA!J705/100</f>
        <v>0.48</v>
      </c>
      <c r="K705" s="3">
        <f>$D705*TCA!K705/100</f>
        <v>9.91</v>
      </c>
      <c r="L705" s="3">
        <f>$D705*TCA!L705/100</f>
        <v>1.68</v>
      </c>
      <c r="M705" s="3">
        <f>$D705*TCA!M705/100</f>
        <v>0</v>
      </c>
      <c r="N705" s="3">
        <f>$D705*TCA!N705/100</f>
        <v>1196</v>
      </c>
      <c r="O705" s="3">
        <f>$D705*TCA!O705/100</f>
        <v>487</v>
      </c>
      <c r="P705" s="3">
        <f t="shared" si="10"/>
        <v>30.822784810126581</v>
      </c>
      <c r="Q705" s="3">
        <f>$D705*TCA!P705/100</f>
        <v>18.54</v>
      </c>
      <c r="R705" s="3">
        <f>$D705*TCA!Q705/100</f>
        <v>1694</v>
      </c>
      <c r="S705" s="3">
        <f>$D705*TCA!R705/100</f>
        <v>88</v>
      </c>
      <c r="T705" s="3">
        <f>$D705*TCA!S705/100</f>
        <v>3.7</v>
      </c>
      <c r="U705" s="3">
        <f>$D705*TCA!T705/100</f>
        <v>21</v>
      </c>
      <c r="V705" s="3">
        <f>$D705*TCA!U705/100</f>
        <v>7</v>
      </c>
      <c r="W705" s="3">
        <f>$D705*TCA!V705/100</f>
        <v>0</v>
      </c>
      <c r="X705" s="3">
        <f>$D705*TCA!W705/100</f>
        <v>0</v>
      </c>
    </row>
    <row r="706" spans="1:24" x14ac:dyDescent="0.25">
      <c r="A706" s="3" t="s">
        <v>2032</v>
      </c>
      <c r="B706" s="3" t="s">
        <v>1390</v>
      </c>
      <c r="C706" s="3" t="s">
        <v>1391</v>
      </c>
      <c r="D706" s="3">
        <v>100</v>
      </c>
      <c r="E706" s="3">
        <f>$D706*TCA!E706/100</f>
        <v>415.3</v>
      </c>
      <c r="F706" s="3">
        <f>$D706*TCA!F706/100</f>
        <v>16</v>
      </c>
      <c r="G706" s="3">
        <f>$D706*TCA!G706/100</f>
        <v>14.5</v>
      </c>
      <c r="H706" s="3">
        <f>$D706*TCA!H706/100</f>
        <v>55.2</v>
      </c>
      <c r="I706" s="3">
        <f>$D706*TCA!I706/100</f>
        <v>21.1</v>
      </c>
      <c r="J706" s="3">
        <f>$D706*TCA!J706/100</f>
        <v>0</v>
      </c>
      <c r="K706" s="3">
        <f>$D706*TCA!K706/100</f>
        <v>0</v>
      </c>
      <c r="L706" s="3">
        <f>$D706*TCA!L706/100</f>
        <v>0</v>
      </c>
      <c r="M706" s="3">
        <f>$D706*TCA!M706/100</f>
        <v>0</v>
      </c>
      <c r="N706" s="3">
        <f>$D706*TCA!N706/100</f>
        <v>0</v>
      </c>
      <c r="O706" s="3">
        <f>$D706*TCA!O706/100</f>
        <v>0</v>
      </c>
      <c r="P706" s="3">
        <f t="shared" si="10"/>
        <v>0</v>
      </c>
      <c r="Q706" s="3">
        <f>$D706*TCA!P706/100</f>
        <v>0</v>
      </c>
      <c r="R706" s="3">
        <f>$D706*TCA!Q706/100</f>
        <v>0</v>
      </c>
      <c r="S706" s="3">
        <f>$D706*TCA!R706/100</f>
        <v>20</v>
      </c>
      <c r="T706" s="3">
        <f>$D706*TCA!S706/100</f>
        <v>0</v>
      </c>
      <c r="U706" s="3">
        <f>$D706*TCA!T706/100</f>
        <v>0</v>
      </c>
      <c r="V706" s="3">
        <f>$D706*TCA!U706/100</f>
        <v>0</v>
      </c>
      <c r="W706" s="3">
        <f>$D706*TCA!V706/100</f>
        <v>0</v>
      </c>
      <c r="X706" s="3">
        <f>$D706*TCA!W706/100</f>
        <v>0</v>
      </c>
    </row>
    <row r="707" spans="1:24" x14ac:dyDescent="0.25">
      <c r="A707" s="3" t="s">
        <v>2032</v>
      </c>
      <c r="B707" s="3" t="s">
        <v>1392</v>
      </c>
      <c r="C707" s="3" t="s">
        <v>1393</v>
      </c>
      <c r="D707" s="3">
        <v>100</v>
      </c>
      <c r="E707" s="3">
        <f>$D707*TCA!E707/100</f>
        <v>606.25</v>
      </c>
      <c r="F707" s="3">
        <f>$D707*TCA!F707/100</f>
        <v>21.35</v>
      </c>
      <c r="G707" s="3">
        <f>$D707*TCA!G707/100</f>
        <v>45.97</v>
      </c>
      <c r="H707" s="3">
        <f>$D707*TCA!H707/100</f>
        <v>26.78</v>
      </c>
      <c r="I707" s="3">
        <f>$D707*TCA!I707/100</f>
        <v>10.3</v>
      </c>
      <c r="J707" s="3">
        <f>$D707*TCA!J707/100</f>
        <v>5.55</v>
      </c>
      <c r="K707" s="3">
        <f>$D707*TCA!K707/100</f>
        <v>24.22</v>
      </c>
      <c r="L707" s="3">
        <f>$D707*TCA!L707/100</f>
        <v>13.9</v>
      </c>
      <c r="M707" s="3">
        <f>$D707*TCA!M707/100</f>
        <v>0</v>
      </c>
      <c r="N707" s="3">
        <f>$D707*TCA!N707/100</f>
        <v>110</v>
      </c>
      <c r="O707" s="3">
        <f>$D707*TCA!O707/100</f>
        <v>485</v>
      </c>
      <c r="P707" s="3">
        <f t="shared" si="10"/>
        <v>22.716627634660419</v>
      </c>
      <c r="Q707" s="3">
        <f>$D707*TCA!P707/100</f>
        <v>4.2</v>
      </c>
      <c r="R707" s="3">
        <f>$D707*TCA!Q707/100</f>
        <v>1042</v>
      </c>
      <c r="S707" s="3">
        <f>$D707*TCA!R707/100</f>
        <v>405</v>
      </c>
      <c r="T707" s="3">
        <f>$D707*TCA!S707/100</f>
        <v>2.2999999999999998</v>
      </c>
      <c r="U707" s="3">
        <f>$D707*TCA!T707/100</f>
        <v>2</v>
      </c>
      <c r="V707" s="3">
        <f>$D707*TCA!U707/100</f>
        <v>13</v>
      </c>
      <c r="W707" s="3">
        <f>$D707*TCA!V707/100</f>
        <v>50</v>
      </c>
      <c r="X707" s="3">
        <f>$D707*TCA!W707/100</f>
        <v>0</v>
      </c>
    </row>
    <row r="708" spans="1:24" x14ac:dyDescent="0.25">
      <c r="A708" s="3" t="s">
        <v>2032</v>
      </c>
      <c r="B708" s="3" t="s">
        <v>1394</v>
      </c>
      <c r="C708" s="3" t="s">
        <v>1395</v>
      </c>
      <c r="D708" s="3">
        <v>100</v>
      </c>
      <c r="E708" s="3">
        <f>$D708*TCA!E708/100</f>
        <v>562</v>
      </c>
      <c r="F708" s="3">
        <f>$D708*TCA!F708/100</f>
        <v>24.5</v>
      </c>
      <c r="G708" s="3">
        <f>$D708*TCA!G708/100</f>
        <v>46</v>
      </c>
      <c r="H708" s="3">
        <f>$D708*TCA!H708/100</f>
        <v>12.5</v>
      </c>
      <c r="I708" s="3">
        <f>$D708*TCA!I708/100</f>
        <v>5.3</v>
      </c>
      <c r="J708" s="3">
        <f>$D708*TCA!J708/100</f>
        <v>0</v>
      </c>
      <c r="K708" s="3">
        <f>$D708*TCA!K708/100</f>
        <v>0</v>
      </c>
      <c r="L708" s="3">
        <f>$D708*TCA!L708/100</f>
        <v>0</v>
      </c>
      <c r="M708" s="3">
        <f>$D708*TCA!M708/100</f>
        <v>0</v>
      </c>
      <c r="N708" s="3">
        <f>$D708*TCA!N708/100</f>
        <v>0</v>
      </c>
      <c r="O708" s="3">
        <f>$D708*TCA!O708/100</f>
        <v>1170</v>
      </c>
      <c r="P708" s="3">
        <f t="shared" ref="P708:P771" si="11">O708/F708</f>
        <v>47.755102040816325</v>
      </c>
      <c r="Q708" s="3">
        <f>$D708*TCA!P708/100</f>
        <v>15</v>
      </c>
      <c r="R708" s="3">
        <f>$D708*TCA!Q708/100</f>
        <v>0</v>
      </c>
      <c r="S708" s="3">
        <f>$D708*TCA!R708/100</f>
        <v>18</v>
      </c>
      <c r="T708" s="3">
        <f>$D708*TCA!S708/100</f>
        <v>0</v>
      </c>
      <c r="U708" s="3">
        <f>$D708*TCA!T708/100</f>
        <v>0</v>
      </c>
      <c r="V708" s="3">
        <f>$D708*TCA!U708/100</f>
        <v>0</v>
      </c>
      <c r="W708" s="3">
        <f>$D708*TCA!V708/100</f>
        <v>0</v>
      </c>
      <c r="X708" s="3">
        <f>$D708*TCA!W708/100</f>
        <v>0</v>
      </c>
    </row>
    <row r="709" spans="1:24" x14ac:dyDescent="0.25">
      <c r="A709" s="3" t="s">
        <v>2032</v>
      </c>
      <c r="B709" s="3" t="s">
        <v>1396</v>
      </c>
      <c r="C709" s="3" t="s">
        <v>1397</v>
      </c>
      <c r="D709" s="3">
        <v>100</v>
      </c>
      <c r="E709" s="3">
        <f>$D709*TCA!E709/100</f>
        <v>463.8</v>
      </c>
      <c r="F709" s="3">
        <f>$D709*TCA!F709/100</f>
        <v>18.55</v>
      </c>
      <c r="G709" s="3">
        <f>$D709*TCA!G709/100</f>
        <v>19.399999999999999</v>
      </c>
      <c r="H709" s="3">
        <f>$D709*TCA!H709/100</f>
        <v>53.75</v>
      </c>
      <c r="I709" s="3">
        <f>$D709*TCA!I709/100</f>
        <v>18.399999999999999</v>
      </c>
      <c r="J709" s="3">
        <f>$D709*TCA!J709/100</f>
        <v>3.67</v>
      </c>
      <c r="K709" s="3">
        <f>$D709*TCA!K709/100</f>
        <v>6.03</v>
      </c>
      <c r="L709" s="3">
        <f>$D709*TCA!L709/100</f>
        <v>8.84</v>
      </c>
      <c r="M709" s="3">
        <f>$D709*TCA!M709/100</f>
        <v>0</v>
      </c>
      <c r="N709" s="3">
        <f>$D709*TCA!N709/100</f>
        <v>55</v>
      </c>
      <c r="O709" s="3">
        <f>$D709*TCA!O709/100</f>
        <v>92</v>
      </c>
      <c r="P709" s="3">
        <f t="shared" si="11"/>
        <v>4.9595687331536382</v>
      </c>
      <c r="Q709" s="3">
        <f>$D709*TCA!P709/100</f>
        <v>3.31</v>
      </c>
      <c r="R709" s="3">
        <f>$D709*TCA!Q709/100</f>
        <v>919</v>
      </c>
      <c r="S709" s="3">
        <f>$D709*TCA!R709/100</f>
        <v>18</v>
      </c>
      <c r="T709" s="3">
        <f>$D709*TCA!S709/100</f>
        <v>10.3</v>
      </c>
      <c r="U709" s="3">
        <f>$D709*TCA!T709/100</f>
        <v>0.3</v>
      </c>
      <c r="V709" s="3">
        <f>$D709*TCA!U709/100</f>
        <v>3</v>
      </c>
      <c r="W709" s="3">
        <f>$D709*TCA!V709/100</f>
        <v>9</v>
      </c>
      <c r="X709" s="3">
        <f>$D709*TCA!W709/100</f>
        <v>0</v>
      </c>
    </row>
    <row r="710" spans="1:24" x14ac:dyDescent="0.25">
      <c r="A710" s="12"/>
      <c r="B710" s="12"/>
      <c r="C710" s="12"/>
      <c r="D710" s="3">
        <v>100</v>
      </c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x14ac:dyDescent="0.25">
      <c r="A711" s="3" t="s">
        <v>2033</v>
      </c>
      <c r="B711" s="3" t="s">
        <v>1398</v>
      </c>
      <c r="C711" s="3" t="s">
        <v>1399</v>
      </c>
      <c r="D711" s="3">
        <v>100</v>
      </c>
      <c r="E711" s="3">
        <f>$D711*TCA!E711/100</f>
        <v>293.33</v>
      </c>
      <c r="F711" s="3">
        <f>$D711*TCA!F711/100</f>
        <v>0</v>
      </c>
      <c r="G711" s="3">
        <f>$D711*TCA!G711/100</f>
        <v>0</v>
      </c>
      <c r="H711" s="3">
        <f>$D711*TCA!H711/100</f>
        <v>73.33</v>
      </c>
      <c r="I711" s="3">
        <f>$D711*TCA!I711/100</f>
        <v>0</v>
      </c>
      <c r="J711" s="3">
        <f>$D711*TCA!J711/100</f>
        <v>0</v>
      </c>
      <c r="K711" s="3">
        <f>$D711*TCA!K711/100</f>
        <v>0</v>
      </c>
      <c r="L711" s="3">
        <f>$D711*TCA!L711/100</f>
        <v>0</v>
      </c>
      <c r="M711" s="3">
        <f>$D711*TCA!M711/100</f>
        <v>0</v>
      </c>
      <c r="N711" s="3">
        <f>$D711*TCA!N711/100</f>
        <v>0</v>
      </c>
      <c r="O711" s="3">
        <f>$D711*TCA!O711/100</f>
        <v>0</v>
      </c>
      <c r="P711" s="3" t="e">
        <f t="shared" si="11"/>
        <v>#DIV/0!</v>
      </c>
      <c r="Q711" s="3">
        <f>$D711*TCA!P711/100</f>
        <v>0</v>
      </c>
      <c r="R711" s="3">
        <f>$D711*TCA!Q711/100</f>
        <v>0</v>
      </c>
      <c r="S711" s="3">
        <f>$D711*TCA!R711/100</f>
        <v>0</v>
      </c>
      <c r="T711" s="3">
        <f>$D711*TCA!S711/100</f>
        <v>0</v>
      </c>
      <c r="U711" s="3">
        <f>$D711*TCA!T711/100</f>
        <v>0</v>
      </c>
      <c r="V711" s="3">
        <f>$D711*TCA!U711/100</f>
        <v>0</v>
      </c>
      <c r="W711" s="3">
        <f>$D711*TCA!V711/100</f>
        <v>0</v>
      </c>
      <c r="X711" s="3">
        <f>$D711*TCA!W711/100</f>
        <v>0</v>
      </c>
    </row>
    <row r="712" spans="1:24" x14ac:dyDescent="0.25">
      <c r="A712" s="3" t="s">
        <v>2033</v>
      </c>
      <c r="B712" s="3" t="s">
        <v>1400</v>
      </c>
      <c r="C712" s="3" t="s">
        <v>1401</v>
      </c>
      <c r="D712" s="3">
        <v>100</v>
      </c>
      <c r="E712" s="3">
        <f>$D712*TCA!E712/100</f>
        <v>320</v>
      </c>
      <c r="F712" s="3">
        <f>$D712*TCA!F712/100</f>
        <v>0</v>
      </c>
      <c r="G712" s="3">
        <f>$D712*TCA!G712/100</f>
        <v>0</v>
      </c>
      <c r="H712" s="3">
        <f>$D712*TCA!H712/100</f>
        <v>80</v>
      </c>
      <c r="I712" s="3">
        <f>$D712*TCA!I712/100</f>
        <v>0</v>
      </c>
      <c r="J712" s="3">
        <f>$D712*TCA!J712/100</f>
        <v>0</v>
      </c>
      <c r="K712" s="3">
        <f>$D712*TCA!K712/100</f>
        <v>0</v>
      </c>
      <c r="L712" s="3">
        <f>$D712*TCA!L712/100</f>
        <v>0</v>
      </c>
      <c r="M712" s="3">
        <f>$D712*TCA!M712/100</f>
        <v>0</v>
      </c>
      <c r="N712" s="3">
        <f>$D712*TCA!N712/100</f>
        <v>0</v>
      </c>
      <c r="O712" s="3">
        <f>$D712*TCA!O712/100</f>
        <v>0</v>
      </c>
      <c r="P712" s="3" t="e">
        <f t="shared" si="11"/>
        <v>#DIV/0!</v>
      </c>
      <c r="Q712" s="3">
        <f>$D712*TCA!P712/100</f>
        <v>0</v>
      </c>
      <c r="R712" s="3">
        <f>$D712*TCA!Q712/100</f>
        <v>0</v>
      </c>
      <c r="S712" s="3">
        <f>$D712*TCA!R712/100</f>
        <v>0</v>
      </c>
      <c r="T712" s="3">
        <f>$D712*TCA!S712/100</f>
        <v>0</v>
      </c>
      <c r="U712" s="3">
        <f>$D712*TCA!T712/100</f>
        <v>0</v>
      </c>
      <c r="V712" s="3">
        <f>$D712*TCA!U712/100</f>
        <v>0</v>
      </c>
      <c r="W712" s="3">
        <f>$D712*TCA!V712/100</f>
        <v>0</v>
      </c>
      <c r="X712" s="3">
        <f>$D712*TCA!W712/100</f>
        <v>0</v>
      </c>
    </row>
    <row r="713" spans="1:24" x14ac:dyDescent="0.25">
      <c r="A713" s="3" t="s">
        <v>2033</v>
      </c>
      <c r="B713" s="3" t="s">
        <v>1402</v>
      </c>
      <c r="C713" s="3" t="s">
        <v>1403</v>
      </c>
      <c r="D713" s="3">
        <v>100</v>
      </c>
      <c r="E713" s="3">
        <f>$D713*TCA!E713/100</f>
        <v>396.4</v>
      </c>
      <c r="F713" s="3">
        <f>$D713*TCA!F713/100</f>
        <v>0</v>
      </c>
      <c r="G713" s="3">
        <f>$D713*TCA!G713/100</f>
        <v>0</v>
      </c>
      <c r="H713" s="3">
        <f>$D713*TCA!H713/100</f>
        <v>99.1</v>
      </c>
      <c r="I713" s="3">
        <f>$D713*TCA!I713/100</f>
        <v>0</v>
      </c>
      <c r="J713" s="3">
        <f>$D713*TCA!J713/100</f>
        <v>0</v>
      </c>
      <c r="K713" s="3">
        <f>$D713*TCA!K713/100</f>
        <v>0</v>
      </c>
      <c r="L713" s="3">
        <f>$D713*TCA!L713/100</f>
        <v>0</v>
      </c>
      <c r="M713" s="3">
        <f>$D713*TCA!M713/100</f>
        <v>0</v>
      </c>
      <c r="N713" s="3">
        <f>$D713*TCA!N713/100</f>
        <v>5</v>
      </c>
      <c r="O713" s="3">
        <f>$D713*TCA!O713/100</f>
        <v>1</v>
      </c>
      <c r="P713" s="3" t="e">
        <f t="shared" si="11"/>
        <v>#DIV/0!</v>
      </c>
      <c r="Q713" s="3">
        <f>$D713*TCA!P713/100</f>
        <v>0.1</v>
      </c>
      <c r="R713" s="3">
        <f>$D713*TCA!Q713/100</f>
        <v>0</v>
      </c>
      <c r="S713" s="3">
        <f>$D713*TCA!R713/100</f>
        <v>0</v>
      </c>
      <c r="T713" s="3">
        <f>$D713*TCA!S713/100</f>
        <v>0</v>
      </c>
      <c r="U713" s="3">
        <f>$D713*TCA!T713/100</f>
        <v>0</v>
      </c>
      <c r="V713" s="3">
        <f>$D713*TCA!U713/100</f>
        <v>0</v>
      </c>
      <c r="W713" s="3">
        <f>$D713*TCA!V713/100</f>
        <v>0</v>
      </c>
      <c r="X713" s="3">
        <f>$D713*TCA!W713/100</f>
        <v>0</v>
      </c>
    </row>
    <row r="714" spans="1:24" x14ac:dyDescent="0.25">
      <c r="A714" s="3" t="s">
        <v>2033</v>
      </c>
      <c r="B714" s="3" t="s">
        <v>1404</v>
      </c>
      <c r="C714" s="3" t="s">
        <v>1405</v>
      </c>
      <c r="D714" s="3">
        <v>100</v>
      </c>
      <c r="E714" s="3">
        <f>$D714*TCA!E714/100</f>
        <v>960</v>
      </c>
      <c r="F714" s="3">
        <f>$D714*TCA!F714/100</f>
        <v>0</v>
      </c>
      <c r="G714" s="3">
        <f>$D714*TCA!G714/100</f>
        <v>0</v>
      </c>
      <c r="H714" s="3">
        <f>$D714*TCA!H714/100</f>
        <v>240</v>
      </c>
      <c r="I714" s="3">
        <f>$D714*TCA!I714/100</f>
        <v>0</v>
      </c>
      <c r="J714" s="3">
        <f>$D714*TCA!J714/100</f>
        <v>0</v>
      </c>
      <c r="K714" s="3">
        <f>$D714*TCA!K714/100</f>
        <v>0</v>
      </c>
      <c r="L714" s="3">
        <f>$D714*TCA!L714/100</f>
        <v>0</v>
      </c>
      <c r="M714" s="3">
        <f>$D714*TCA!M714/100</f>
        <v>0</v>
      </c>
      <c r="N714" s="3">
        <f>$D714*TCA!N714/100</f>
        <v>0</v>
      </c>
      <c r="O714" s="3">
        <f>$D714*TCA!O714/100</f>
        <v>0</v>
      </c>
      <c r="P714" s="3" t="e">
        <f t="shared" si="11"/>
        <v>#DIV/0!</v>
      </c>
      <c r="Q714" s="3">
        <f>$D714*TCA!P714/100</f>
        <v>0</v>
      </c>
      <c r="R714" s="3">
        <f>$D714*TCA!Q714/100</f>
        <v>0</v>
      </c>
      <c r="S714" s="3">
        <f>$D714*TCA!R714/100</f>
        <v>0</v>
      </c>
      <c r="T714" s="3">
        <f>$D714*TCA!S714/100</f>
        <v>0</v>
      </c>
      <c r="U714" s="3">
        <f>$D714*TCA!T714/100</f>
        <v>0</v>
      </c>
      <c r="V714" s="3">
        <f>$D714*TCA!U714/100</f>
        <v>0</v>
      </c>
      <c r="W714" s="3">
        <f>$D714*TCA!V714/100</f>
        <v>0</v>
      </c>
      <c r="X714" s="3">
        <f>$D714*TCA!W714/100</f>
        <v>0</v>
      </c>
    </row>
    <row r="715" spans="1:24" x14ac:dyDescent="0.25">
      <c r="A715" s="3" t="s">
        <v>2033</v>
      </c>
      <c r="B715" s="3" t="s">
        <v>1406</v>
      </c>
      <c r="C715" s="3" t="s">
        <v>1407</v>
      </c>
      <c r="D715" s="3">
        <v>100</v>
      </c>
      <c r="E715" s="3">
        <f>$D715*TCA!E715/100</f>
        <v>400</v>
      </c>
      <c r="F715" s="3">
        <f>$D715*TCA!F715/100</f>
        <v>0</v>
      </c>
      <c r="G715" s="3">
        <f>$D715*TCA!G715/100</f>
        <v>0</v>
      </c>
      <c r="H715" s="3">
        <f>$D715*TCA!H715/100</f>
        <v>100</v>
      </c>
      <c r="I715" s="3">
        <f>$D715*TCA!I715/100</f>
        <v>0</v>
      </c>
      <c r="J715" s="3">
        <f>$D715*TCA!J715/100</f>
        <v>0</v>
      </c>
      <c r="K715" s="3">
        <f>$D715*TCA!K715/100</f>
        <v>0</v>
      </c>
      <c r="L715" s="3">
        <f>$D715*TCA!L715/100</f>
        <v>0</v>
      </c>
      <c r="M715" s="3">
        <f>$D715*TCA!M715/100</f>
        <v>0</v>
      </c>
      <c r="N715" s="3">
        <f>$D715*TCA!N715/100</f>
        <v>0</v>
      </c>
      <c r="O715" s="3">
        <f>$D715*TCA!O715/100</f>
        <v>0</v>
      </c>
      <c r="P715" s="3" t="e">
        <f t="shared" si="11"/>
        <v>#DIV/0!</v>
      </c>
      <c r="Q715" s="3">
        <f>$D715*TCA!P715/100</f>
        <v>0</v>
      </c>
      <c r="R715" s="3">
        <f>$D715*TCA!Q715/100</f>
        <v>0</v>
      </c>
      <c r="S715" s="3">
        <f>$D715*TCA!R715/100</f>
        <v>0</v>
      </c>
      <c r="T715" s="3">
        <f>$D715*TCA!S715/100</f>
        <v>0</v>
      </c>
      <c r="U715" s="3">
        <f>$D715*TCA!T715/100</f>
        <v>0</v>
      </c>
      <c r="V715" s="3">
        <f>$D715*TCA!U715/100</f>
        <v>0</v>
      </c>
      <c r="W715" s="3">
        <f>$D715*TCA!V715/100</f>
        <v>0</v>
      </c>
      <c r="X715" s="3">
        <f>$D715*TCA!W715/100</f>
        <v>0</v>
      </c>
    </row>
    <row r="716" spans="1:24" x14ac:dyDescent="0.25">
      <c r="A716" s="3" t="s">
        <v>2033</v>
      </c>
      <c r="B716" s="3" t="s">
        <v>1408</v>
      </c>
      <c r="C716" s="3" t="s">
        <v>1409</v>
      </c>
      <c r="D716" s="3">
        <v>100</v>
      </c>
      <c r="E716" s="3">
        <f>$D716*TCA!E716/100</f>
        <v>389.32</v>
      </c>
      <c r="F716" s="3">
        <f>$D716*TCA!F716/100</f>
        <v>0</v>
      </c>
      <c r="G716" s="3">
        <f>$D716*TCA!G716/100</f>
        <v>0</v>
      </c>
      <c r="H716" s="3">
        <f>$D716*TCA!H716/100</f>
        <v>97.33</v>
      </c>
      <c r="I716" s="3">
        <f>$D716*TCA!I716/100</f>
        <v>0</v>
      </c>
      <c r="J716" s="3">
        <f>$D716*TCA!J716/100</f>
        <v>0</v>
      </c>
      <c r="K716" s="3">
        <f>$D716*TCA!K716/100</f>
        <v>0</v>
      </c>
      <c r="L716" s="3">
        <f>$D716*TCA!L716/100</f>
        <v>0</v>
      </c>
      <c r="M716" s="3">
        <f>$D716*TCA!M716/100</f>
        <v>0</v>
      </c>
      <c r="N716" s="3">
        <f>$D716*TCA!N716/100</f>
        <v>85</v>
      </c>
      <c r="O716" s="3">
        <f>$D716*TCA!O716/100</f>
        <v>22</v>
      </c>
      <c r="P716" s="3" t="e">
        <f t="shared" si="11"/>
        <v>#DIV/0!</v>
      </c>
      <c r="Q716" s="3">
        <f>$D716*TCA!P716/100</f>
        <v>1.91</v>
      </c>
      <c r="R716" s="3">
        <f>$D716*TCA!Q716/100</f>
        <v>346</v>
      </c>
      <c r="S716" s="3">
        <f>$D716*TCA!R716/100</f>
        <v>39</v>
      </c>
      <c r="T716" s="3">
        <f>$D716*TCA!S716/100</f>
        <v>0.18</v>
      </c>
      <c r="U716" s="3">
        <f>$D716*TCA!T716/100</f>
        <v>0</v>
      </c>
      <c r="V716" s="3">
        <f>$D716*TCA!U716/100</f>
        <v>0</v>
      </c>
      <c r="W716" s="3">
        <f>$D716*TCA!V716/100</f>
        <v>1</v>
      </c>
      <c r="X716" s="3">
        <f>$D716*TCA!W716/100</f>
        <v>0</v>
      </c>
    </row>
    <row r="717" spans="1:24" x14ac:dyDescent="0.25">
      <c r="A717" s="3" t="s">
        <v>2033</v>
      </c>
      <c r="B717" s="3" t="s">
        <v>1410</v>
      </c>
      <c r="C717" s="3" t="s">
        <v>1411</v>
      </c>
      <c r="D717" s="3">
        <v>100</v>
      </c>
      <c r="E717" s="3">
        <f>$D717*TCA!E717/100</f>
        <v>400</v>
      </c>
      <c r="F717" s="3">
        <f>$D717*TCA!F717/100</f>
        <v>0</v>
      </c>
      <c r="G717" s="3">
        <f>$D717*TCA!G717/100</f>
        <v>0</v>
      </c>
      <c r="H717" s="3">
        <f>$D717*TCA!H717/100</f>
        <v>100</v>
      </c>
      <c r="I717" s="3">
        <f>$D717*TCA!I717/100</f>
        <v>0</v>
      </c>
      <c r="J717" s="3">
        <f>$D717*TCA!J717/100</f>
        <v>0</v>
      </c>
      <c r="K717" s="3">
        <f>$D717*TCA!K717/100</f>
        <v>0</v>
      </c>
      <c r="L717" s="3">
        <f>$D717*TCA!L717/100</f>
        <v>0</v>
      </c>
      <c r="M717" s="3">
        <f>$D717*TCA!M717/100</f>
        <v>0</v>
      </c>
      <c r="N717" s="3">
        <f>$D717*TCA!N717/100</f>
        <v>0</v>
      </c>
      <c r="O717" s="3">
        <f>$D717*TCA!O717/100</f>
        <v>0</v>
      </c>
      <c r="P717" s="3" t="e">
        <f t="shared" si="11"/>
        <v>#DIV/0!</v>
      </c>
      <c r="Q717" s="3">
        <f>$D717*TCA!P717/100</f>
        <v>0</v>
      </c>
      <c r="R717" s="3">
        <f>$D717*TCA!Q717/100</f>
        <v>0</v>
      </c>
      <c r="S717" s="3">
        <f>$D717*TCA!R717/100</f>
        <v>20</v>
      </c>
      <c r="T717" s="3">
        <f>$D717*TCA!S717/100</f>
        <v>0</v>
      </c>
      <c r="U717" s="3">
        <f>$D717*TCA!T717/100</f>
        <v>0</v>
      </c>
      <c r="V717" s="3">
        <f>$D717*TCA!U717/100</f>
        <v>0</v>
      </c>
      <c r="W717" s="3">
        <f>$D717*TCA!V717/100</f>
        <v>0</v>
      </c>
      <c r="X717" s="3">
        <f>$D717*TCA!W717/100</f>
        <v>0</v>
      </c>
    </row>
    <row r="718" spans="1:24" x14ac:dyDescent="0.25">
      <c r="A718" s="3" t="s">
        <v>2033</v>
      </c>
      <c r="B718" s="3" t="s">
        <v>1412</v>
      </c>
      <c r="C718" s="3" t="s">
        <v>1413</v>
      </c>
      <c r="D718" s="3">
        <v>100</v>
      </c>
      <c r="E718" s="3">
        <f>$D718*TCA!E718/100</f>
        <v>400</v>
      </c>
      <c r="F718" s="3">
        <f>$D718*TCA!F718/100</f>
        <v>0</v>
      </c>
      <c r="G718" s="3">
        <f>$D718*TCA!G718/100</f>
        <v>0</v>
      </c>
      <c r="H718" s="3">
        <f>$D718*TCA!H718/100</f>
        <v>100</v>
      </c>
      <c r="I718" s="3">
        <f>$D718*TCA!I718/100</f>
        <v>0</v>
      </c>
      <c r="J718" s="3">
        <f>$D718*TCA!J718/100</f>
        <v>0</v>
      </c>
      <c r="K718" s="3">
        <f>$D718*TCA!K718/100</f>
        <v>0</v>
      </c>
      <c r="L718" s="3">
        <f>$D718*TCA!L718/100</f>
        <v>0</v>
      </c>
      <c r="M718" s="3">
        <f>$D718*TCA!M718/100</f>
        <v>0</v>
      </c>
      <c r="N718" s="3">
        <f>$D718*TCA!N718/100</f>
        <v>0</v>
      </c>
      <c r="O718" s="3">
        <f>$D718*TCA!O718/100</f>
        <v>0</v>
      </c>
      <c r="P718" s="3" t="e">
        <f t="shared" si="11"/>
        <v>#DIV/0!</v>
      </c>
      <c r="Q718" s="3">
        <f>$D718*TCA!P718/100</f>
        <v>0</v>
      </c>
      <c r="R718" s="3">
        <f>$D718*TCA!Q718/100</f>
        <v>0</v>
      </c>
      <c r="S718" s="3">
        <f>$D718*TCA!R718/100</f>
        <v>0</v>
      </c>
      <c r="T718" s="3">
        <f>$D718*TCA!S718/100</f>
        <v>0</v>
      </c>
      <c r="U718" s="3">
        <f>$D718*TCA!T718/100</f>
        <v>0</v>
      </c>
      <c r="V718" s="3">
        <f>$D718*TCA!U718/100</f>
        <v>0</v>
      </c>
      <c r="W718" s="3">
        <f>$D718*TCA!V718/100</f>
        <v>0</v>
      </c>
      <c r="X718" s="3">
        <f>$D718*TCA!W718/100</f>
        <v>0</v>
      </c>
    </row>
    <row r="719" spans="1:24" x14ac:dyDescent="0.25">
      <c r="A719" s="3" t="s">
        <v>2033</v>
      </c>
      <c r="B719" s="3" t="s">
        <v>1414</v>
      </c>
      <c r="C719" s="3" t="s">
        <v>1415</v>
      </c>
      <c r="D719" s="3">
        <v>100</v>
      </c>
      <c r="E719" s="3">
        <f>$D719*TCA!E719/100</f>
        <v>400</v>
      </c>
      <c r="F719" s="3">
        <f>$D719*TCA!F719/100</f>
        <v>0</v>
      </c>
      <c r="G719" s="3">
        <f>$D719*TCA!G719/100</f>
        <v>0</v>
      </c>
      <c r="H719" s="3">
        <f>$D719*TCA!H719/100</f>
        <v>100</v>
      </c>
      <c r="I719" s="3">
        <f>$D719*TCA!I719/100</f>
        <v>0</v>
      </c>
      <c r="J719" s="3">
        <f>$D719*TCA!J719/100</f>
        <v>0</v>
      </c>
      <c r="K719" s="3">
        <f>$D719*TCA!K719/100</f>
        <v>0</v>
      </c>
      <c r="L719" s="3">
        <f>$D719*TCA!L719/100</f>
        <v>0</v>
      </c>
      <c r="M719" s="3">
        <f>$D719*TCA!M719/100</f>
        <v>0</v>
      </c>
      <c r="N719" s="3">
        <f>$D719*TCA!N719/100</f>
        <v>0</v>
      </c>
      <c r="O719" s="3">
        <f>$D719*TCA!O719/100</f>
        <v>0</v>
      </c>
      <c r="P719" s="3" t="e">
        <f t="shared" si="11"/>
        <v>#DIV/0!</v>
      </c>
      <c r="Q719" s="3">
        <f>$D719*TCA!P719/100</f>
        <v>0</v>
      </c>
      <c r="R719" s="3">
        <f>$D719*TCA!Q719/100</f>
        <v>0</v>
      </c>
      <c r="S719" s="3">
        <f>$D719*TCA!R719/100</f>
        <v>0</v>
      </c>
      <c r="T719" s="3">
        <f>$D719*TCA!S719/100</f>
        <v>0</v>
      </c>
      <c r="U719" s="3">
        <f>$D719*TCA!T719/100</f>
        <v>0</v>
      </c>
      <c r="V719" s="3">
        <f>$D719*TCA!U719/100</f>
        <v>0</v>
      </c>
      <c r="W719" s="3">
        <f>$D719*TCA!V719/100</f>
        <v>0</v>
      </c>
      <c r="X719" s="3">
        <f>$D719*TCA!W719/100</f>
        <v>0</v>
      </c>
    </row>
    <row r="720" spans="1:24" x14ac:dyDescent="0.25">
      <c r="A720" s="3" t="s">
        <v>2033</v>
      </c>
      <c r="B720" s="3" t="s">
        <v>1416</v>
      </c>
      <c r="C720" s="3" t="s">
        <v>1417</v>
      </c>
      <c r="D720" s="3">
        <v>100</v>
      </c>
      <c r="E720" s="3">
        <f>$D720*TCA!E720/100</f>
        <v>400</v>
      </c>
      <c r="F720" s="3">
        <f>$D720*TCA!F720/100</f>
        <v>0</v>
      </c>
      <c r="G720" s="3">
        <f>$D720*TCA!G720/100</f>
        <v>0</v>
      </c>
      <c r="H720" s="3">
        <f>$D720*TCA!H720/100</f>
        <v>100</v>
      </c>
      <c r="I720" s="3">
        <f>$D720*TCA!I720/100</f>
        <v>0</v>
      </c>
      <c r="J720" s="3">
        <f>$D720*TCA!J720/100</f>
        <v>0</v>
      </c>
      <c r="K720" s="3">
        <f>$D720*TCA!K720/100</f>
        <v>0</v>
      </c>
      <c r="L720" s="3">
        <f>$D720*TCA!L720/100</f>
        <v>0</v>
      </c>
      <c r="M720" s="3">
        <f>$D720*TCA!M720/100</f>
        <v>0</v>
      </c>
      <c r="N720" s="3">
        <f>$D720*TCA!N720/100</f>
        <v>0</v>
      </c>
      <c r="O720" s="3">
        <f>$D720*TCA!O720/100</f>
        <v>0</v>
      </c>
      <c r="P720" s="3" t="e">
        <f t="shared" si="11"/>
        <v>#DIV/0!</v>
      </c>
      <c r="Q720" s="3">
        <f>$D720*TCA!P720/100</f>
        <v>0</v>
      </c>
      <c r="R720" s="3">
        <f>$D720*TCA!Q720/100</f>
        <v>0</v>
      </c>
      <c r="S720" s="3">
        <f>$D720*TCA!R720/100</f>
        <v>0</v>
      </c>
      <c r="T720" s="3">
        <f>$D720*TCA!S720/100</f>
        <v>0</v>
      </c>
      <c r="U720" s="3">
        <f>$D720*TCA!T720/100</f>
        <v>0</v>
      </c>
      <c r="V720" s="3">
        <f>$D720*TCA!U720/100</f>
        <v>0</v>
      </c>
      <c r="W720" s="3">
        <f>$D720*TCA!V720/100</f>
        <v>0</v>
      </c>
      <c r="X720" s="3">
        <f>$D720*TCA!W720/100</f>
        <v>0</v>
      </c>
    </row>
    <row r="721" spans="1:24" x14ac:dyDescent="0.25">
      <c r="A721" s="3" t="s">
        <v>2033</v>
      </c>
      <c r="B721" s="3" t="s">
        <v>1418</v>
      </c>
      <c r="C721" s="3" t="s">
        <v>1419</v>
      </c>
      <c r="D721" s="3">
        <v>100</v>
      </c>
      <c r="E721" s="3">
        <f>$D721*TCA!E721/100</f>
        <v>400</v>
      </c>
      <c r="F721" s="3">
        <f>$D721*TCA!F721/100</f>
        <v>0</v>
      </c>
      <c r="G721" s="3">
        <f>$D721*TCA!G721/100</f>
        <v>0</v>
      </c>
      <c r="H721" s="3">
        <f>$D721*TCA!H721/100</f>
        <v>100</v>
      </c>
      <c r="I721" s="3">
        <f>$D721*TCA!I721/100</f>
        <v>0</v>
      </c>
      <c r="J721" s="3">
        <f>$D721*TCA!J721/100</f>
        <v>0</v>
      </c>
      <c r="K721" s="3">
        <f>$D721*TCA!K721/100</f>
        <v>0</v>
      </c>
      <c r="L721" s="3">
        <f>$D721*TCA!L721/100</f>
        <v>0</v>
      </c>
      <c r="M721" s="3">
        <f>$D721*TCA!M721/100</f>
        <v>0</v>
      </c>
      <c r="N721" s="3">
        <f>$D721*TCA!N721/100</f>
        <v>0</v>
      </c>
      <c r="O721" s="3">
        <f>$D721*TCA!O721/100</f>
        <v>0</v>
      </c>
      <c r="P721" s="3" t="e">
        <f t="shared" si="11"/>
        <v>#DIV/0!</v>
      </c>
      <c r="Q721" s="3">
        <f>$D721*TCA!P721/100</f>
        <v>0</v>
      </c>
      <c r="R721" s="3">
        <f>$D721*TCA!Q721/100</f>
        <v>0</v>
      </c>
      <c r="S721" s="3">
        <f>$D721*TCA!R721/100</f>
        <v>0</v>
      </c>
      <c r="T721" s="3">
        <f>$D721*TCA!S721/100</f>
        <v>0</v>
      </c>
      <c r="U721" s="3">
        <f>$D721*TCA!T721/100</f>
        <v>0</v>
      </c>
      <c r="V721" s="3">
        <f>$D721*TCA!U721/100</f>
        <v>0</v>
      </c>
      <c r="W721" s="3">
        <f>$D721*TCA!V721/100</f>
        <v>0</v>
      </c>
      <c r="X721" s="3">
        <f>$D721*TCA!W721/100</f>
        <v>0</v>
      </c>
    </row>
    <row r="722" spans="1:24" x14ac:dyDescent="0.25">
      <c r="A722" s="3" t="s">
        <v>2033</v>
      </c>
      <c r="B722" s="3" t="s">
        <v>1420</v>
      </c>
      <c r="C722" s="3" t="s">
        <v>1421</v>
      </c>
      <c r="D722" s="3">
        <v>100</v>
      </c>
      <c r="E722" s="3">
        <f>$D722*TCA!E722/100</f>
        <v>84.1</v>
      </c>
      <c r="F722" s="3">
        <f>$D722*TCA!F722/100</f>
        <v>0.3</v>
      </c>
      <c r="G722" s="3">
        <f>$D722*TCA!G722/100</f>
        <v>0.1</v>
      </c>
      <c r="H722" s="3">
        <f>$D722*TCA!H722/100</f>
        <v>20.5</v>
      </c>
      <c r="I722" s="3">
        <f>$D722*TCA!I722/100</f>
        <v>0</v>
      </c>
      <c r="J722" s="3">
        <f>$D722*TCA!J722/100</f>
        <v>0</v>
      </c>
      <c r="K722" s="3">
        <f>$D722*TCA!K722/100</f>
        <v>0</v>
      </c>
      <c r="L722" s="3">
        <f>$D722*TCA!L722/100</f>
        <v>0</v>
      </c>
      <c r="M722" s="3">
        <f>$D722*TCA!M722/100</f>
        <v>0</v>
      </c>
      <c r="N722" s="3">
        <f>$D722*TCA!N722/100</f>
        <v>13</v>
      </c>
      <c r="O722" s="3">
        <f>$D722*TCA!O722/100</f>
        <v>12</v>
      </c>
      <c r="P722" s="3">
        <f t="shared" si="11"/>
        <v>40</v>
      </c>
      <c r="Q722" s="3">
        <f>$D722*TCA!P722/100</f>
        <v>0.7</v>
      </c>
      <c r="R722" s="3">
        <f>$D722*TCA!Q722/100</f>
        <v>0</v>
      </c>
      <c r="S722" s="3">
        <f>$D722*TCA!R722/100</f>
        <v>0</v>
      </c>
      <c r="T722" s="3">
        <f>$D722*TCA!S722/100</f>
        <v>0</v>
      </c>
      <c r="U722" s="3">
        <f>$D722*TCA!T722/100</f>
        <v>2</v>
      </c>
      <c r="V722" s="3">
        <f>$D722*TCA!U722/100</f>
        <v>0</v>
      </c>
      <c r="W722" s="3">
        <f>$D722*TCA!V722/100</f>
        <v>0</v>
      </c>
      <c r="X722" s="3">
        <f>$D722*TCA!W722/100</f>
        <v>0</v>
      </c>
    </row>
    <row r="723" spans="1:24" x14ac:dyDescent="0.25">
      <c r="A723" s="3" t="s">
        <v>2033</v>
      </c>
      <c r="B723" s="3" t="s">
        <v>1422</v>
      </c>
      <c r="C723" s="3" t="s">
        <v>1423</v>
      </c>
      <c r="D723" s="3">
        <v>100</v>
      </c>
      <c r="E723" s="3">
        <f>$D723*TCA!E723/100</f>
        <v>393.8</v>
      </c>
      <c r="F723" s="3">
        <f>$D723*TCA!F723/100</f>
        <v>0</v>
      </c>
      <c r="G723" s="3">
        <f>$D723*TCA!G723/100</f>
        <v>0.2</v>
      </c>
      <c r="H723" s="3">
        <f>$D723*TCA!H723/100</f>
        <v>98</v>
      </c>
      <c r="I723" s="3">
        <f>$D723*TCA!I723/100</f>
        <v>0</v>
      </c>
      <c r="J723" s="3">
        <f>$D723*TCA!J723/100</f>
        <v>0</v>
      </c>
      <c r="K723" s="3">
        <f>$D723*TCA!K723/100</f>
        <v>0</v>
      </c>
      <c r="L723" s="3">
        <f>$D723*TCA!L723/100</f>
        <v>0</v>
      </c>
      <c r="M723" s="3">
        <f>$D723*TCA!M723/100</f>
        <v>0</v>
      </c>
      <c r="N723" s="3">
        <f>$D723*TCA!N723/100</f>
        <v>3</v>
      </c>
      <c r="O723" s="3">
        <f>$D723*TCA!O723/100</f>
        <v>3</v>
      </c>
      <c r="P723" s="3" t="e">
        <f t="shared" si="11"/>
        <v>#DIV/0!</v>
      </c>
      <c r="Q723" s="3">
        <f>$D723*TCA!P723/100</f>
        <v>0.3</v>
      </c>
      <c r="R723" s="3">
        <f>$D723*TCA!Q723/100</f>
        <v>5</v>
      </c>
      <c r="S723" s="3">
        <f>$D723*TCA!R723/100</f>
        <v>38</v>
      </c>
      <c r="T723" s="3">
        <f>$D723*TCA!S723/100</f>
        <v>0.01</v>
      </c>
      <c r="U723" s="3">
        <f>$D723*TCA!T723/100</f>
        <v>0</v>
      </c>
      <c r="V723" s="3">
        <f>$D723*TCA!U723/100</f>
        <v>0</v>
      </c>
      <c r="W723" s="3">
        <f>$D723*TCA!V723/100</f>
        <v>0</v>
      </c>
      <c r="X723" s="3">
        <f>$D723*TCA!W723/100</f>
        <v>0</v>
      </c>
    </row>
    <row r="724" spans="1:24" x14ac:dyDescent="0.25">
      <c r="A724" s="3" t="s">
        <v>2033</v>
      </c>
      <c r="B724" s="3" t="s">
        <v>1424</v>
      </c>
      <c r="C724" s="3" t="s">
        <v>1425</v>
      </c>
      <c r="D724" s="3">
        <v>100</v>
      </c>
      <c r="E724" s="3">
        <f>$D724*TCA!E724/100</f>
        <v>395.6</v>
      </c>
      <c r="F724" s="3">
        <f>$D724*TCA!F724/100</f>
        <v>0</v>
      </c>
      <c r="G724" s="3">
        <f>$D724*TCA!G724/100</f>
        <v>0</v>
      </c>
      <c r="H724" s="3">
        <f>$D724*TCA!H724/100</f>
        <v>98.9</v>
      </c>
      <c r="I724" s="3">
        <f>$D724*TCA!I724/100</f>
        <v>0.1</v>
      </c>
      <c r="J724" s="3">
        <f>$D724*TCA!J724/100</f>
        <v>0</v>
      </c>
      <c r="K724" s="3">
        <f>$D724*TCA!K724/100</f>
        <v>0</v>
      </c>
      <c r="L724" s="3">
        <f>$D724*TCA!L724/100</f>
        <v>0</v>
      </c>
      <c r="M724" s="3">
        <f>$D724*TCA!M724/100</f>
        <v>0</v>
      </c>
      <c r="N724" s="3">
        <f>$D724*TCA!N724/100</f>
        <v>3</v>
      </c>
      <c r="O724" s="3">
        <f>$D724*TCA!O724/100</f>
        <v>1</v>
      </c>
      <c r="P724" s="3" t="e">
        <f t="shared" si="11"/>
        <v>#DIV/0!</v>
      </c>
      <c r="Q724" s="3">
        <f>$D724*TCA!P724/100</f>
        <v>0.4</v>
      </c>
      <c r="R724" s="3">
        <f>$D724*TCA!Q724/100</f>
        <v>5</v>
      </c>
      <c r="S724" s="3">
        <f>$D724*TCA!R724/100</f>
        <v>44</v>
      </c>
      <c r="T724" s="3">
        <f>$D724*TCA!S724/100</f>
        <v>0</v>
      </c>
      <c r="U724" s="3">
        <f>$D724*TCA!T724/100</f>
        <v>0</v>
      </c>
      <c r="V724" s="3">
        <f>$D724*TCA!U724/100</f>
        <v>0</v>
      </c>
      <c r="W724" s="3">
        <f>$D724*TCA!V724/100</f>
        <v>0</v>
      </c>
      <c r="X724" s="3">
        <f>$D724*TCA!W724/100</f>
        <v>0</v>
      </c>
    </row>
    <row r="725" spans="1:24" x14ac:dyDescent="0.25">
      <c r="A725" s="3" t="s">
        <v>2033</v>
      </c>
      <c r="B725" s="3" t="s">
        <v>1426</v>
      </c>
      <c r="C725" s="3" t="s">
        <v>1427</v>
      </c>
      <c r="D725" s="3">
        <v>100</v>
      </c>
      <c r="E725" s="3">
        <f>$D725*TCA!E725/100</f>
        <v>406.25</v>
      </c>
      <c r="F725" s="3">
        <f>$D725*TCA!F725/100</f>
        <v>0</v>
      </c>
      <c r="G725" s="3">
        <f>$D725*TCA!G725/100</f>
        <v>6.25</v>
      </c>
      <c r="H725" s="3">
        <f>$D725*TCA!H725/100</f>
        <v>87.5</v>
      </c>
      <c r="I725" s="3">
        <f>$D725*TCA!I725/100</f>
        <v>0</v>
      </c>
      <c r="J725" s="3">
        <f>$D725*TCA!J725/100</f>
        <v>6.25</v>
      </c>
      <c r="K725" s="3">
        <f>$D725*TCA!K725/100</f>
        <v>0</v>
      </c>
      <c r="L725" s="3">
        <f>$D725*TCA!L725/100</f>
        <v>0</v>
      </c>
      <c r="M725" s="3">
        <f>$D725*TCA!M725/100</f>
        <v>0</v>
      </c>
      <c r="N725" s="3">
        <f>$D725*TCA!N725/100</f>
        <v>0</v>
      </c>
      <c r="O725" s="3">
        <f>$D725*TCA!O725/100</f>
        <v>0</v>
      </c>
      <c r="P725" s="3" t="e">
        <f t="shared" si="11"/>
        <v>#DIV/0!</v>
      </c>
      <c r="Q725" s="3">
        <f>$D725*TCA!P725/100</f>
        <v>0</v>
      </c>
      <c r="R725" s="3">
        <f>$D725*TCA!Q725/100</f>
        <v>0</v>
      </c>
      <c r="S725" s="3">
        <f>$D725*TCA!R725/100</f>
        <v>312.5</v>
      </c>
      <c r="T725" s="3">
        <f>$D725*TCA!S725/100</f>
        <v>0</v>
      </c>
      <c r="U725" s="3">
        <f>$D725*TCA!T725/100</f>
        <v>0</v>
      </c>
      <c r="V725" s="3">
        <f>$D725*TCA!U725/100</f>
        <v>0</v>
      </c>
      <c r="W725" s="3">
        <f>$D725*TCA!V725/100</f>
        <v>0</v>
      </c>
      <c r="X725" s="3">
        <f>$D725*TCA!W725/100</f>
        <v>0</v>
      </c>
    </row>
    <row r="726" spans="1:24" x14ac:dyDescent="0.25">
      <c r="A726" s="3" t="s">
        <v>2033</v>
      </c>
      <c r="B726" s="3" t="s">
        <v>1428</v>
      </c>
      <c r="C726" s="3" t="s">
        <v>1429</v>
      </c>
      <c r="D726" s="3">
        <v>100</v>
      </c>
      <c r="E726" s="3">
        <f>$D726*TCA!E726/100</f>
        <v>405</v>
      </c>
      <c r="F726" s="3">
        <f>$D726*TCA!F726/100</f>
        <v>5</v>
      </c>
      <c r="G726" s="3">
        <f>$D726*TCA!G726/100</f>
        <v>5</v>
      </c>
      <c r="H726" s="3">
        <f>$D726*TCA!H726/100</f>
        <v>85</v>
      </c>
      <c r="I726" s="3">
        <f>$D726*TCA!I726/100</f>
        <v>0</v>
      </c>
      <c r="J726" s="3">
        <f>$D726*TCA!J726/100</f>
        <v>0</v>
      </c>
      <c r="K726" s="3">
        <f>$D726*TCA!K726/100</f>
        <v>0</v>
      </c>
      <c r="L726" s="3">
        <f>$D726*TCA!L726/100</f>
        <v>0</v>
      </c>
      <c r="M726" s="3">
        <f>$D726*TCA!M726/100</f>
        <v>0</v>
      </c>
      <c r="N726" s="3">
        <f>$D726*TCA!N726/100</f>
        <v>15</v>
      </c>
      <c r="O726" s="3">
        <f>$D726*TCA!O726/100</f>
        <v>0</v>
      </c>
      <c r="P726" s="3">
        <f t="shared" si="11"/>
        <v>0</v>
      </c>
      <c r="Q726" s="3">
        <f>$D726*TCA!P726/100</f>
        <v>25</v>
      </c>
      <c r="R726" s="3">
        <f>$D726*TCA!Q726/100</f>
        <v>0</v>
      </c>
      <c r="S726" s="3">
        <f>$D726*TCA!R726/100</f>
        <v>25</v>
      </c>
      <c r="T726" s="3">
        <f>$D726*TCA!S726/100</f>
        <v>0</v>
      </c>
      <c r="U726" s="3">
        <f>$D726*TCA!T726/100</f>
        <v>0</v>
      </c>
      <c r="V726" s="3">
        <f>$D726*TCA!U726/100</f>
        <v>25</v>
      </c>
      <c r="W726" s="3">
        <f>$D726*TCA!V726/100</f>
        <v>0</v>
      </c>
      <c r="X726" s="3">
        <f>$D726*TCA!W726/100</f>
        <v>0</v>
      </c>
    </row>
    <row r="727" spans="1:24" x14ac:dyDescent="0.25">
      <c r="A727" s="3" t="s">
        <v>2033</v>
      </c>
      <c r="B727" s="3" t="s">
        <v>1430</v>
      </c>
      <c r="C727" s="3" t="s">
        <v>1431</v>
      </c>
      <c r="D727" s="3">
        <v>100</v>
      </c>
      <c r="E727" s="3">
        <f>$D727*TCA!E727/100</f>
        <v>360</v>
      </c>
      <c r="F727" s="3">
        <f>$D727*TCA!F727/100</f>
        <v>0</v>
      </c>
      <c r="G727" s="3">
        <f>$D727*TCA!G727/100</f>
        <v>0</v>
      </c>
      <c r="H727" s="3">
        <f>$D727*TCA!H727/100</f>
        <v>90</v>
      </c>
      <c r="I727" s="3">
        <f>$D727*TCA!I727/100</f>
        <v>0</v>
      </c>
      <c r="J727" s="3">
        <f>$D727*TCA!J727/100</f>
        <v>0</v>
      </c>
      <c r="K727" s="3">
        <f>$D727*TCA!K727/100</f>
        <v>0</v>
      </c>
      <c r="L727" s="3">
        <f>$D727*TCA!L727/100</f>
        <v>0</v>
      </c>
      <c r="M727" s="3">
        <f>$D727*TCA!M727/100</f>
        <v>0</v>
      </c>
      <c r="N727" s="3">
        <f>$D727*TCA!N727/100</f>
        <v>0</v>
      </c>
      <c r="O727" s="3">
        <f>$D727*TCA!O727/100</f>
        <v>0</v>
      </c>
      <c r="P727" s="3" t="e">
        <f t="shared" si="11"/>
        <v>#DIV/0!</v>
      </c>
      <c r="Q727" s="3">
        <f>$D727*TCA!P727/100</f>
        <v>0</v>
      </c>
      <c r="R727" s="3">
        <f>$D727*TCA!Q727/100</f>
        <v>0</v>
      </c>
      <c r="S727" s="3">
        <f>$D727*TCA!R727/100</f>
        <v>10</v>
      </c>
      <c r="T727" s="3">
        <f>$D727*TCA!S727/100</f>
        <v>0</v>
      </c>
      <c r="U727" s="3">
        <f>$D727*TCA!T727/100</f>
        <v>0</v>
      </c>
      <c r="V727" s="3">
        <f>$D727*TCA!U727/100</f>
        <v>0</v>
      </c>
      <c r="W727" s="3">
        <f>$D727*TCA!V727/100</f>
        <v>0</v>
      </c>
      <c r="X727" s="3">
        <f>$D727*TCA!W727/100</f>
        <v>0</v>
      </c>
    </row>
    <row r="728" spans="1:24" x14ac:dyDescent="0.25">
      <c r="A728" s="3" t="s">
        <v>2033</v>
      </c>
      <c r="B728" s="3" t="s">
        <v>1432</v>
      </c>
      <c r="C728" s="3" t="s">
        <v>1433</v>
      </c>
      <c r="D728" s="3">
        <v>100</v>
      </c>
      <c r="E728" s="3">
        <f>$D728*TCA!E728/100</f>
        <v>388</v>
      </c>
      <c r="F728" s="3">
        <f>$D728*TCA!F728/100</f>
        <v>8</v>
      </c>
      <c r="G728" s="3">
        <f>$D728*TCA!G728/100</f>
        <v>4</v>
      </c>
      <c r="H728" s="3">
        <f>$D728*TCA!H728/100</f>
        <v>80</v>
      </c>
      <c r="I728" s="3">
        <f>$D728*TCA!I728/100</f>
        <v>4</v>
      </c>
      <c r="J728" s="3">
        <f>$D728*TCA!J728/100</f>
        <v>2</v>
      </c>
      <c r="K728" s="3">
        <f>$D728*TCA!K728/100</f>
        <v>0</v>
      </c>
      <c r="L728" s="3">
        <f>$D728*TCA!L728/100</f>
        <v>0</v>
      </c>
      <c r="M728" s="3">
        <f>$D728*TCA!M728/100</f>
        <v>0</v>
      </c>
      <c r="N728" s="3">
        <f>$D728*TCA!N728/100</f>
        <v>10</v>
      </c>
      <c r="O728" s="3">
        <f>$D728*TCA!O728/100</f>
        <v>10</v>
      </c>
      <c r="P728" s="3">
        <f t="shared" si="11"/>
        <v>1.25</v>
      </c>
      <c r="Q728" s="3">
        <f>$D728*TCA!P728/100</f>
        <v>60</v>
      </c>
      <c r="R728" s="3">
        <f>$D728*TCA!Q728/100</f>
        <v>0</v>
      </c>
      <c r="S728" s="3">
        <f>$D728*TCA!R728/100</f>
        <v>300</v>
      </c>
      <c r="T728" s="3">
        <f>$D728*TCA!S728/100</f>
        <v>0</v>
      </c>
      <c r="U728" s="3">
        <f>$D728*TCA!T728/100</f>
        <v>100</v>
      </c>
      <c r="V728" s="3">
        <f>$D728*TCA!U728/100</f>
        <v>0</v>
      </c>
      <c r="W728" s="3">
        <f>$D728*TCA!V728/100</f>
        <v>0</v>
      </c>
      <c r="X728" s="3">
        <f>$D728*TCA!W728/100</f>
        <v>0</v>
      </c>
    </row>
    <row r="729" spans="1:24" x14ac:dyDescent="0.25">
      <c r="A729" s="3" t="s">
        <v>2033</v>
      </c>
      <c r="B729" s="3" t="s">
        <v>1434</v>
      </c>
      <c r="C729" s="3" t="s">
        <v>1435</v>
      </c>
      <c r="D729" s="3">
        <v>100</v>
      </c>
      <c r="E729" s="3">
        <f>$D729*TCA!E729/100</f>
        <v>369.4</v>
      </c>
      <c r="F729" s="3">
        <f>$D729*TCA!F729/100</f>
        <v>0.4</v>
      </c>
      <c r="G729" s="3">
        <f>$D729*TCA!G729/100</f>
        <v>1</v>
      </c>
      <c r="H729" s="3">
        <f>$D729*TCA!H729/100</f>
        <v>89.7</v>
      </c>
      <c r="I729" s="3">
        <f>$D729*TCA!I729/100</f>
        <v>0</v>
      </c>
      <c r="J729" s="3">
        <f>$D729*TCA!J729/100</f>
        <v>0</v>
      </c>
      <c r="K729" s="3">
        <f>$D729*TCA!K729/100</f>
        <v>0</v>
      </c>
      <c r="L729" s="3">
        <f>$D729*TCA!L729/100</f>
        <v>0</v>
      </c>
      <c r="M729" s="3">
        <f>$D729*TCA!M729/100</f>
        <v>0</v>
      </c>
      <c r="N729" s="3">
        <f>$D729*TCA!N729/100</f>
        <v>18</v>
      </c>
      <c r="O729" s="3">
        <f>$D729*TCA!O729/100</f>
        <v>23</v>
      </c>
      <c r="P729" s="3">
        <f t="shared" si="11"/>
        <v>57.5</v>
      </c>
      <c r="Q729" s="3">
        <f>$D729*TCA!P729/100</f>
        <v>2.2999999999999998</v>
      </c>
      <c r="R729" s="3">
        <f>$D729*TCA!Q729/100</f>
        <v>0</v>
      </c>
      <c r="S729" s="3">
        <f>$D729*TCA!R729/100</f>
        <v>0</v>
      </c>
      <c r="T729" s="3">
        <f>$D729*TCA!S729/100</f>
        <v>0</v>
      </c>
      <c r="U729" s="3">
        <f>$D729*TCA!T729/100</f>
        <v>7</v>
      </c>
      <c r="V729" s="3">
        <f>$D729*TCA!U729/100</f>
        <v>0</v>
      </c>
      <c r="W729" s="3">
        <f>$D729*TCA!V729/100</f>
        <v>0</v>
      </c>
      <c r="X729" s="3">
        <f>$D729*TCA!W729/100</f>
        <v>0</v>
      </c>
    </row>
    <row r="730" spans="1:24" x14ac:dyDescent="0.25">
      <c r="A730" s="3" t="s">
        <v>2033</v>
      </c>
      <c r="B730" s="3" t="s">
        <v>1436</v>
      </c>
      <c r="C730" s="3" t="s">
        <v>1437</v>
      </c>
      <c r="D730" s="3">
        <v>100</v>
      </c>
      <c r="E730" s="3">
        <f>$D730*TCA!E730/100</f>
        <v>405.2</v>
      </c>
      <c r="F730" s="3">
        <f>$D730*TCA!F730/100</f>
        <v>0.1</v>
      </c>
      <c r="G730" s="3">
        <f>$D730*TCA!G730/100</f>
        <v>2.8</v>
      </c>
      <c r="H730" s="3">
        <f>$D730*TCA!H730/100</f>
        <v>94.9</v>
      </c>
      <c r="I730" s="3">
        <f>$D730*TCA!I730/100</f>
        <v>0</v>
      </c>
      <c r="J730" s="3">
        <f>$D730*TCA!J730/100</f>
        <v>0</v>
      </c>
      <c r="K730" s="3">
        <f>$D730*TCA!K730/100</f>
        <v>0</v>
      </c>
      <c r="L730" s="3">
        <f>$D730*TCA!L730/100</f>
        <v>0</v>
      </c>
      <c r="M730" s="3">
        <f>$D730*TCA!M730/100</f>
        <v>0</v>
      </c>
      <c r="N730" s="3">
        <f>$D730*TCA!N730/100</f>
        <v>14</v>
      </c>
      <c r="O730" s="3">
        <f>$D730*TCA!O730/100</f>
        <v>10</v>
      </c>
      <c r="P730" s="3">
        <f t="shared" si="11"/>
        <v>100</v>
      </c>
      <c r="Q730" s="3">
        <f>$D730*TCA!P730/100</f>
        <v>2.1</v>
      </c>
      <c r="R730" s="3">
        <f>$D730*TCA!Q730/100</f>
        <v>0</v>
      </c>
      <c r="S730" s="3">
        <f>$D730*TCA!R730/100</f>
        <v>0</v>
      </c>
      <c r="T730" s="3">
        <f>$D730*TCA!S730/100</f>
        <v>0</v>
      </c>
      <c r="U730" s="3">
        <f>$D730*TCA!T730/100</f>
        <v>4</v>
      </c>
      <c r="V730" s="3">
        <f>$D730*TCA!U730/100</f>
        <v>0</v>
      </c>
      <c r="W730" s="3">
        <f>$D730*TCA!V730/100</f>
        <v>0</v>
      </c>
      <c r="X730" s="3">
        <f>$D730*TCA!W730/100</f>
        <v>0</v>
      </c>
    </row>
    <row r="731" spans="1:24" x14ac:dyDescent="0.25">
      <c r="A731" s="3" t="s">
        <v>2033</v>
      </c>
      <c r="B731" s="3" t="s">
        <v>1438</v>
      </c>
      <c r="C731" s="3" t="s">
        <v>1439</v>
      </c>
      <c r="D731" s="3">
        <v>100</v>
      </c>
      <c r="E731" s="3">
        <f>$D731*TCA!E731/100</f>
        <v>370</v>
      </c>
      <c r="F731" s="3">
        <f>$D731*TCA!F731/100</f>
        <v>6.67</v>
      </c>
      <c r="G731" s="3">
        <f>$D731*TCA!G731/100</f>
        <v>10</v>
      </c>
      <c r="H731" s="3">
        <f>$D731*TCA!H731/100</f>
        <v>63.33</v>
      </c>
      <c r="I731" s="3">
        <f>$D731*TCA!I731/100</f>
        <v>0</v>
      </c>
      <c r="J731" s="3">
        <f>$D731*TCA!J731/100</f>
        <v>5.33</v>
      </c>
      <c r="K731" s="3">
        <f>$D731*TCA!K731/100</f>
        <v>0</v>
      </c>
      <c r="L731" s="3">
        <f>$D731*TCA!L731/100</f>
        <v>0</v>
      </c>
      <c r="M731" s="3">
        <f>$D731*TCA!M731/100</f>
        <v>33.33</v>
      </c>
      <c r="N731" s="3">
        <f>$D731*TCA!N731/100</f>
        <v>0</v>
      </c>
      <c r="O731" s="3">
        <f>$D731*TCA!O731/100</f>
        <v>0</v>
      </c>
      <c r="P731" s="3">
        <f t="shared" si="11"/>
        <v>0</v>
      </c>
      <c r="Q731" s="3">
        <f>$D731*TCA!P731/100</f>
        <v>0</v>
      </c>
      <c r="R731" s="3">
        <f>$D731*TCA!Q731/100</f>
        <v>0</v>
      </c>
      <c r="S731" s="3">
        <f>$D731*TCA!R731/100</f>
        <v>150</v>
      </c>
      <c r="T731" s="3">
        <f>$D731*TCA!S731/100</f>
        <v>0</v>
      </c>
      <c r="U731" s="3">
        <f>$D731*TCA!T731/100</f>
        <v>0</v>
      </c>
      <c r="V731" s="3">
        <f>$D731*TCA!U731/100</f>
        <v>0</v>
      </c>
      <c r="W731" s="3">
        <f>$D731*TCA!V731/100</f>
        <v>0</v>
      </c>
      <c r="X731" s="3">
        <f>$D731*TCA!W731/100</f>
        <v>0</v>
      </c>
    </row>
    <row r="732" spans="1:24" x14ac:dyDescent="0.25">
      <c r="A732" s="3" t="s">
        <v>2033</v>
      </c>
      <c r="B732" s="3" t="s">
        <v>1440</v>
      </c>
      <c r="C732" s="3" t="s">
        <v>1441</v>
      </c>
      <c r="D732" s="3">
        <v>100</v>
      </c>
      <c r="E732" s="3">
        <f>$D732*TCA!E732/100</f>
        <v>340</v>
      </c>
      <c r="F732" s="3">
        <f>$D732*TCA!F732/100</f>
        <v>6.67</v>
      </c>
      <c r="G732" s="3">
        <f>$D732*TCA!G732/100</f>
        <v>6.67</v>
      </c>
      <c r="H732" s="3">
        <f>$D732*TCA!H732/100</f>
        <v>63.33</v>
      </c>
      <c r="I732" s="3">
        <f>$D732*TCA!I732/100</f>
        <v>0</v>
      </c>
      <c r="J732" s="3">
        <f>$D732*TCA!J732/100</f>
        <v>5</v>
      </c>
      <c r="K732" s="3">
        <f>$D732*TCA!K732/100</f>
        <v>0</v>
      </c>
      <c r="L732" s="3">
        <f>$D732*TCA!L732/100</f>
        <v>0</v>
      </c>
      <c r="M732" s="3">
        <f>$D732*TCA!M732/100</f>
        <v>23.33</v>
      </c>
      <c r="N732" s="3">
        <f>$D732*TCA!N732/100</f>
        <v>0</v>
      </c>
      <c r="O732" s="3">
        <f>$D732*TCA!O732/100</f>
        <v>0</v>
      </c>
      <c r="P732" s="3">
        <f t="shared" si="11"/>
        <v>0</v>
      </c>
      <c r="Q732" s="3">
        <f>$D732*TCA!P732/100</f>
        <v>0</v>
      </c>
      <c r="R732" s="3">
        <f>$D732*TCA!Q732/100</f>
        <v>0</v>
      </c>
      <c r="S732" s="3">
        <f>$D732*TCA!R732/100</f>
        <v>133.33000000000001</v>
      </c>
      <c r="T732" s="3">
        <f>$D732*TCA!S732/100</f>
        <v>0</v>
      </c>
      <c r="U732" s="3">
        <f>$D732*TCA!T732/100</f>
        <v>0</v>
      </c>
      <c r="V732" s="3">
        <f>$D732*TCA!U732/100</f>
        <v>0</v>
      </c>
      <c r="W732" s="3">
        <f>$D732*TCA!V732/100</f>
        <v>0</v>
      </c>
      <c r="X732" s="3">
        <f>$D732*TCA!W732/100</f>
        <v>0</v>
      </c>
    </row>
    <row r="733" spans="1:24" x14ac:dyDescent="0.25">
      <c r="A733" s="3" t="s">
        <v>2033</v>
      </c>
      <c r="B733" s="3" t="s">
        <v>1442</v>
      </c>
      <c r="C733" s="3" t="s">
        <v>1443</v>
      </c>
      <c r="D733" s="3">
        <v>100</v>
      </c>
      <c r="E733" s="3">
        <f>$D733*TCA!E733/100</f>
        <v>305</v>
      </c>
      <c r="F733" s="3">
        <f>$D733*TCA!F733/100</f>
        <v>10</v>
      </c>
      <c r="G733" s="3">
        <f>$D733*TCA!G733/100</f>
        <v>5</v>
      </c>
      <c r="H733" s="3">
        <f>$D733*TCA!H733/100</f>
        <v>55</v>
      </c>
      <c r="I733" s="3">
        <f>$D733*TCA!I733/100</f>
        <v>0</v>
      </c>
      <c r="J733" s="3">
        <f>$D733*TCA!J733/100</f>
        <v>5</v>
      </c>
      <c r="K733" s="3">
        <f>$D733*TCA!K733/100</f>
        <v>0</v>
      </c>
      <c r="L733" s="3">
        <f>$D733*TCA!L733/100</f>
        <v>0</v>
      </c>
      <c r="M733" s="3">
        <f>$D733*TCA!M733/100</f>
        <v>20</v>
      </c>
      <c r="N733" s="3">
        <f>$D733*TCA!N733/100</f>
        <v>0</v>
      </c>
      <c r="O733" s="3">
        <f>$D733*TCA!O733/100</f>
        <v>0</v>
      </c>
      <c r="P733" s="3">
        <f t="shared" si="11"/>
        <v>0</v>
      </c>
      <c r="Q733" s="3">
        <f>$D733*TCA!P733/100</f>
        <v>0</v>
      </c>
      <c r="R733" s="3">
        <f>$D733*TCA!Q733/100</f>
        <v>0</v>
      </c>
      <c r="S733" s="3">
        <f>$D733*TCA!R733/100</f>
        <v>120</v>
      </c>
      <c r="T733" s="3">
        <f>$D733*TCA!S733/100</f>
        <v>0</v>
      </c>
      <c r="U733" s="3">
        <f>$D733*TCA!T733/100</f>
        <v>0</v>
      </c>
      <c r="V733" s="3">
        <f>$D733*TCA!U733/100</f>
        <v>0</v>
      </c>
      <c r="W733" s="3">
        <f>$D733*TCA!V733/100</f>
        <v>0</v>
      </c>
      <c r="X733" s="3">
        <f>$D733*TCA!W733/100</f>
        <v>0</v>
      </c>
    </row>
    <row r="734" spans="1:24" x14ac:dyDescent="0.25">
      <c r="A734" s="3" t="s">
        <v>2033</v>
      </c>
      <c r="B734" s="3" t="s">
        <v>1444</v>
      </c>
      <c r="C734" s="3" t="s">
        <v>1445</v>
      </c>
      <c r="D734" s="3">
        <v>100</v>
      </c>
      <c r="E734" s="3">
        <f>$D734*TCA!E734/100</f>
        <v>370</v>
      </c>
      <c r="F734" s="3">
        <f>$D734*TCA!F734/100</f>
        <v>10</v>
      </c>
      <c r="G734" s="3">
        <f>$D734*TCA!G734/100</f>
        <v>10</v>
      </c>
      <c r="H734" s="3">
        <f>$D734*TCA!H734/100</f>
        <v>60</v>
      </c>
      <c r="I734" s="3">
        <f>$D734*TCA!I734/100</f>
        <v>0</v>
      </c>
      <c r="J734" s="3">
        <f>$D734*TCA!J734/100</f>
        <v>5</v>
      </c>
      <c r="K734" s="3">
        <f>$D734*TCA!K734/100</f>
        <v>0</v>
      </c>
      <c r="L734" s="3">
        <f>$D734*TCA!L734/100</f>
        <v>0</v>
      </c>
      <c r="M734" s="3">
        <f>$D734*TCA!M734/100</f>
        <v>30</v>
      </c>
      <c r="N734" s="3">
        <f>$D734*TCA!N734/100</f>
        <v>0</v>
      </c>
      <c r="O734" s="3">
        <f>$D734*TCA!O734/100</f>
        <v>0</v>
      </c>
      <c r="P734" s="3">
        <f t="shared" si="11"/>
        <v>0</v>
      </c>
      <c r="Q734" s="3">
        <f>$D734*TCA!P734/100</f>
        <v>0</v>
      </c>
      <c r="R734" s="3">
        <f>$D734*TCA!Q734/100</f>
        <v>0</v>
      </c>
      <c r="S734" s="3">
        <f>$D734*TCA!R734/100</f>
        <v>100</v>
      </c>
      <c r="T734" s="3">
        <f>$D734*TCA!S734/100</f>
        <v>0</v>
      </c>
      <c r="U734" s="3">
        <f>$D734*TCA!T734/100</f>
        <v>0</v>
      </c>
      <c r="V734" s="3">
        <f>$D734*TCA!U734/100</f>
        <v>0</v>
      </c>
      <c r="W734" s="3">
        <f>$D734*TCA!V734/100</f>
        <v>0</v>
      </c>
      <c r="X734" s="3">
        <f>$D734*TCA!W734/100</f>
        <v>0</v>
      </c>
    </row>
    <row r="735" spans="1:24" x14ac:dyDescent="0.25">
      <c r="A735" s="3" t="s">
        <v>2033</v>
      </c>
      <c r="B735" s="3" t="s">
        <v>1446</v>
      </c>
      <c r="C735" s="3" t="s">
        <v>1447</v>
      </c>
      <c r="D735" s="3">
        <v>100</v>
      </c>
      <c r="E735" s="3">
        <f>$D735*TCA!E735/100</f>
        <v>370</v>
      </c>
      <c r="F735" s="3">
        <f>$D735*TCA!F735/100</f>
        <v>10</v>
      </c>
      <c r="G735" s="3">
        <f>$D735*TCA!G735/100</f>
        <v>10</v>
      </c>
      <c r="H735" s="3">
        <f>$D735*TCA!H735/100</f>
        <v>60</v>
      </c>
      <c r="I735" s="3">
        <f>$D735*TCA!I735/100</f>
        <v>0</v>
      </c>
      <c r="J735" s="3">
        <f>$D735*TCA!J735/100</f>
        <v>5</v>
      </c>
      <c r="K735" s="3">
        <f>$D735*TCA!K735/100</f>
        <v>0</v>
      </c>
      <c r="L735" s="3">
        <f>$D735*TCA!L735/100</f>
        <v>0</v>
      </c>
      <c r="M735" s="3">
        <f>$D735*TCA!M735/100</f>
        <v>30</v>
      </c>
      <c r="N735" s="3">
        <f>$D735*TCA!N735/100</f>
        <v>0</v>
      </c>
      <c r="O735" s="3">
        <f>$D735*TCA!O735/100</f>
        <v>0</v>
      </c>
      <c r="P735" s="3">
        <f t="shared" si="11"/>
        <v>0</v>
      </c>
      <c r="Q735" s="3">
        <f>$D735*TCA!P735/100</f>
        <v>0</v>
      </c>
      <c r="R735" s="3">
        <f>$D735*TCA!Q735/100</f>
        <v>0</v>
      </c>
      <c r="S735" s="3">
        <f>$D735*TCA!R735/100</f>
        <v>100</v>
      </c>
      <c r="T735" s="3">
        <f>$D735*TCA!S735/100</f>
        <v>0</v>
      </c>
      <c r="U735" s="3">
        <f>$D735*TCA!T735/100</f>
        <v>0</v>
      </c>
      <c r="V735" s="3">
        <f>$D735*TCA!U735/100</f>
        <v>0</v>
      </c>
      <c r="W735" s="3">
        <f>$D735*TCA!V735/100</f>
        <v>0</v>
      </c>
      <c r="X735" s="3">
        <f>$D735*TCA!W735/100</f>
        <v>0</v>
      </c>
    </row>
    <row r="736" spans="1:24" x14ac:dyDescent="0.25">
      <c r="A736" s="3" t="s">
        <v>2033</v>
      </c>
      <c r="B736" s="3" t="s">
        <v>1448</v>
      </c>
      <c r="C736" s="3" t="s">
        <v>1449</v>
      </c>
      <c r="D736" s="3">
        <v>100</v>
      </c>
      <c r="E736" s="3">
        <f>$D736*TCA!E736/100</f>
        <v>353.33</v>
      </c>
      <c r="F736" s="3">
        <f>$D736*TCA!F736/100</f>
        <v>6.67</v>
      </c>
      <c r="G736" s="3">
        <f>$D736*TCA!G736/100</f>
        <v>6.67</v>
      </c>
      <c r="H736" s="3">
        <f>$D736*TCA!H736/100</f>
        <v>66.67</v>
      </c>
      <c r="I736" s="3">
        <f>$D736*TCA!I736/100</f>
        <v>0</v>
      </c>
      <c r="J736" s="3">
        <f>$D736*TCA!J736/100</f>
        <v>0</v>
      </c>
      <c r="K736" s="3">
        <f>$D736*TCA!K736/100</f>
        <v>0</v>
      </c>
      <c r="L736" s="3">
        <f>$D736*TCA!L736/100</f>
        <v>0</v>
      </c>
      <c r="M736" s="3">
        <f>$D736*TCA!M736/100</f>
        <v>26.67</v>
      </c>
      <c r="N736" s="3">
        <f>$D736*TCA!N736/100</f>
        <v>0</v>
      </c>
      <c r="O736" s="3">
        <f>$D736*TCA!O736/100</f>
        <v>0</v>
      </c>
      <c r="P736" s="3">
        <f t="shared" si="11"/>
        <v>0</v>
      </c>
      <c r="Q736" s="3">
        <f>$D736*TCA!P736/100</f>
        <v>0</v>
      </c>
      <c r="R736" s="3">
        <f>$D736*TCA!Q736/100</f>
        <v>0</v>
      </c>
      <c r="S736" s="3">
        <f>$D736*TCA!R736/100</f>
        <v>166.67</v>
      </c>
      <c r="T736" s="3">
        <f>$D736*TCA!S736/100</f>
        <v>0</v>
      </c>
      <c r="U736" s="3">
        <f>$D736*TCA!T736/100</f>
        <v>0</v>
      </c>
      <c r="V736" s="3">
        <f>$D736*TCA!U736/100</f>
        <v>0</v>
      </c>
      <c r="W736" s="3">
        <f>$D736*TCA!V736/100</f>
        <v>0</v>
      </c>
      <c r="X736" s="3">
        <f>$D736*TCA!W736/100</f>
        <v>0</v>
      </c>
    </row>
    <row r="737" spans="1:24" x14ac:dyDescent="0.25">
      <c r="A737" s="3" t="s">
        <v>2033</v>
      </c>
      <c r="B737" s="3" t="s">
        <v>1450</v>
      </c>
      <c r="C737" s="3" t="s">
        <v>1451</v>
      </c>
      <c r="D737" s="3">
        <v>100</v>
      </c>
      <c r="E737" s="3">
        <f>$D737*TCA!E737/100</f>
        <v>0</v>
      </c>
      <c r="F737" s="3">
        <f>$D737*TCA!F737/100</f>
        <v>0</v>
      </c>
      <c r="G737" s="3">
        <f>$D737*TCA!G737/100</f>
        <v>0</v>
      </c>
      <c r="H737" s="3">
        <f>$D737*TCA!H737/100</f>
        <v>0</v>
      </c>
      <c r="I737" s="3">
        <f>$D737*TCA!I737/100</f>
        <v>0</v>
      </c>
      <c r="J737" s="3">
        <f>$D737*TCA!J737/100</f>
        <v>0</v>
      </c>
      <c r="K737" s="3">
        <f>$D737*TCA!K737/100</f>
        <v>0</v>
      </c>
      <c r="L737" s="3">
        <f>$D737*TCA!L737/100</f>
        <v>0</v>
      </c>
      <c r="M737" s="3">
        <f>$D737*TCA!M737/100</f>
        <v>0</v>
      </c>
      <c r="N737" s="3">
        <f>$D737*TCA!N737/100</f>
        <v>0</v>
      </c>
      <c r="O737" s="3">
        <f>$D737*TCA!O737/100</f>
        <v>0</v>
      </c>
      <c r="P737" s="3" t="e">
        <f t="shared" si="11"/>
        <v>#DIV/0!</v>
      </c>
      <c r="Q737" s="3">
        <f>$D737*TCA!P737/100</f>
        <v>0</v>
      </c>
      <c r="R737" s="3">
        <f>$D737*TCA!Q737/100</f>
        <v>0</v>
      </c>
      <c r="S737" s="3">
        <f>$D737*TCA!R737/100</f>
        <v>0</v>
      </c>
      <c r="T737" s="3">
        <f>$D737*TCA!S737/100</f>
        <v>0</v>
      </c>
      <c r="U737" s="3">
        <f>$D737*TCA!T737/100</f>
        <v>0</v>
      </c>
      <c r="V737" s="3">
        <f>$D737*TCA!U737/100</f>
        <v>0</v>
      </c>
      <c r="W737" s="3">
        <f>$D737*TCA!V737/100</f>
        <v>0</v>
      </c>
      <c r="X737" s="3">
        <f>$D737*TCA!W737/100</f>
        <v>0</v>
      </c>
    </row>
    <row r="738" spans="1:24" x14ac:dyDescent="0.25">
      <c r="A738" s="3" t="s">
        <v>2033</v>
      </c>
      <c r="B738" s="3" t="s">
        <v>1452</v>
      </c>
      <c r="C738" s="3" t="s">
        <v>1453</v>
      </c>
      <c r="D738" s="3">
        <v>100</v>
      </c>
      <c r="E738" s="3">
        <f>$D738*TCA!E738/100</f>
        <v>0</v>
      </c>
      <c r="F738" s="3">
        <f>$D738*TCA!F738/100</f>
        <v>0</v>
      </c>
      <c r="G738" s="3">
        <f>$D738*TCA!G738/100</f>
        <v>0</v>
      </c>
      <c r="H738" s="3">
        <f>$D738*TCA!H738/100</f>
        <v>0</v>
      </c>
      <c r="I738" s="3">
        <f>$D738*TCA!I738/100</f>
        <v>0</v>
      </c>
      <c r="J738" s="3">
        <f>$D738*TCA!J738/100</f>
        <v>0</v>
      </c>
      <c r="K738" s="3">
        <f>$D738*TCA!K738/100</f>
        <v>0</v>
      </c>
      <c r="L738" s="3">
        <f>$D738*TCA!L738/100</f>
        <v>0</v>
      </c>
      <c r="M738" s="3">
        <f>$D738*TCA!M738/100</f>
        <v>0</v>
      </c>
      <c r="N738" s="3">
        <f>$D738*TCA!N738/100</f>
        <v>0</v>
      </c>
      <c r="O738" s="3">
        <f>$D738*TCA!O738/100</f>
        <v>0</v>
      </c>
      <c r="P738" s="3" t="e">
        <f t="shared" si="11"/>
        <v>#DIV/0!</v>
      </c>
      <c r="Q738" s="3">
        <f>$D738*TCA!P738/100</f>
        <v>0</v>
      </c>
      <c r="R738" s="3">
        <f>$D738*TCA!Q738/100</f>
        <v>0</v>
      </c>
      <c r="S738" s="3">
        <f>$D738*TCA!R738/100</f>
        <v>0</v>
      </c>
      <c r="T738" s="3">
        <f>$D738*TCA!S738/100</f>
        <v>0</v>
      </c>
      <c r="U738" s="3">
        <f>$D738*TCA!T738/100</f>
        <v>0</v>
      </c>
      <c r="V738" s="3">
        <f>$D738*TCA!U738/100</f>
        <v>0</v>
      </c>
      <c r="W738" s="3">
        <f>$D738*TCA!V738/100</f>
        <v>0</v>
      </c>
      <c r="X738" s="3">
        <f>$D738*TCA!W738/100</f>
        <v>0</v>
      </c>
    </row>
    <row r="739" spans="1:24" x14ac:dyDescent="0.25">
      <c r="A739" s="3" t="s">
        <v>2033</v>
      </c>
      <c r="B739" s="3" t="s">
        <v>1454</v>
      </c>
      <c r="C739" s="3" t="s">
        <v>1455</v>
      </c>
      <c r="D739" s="3">
        <v>100</v>
      </c>
      <c r="E739" s="3">
        <f>$D739*TCA!E739/100</f>
        <v>0</v>
      </c>
      <c r="F739" s="3">
        <f>$D739*TCA!F739/100</f>
        <v>0</v>
      </c>
      <c r="G739" s="3">
        <f>$D739*TCA!G739/100</f>
        <v>0</v>
      </c>
      <c r="H739" s="3">
        <f>$D739*TCA!H739/100</f>
        <v>0</v>
      </c>
      <c r="I739" s="3">
        <f>$D739*TCA!I739/100</f>
        <v>0</v>
      </c>
      <c r="J739" s="3">
        <f>$D739*TCA!J739/100</f>
        <v>0</v>
      </c>
      <c r="K739" s="3">
        <f>$D739*TCA!K739/100</f>
        <v>0</v>
      </c>
      <c r="L739" s="3">
        <f>$D739*TCA!L739/100</f>
        <v>0</v>
      </c>
      <c r="M739" s="3">
        <f>$D739*TCA!M739/100</f>
        <v>0</v>
      </c>
      <c r="N739" s="3">
        <f>$D739*TCA!N739/100</f>
        <v>0</v>
      </c>
      <c r="O739" s="3">
        <f>$D739*TCA!O739/100</f>
        <v>0</v>
      </c>
      <c r="P739" s="3" t="e">
        <f t="shared" si="11"/>
        <v>#DIV/0!</v>
      </c>
      <c r="Q739" s="3">
        <f>$D739*TCA!P739/100</f>
        <v>0</v>
      </c>
      <c r="R739" s="3">
        <f>$D739*TCA!Q739/100</f>
        <v>0</v>
      </c>
      <c r="S739" s="3">
        <f>$D739*TCA!R739/100</f>
        <v>0</v>
      </c>
      <c r="T739" s="3">
        <f>$D739*TCA!S739/100</f>
        <v>0</v>
      </c>
      <c r="U739" s="3">
        <f>$D739*TCA!T739/100</f>
        <v>0</v>
      </c>
      <c r="V739" s="3">
        <f>$D739*TCA!U739/100</f>
        <v>0</v>
      </c>
      <c r="W739" s="3">
        <f>$D739*TCA!V739/100</f>
        <v>0</v>
      </c>
      <c r="X739" s="3">
        <f>$D739*TCA!W739/100</f>
        <v>0</v>
      </c>
    </row>
    <row r="740" spans="1:24" x14ac:dyDescent="0.25">
      <c r="A740" s="3" t="s">
        <v>2033</v>
      </c>
      <c r="B740" s="3" t="s">
        <v>1456</v>
      </c>
      <c r="C740" s="3" t="s">
        <v>1457</v>
      </c>
      <c r="D740" s="3">
        <v>100</v>
      </c>
      <c r="E740" s="3">
        <f>$D740*TCA!E740/100</f>
        <v>320</v>
      </c>
      <c r="F740" s="3">
        <f>$D740*TCA!F740/100</f>
        <v>0</v>
      </c>
      <c r="G740" s="3">
        <f>$D740*TCA!G740/100</f>
        <v>0</v>
      </c>
      <c r="H740" s="3">
        <f>$D740*TCA!H740/100</f>
        <v>80</v>
      </c>
      <c r="I740" s="3">
        <f>$D740*TCA!I740/100</f>
        <v>0</v>
      </c>
      <c r="J740" s="3">
        <f>$D740*TCA!J740/100</f>
        <v>0</v>
      </c>
      <c r="K740" s="3">
        <f>$D740*TCA!K740/100</f>
        <v>0</v>
      </c>
      <c r="L740" s="3">
        <f>$D740*TCA!L740/100</f>
        <v>0</v>
      </c>
      <c r="M740" s="3">
        <f>$D740*TCA!M740/100</f>
        <v>0</v>
      </c>
      <c r="N740" s="3">
        <f>$D740*TCA!N740/100</f>
        <v>0</v>
      </c>
      <c r="O740" s="3">
        <f>$D740*TCA!O740/100</f>
        <v>0</v>
      </c>
      <c r="P740" s="3" t="e">
        <f t="shared" si="11"/>
        <v>#DIV/0!</v>
      </c>
      <c r="Q740" s="3">
        <f>$D740*TCA!P740/100</f>
        <v>0</v>
      </c>
      <c r="R740" s="3">
        <f>$D740*TCA!Q740/100</f>
        <v>0</v>
      </c>
      <c r="S740" s="3">
        <f>$D740*TCA!R740/100</f>
        <v>0</v>
      </c>
      <c r="T740" s="3">
        <f>$D740*TCA!S740/100</f>
        <v>0</v>
      </c>
      <c r="U740" s="3">
        <f>$D740*TCA!T740/100</f>
        <v>0</v>
      </c>
      <c r="V740" s="3">
        <f>$D740*TCA!U740/100</f>
        <v>0</v>
      </c>
      <c r="W740" s="3">
        <f>$D740*TCA!V740/100</f>
        <v>0</v>
      </c>
      <c r="X740" s="3">
        <f>$D740*TCA!W740/100</f>
        <v>0</v>
      </c>
    </row>
    <row r="741" spans="1:24" x14ac:dyDescent="0.25">
      <c r="A741" s="3" t="s">
        <v>2033</v>
      </c>
      <c r="B741" s="3" t="s">
        <v>1458</v>
      </c>
      <c r="C741" s="3" t="s">
        <v>1459</v>
      </c>
      <c r="D741" s="3">
        <v>100</v>
      </c>
      <c r="E741" s="3">
        <f>$D741*TCA!E741/100</f>
        <v>0</v>
      </c>
      <c r="F741" s="3">
        <f>$D741*TCA!F741/100</f>
        <v>0</v>
      </c>
      <c r="G741" s="3">
        <f>$D741*TCA!G741/100</f>
        <v>0</v>
      </c>
      <c r="H741" s="3">
        <f>$D741*TCA!H741/100</f>
        <v>0</v>
      </c>
      <c r="I741" s="3">
        <f>$D741*TCA!I741/100</f>
        <v>0</v>
      </c>
      <c r="J741" s="3">
        <f>$D741*TCA!J741/100</f>
        <v>0</v>
      </c>
      <c r="K741" s="3">
        <f>$D741*TCA!K741/100</f>
        <v>0</v>
      </c>
      <c r="L741" s="3">
        <f>$D741*TCA!L741/100</f>
        <v>0</v>
      </c>
      <c r="M741" s="3">
        <f>$D741*TCA!M741/100</f>
        <v>0</v>
      </c>
      <c r="N741" s="3">
        <f>$D741*TCA!N741/100</f>
        <v>0</v>
      </c>
      <c r="O741" s="3">
        <f>$D741*TCA!O741/100</f>
        <v>0</v>
      </c>
      <c r="P741" s="3" t="e">
        <f t="shared" si="11"/>
        <v>#DIV/0!</v>
      </c>
      <c r="Q741" s="3">
        <f>$D741*TCA!P741/100</f>
        <v>0</v>
      </c>
      <c r="R741" s="3">
        <f>$D741*TCA!Q741/100</f>
        <v>0</v>
      </c>
      <c r="S741" s="3">
        <f>$D741*TCA!R741/100</f>
        <v>0</v>
      </c>
      <c r="T741" s="3">
        <f>$D741*TCA!S741/100</f>
        <v>0</v>
      </c>
      <c r="U741" s="3">
        <f>$D741*TCA!T741/100</f>
        <v>0</v>
      </c>
      <c r="V741" s="3">
        <f>$D741*TCA!U741/100</f>
        <v>0</v>
      </c>
      <c r="W741" s="3">
        <f>$D741*TCA!V741/100</f>
        <v>0</v>
      </c>
      <c r="X741" s="3">
        <f>$D741*TCA!W741/100</f>
        <v>0</v>
      </c>
    </row>
    <row r="742" spans="1:24" x14ac:dyDescent="0.25">
      <c r="A742" s="3" t="s">
        <v>2033</v>
      </c>
      <c r="B742" s="3" t="s">
        <v>1460</v>
      </c>
      <c r="C742" s="3" t="s">
        <v>1461</v>
      </c>
      <c r="D742" s="3">
        <v>100</v>
      </c>
      <c r="E742" s="3">
        <f>$D742*TCA!E742/100</f>
        <v>320</v>
      </c>
      <c r="F742" s="3">
        <f>$D742*TCA!F742/100</f>
        <v>0</v>
      </c>
      <c r="G742" s="3">
        <f>$D742*TCA!G742/100</f>
        <v>0</v>
      </c>
      <c r="H742" s="3">
        <f>$D742*TCA!H742/100</f>
        <v>80</v>
      </c>
      <c r="I742" s="3">
        <f>$D742*TCA!I742/100</f>
        <v>0</v>
      </c>
      <c r="J742" s="3">
        <f>$D742*TCA!J742/100</f>
        <v>0</v>
      </c>
      <c r="K742" s="3">
        <f>$D742*TCA!K742/100</f>
        <v>0</v>
      </c>
      <c r="L742" s="3">
        <f>$D742*TCA!L742/100</f>
        <v>0</v>
      </c>
      <c r="M742" s="3">
        <f>$D742*TCA!M742/100</f>
        <v>0</v>
      </c>
      <c r="N742" s="3">
        <f>$D742*TCA!N742/100</f>
        <v>0</v>
      </c>
      <c r="O742" s="3">
        <f>$D742*TCA!O742/100</f>
        <v>0</v>
      </c>
      <c r="P742" s="3" t="e">
        <f t="shared" si="11"/>
        <v>#DIV/0!</v>
      </c>
      <c r="Q742" s="3">
        <f>$D742*TCA!P742/100</f>
        <v>0</v>
      </c>
      <c r="R742" s="3">
        <f>$D742*TCA!Q742/100</f>
        <v>0</v>
      </c>
      <c r="S742" s="3">
        <f>$D742*TCA!R742/100</f>
        <v>0</v>
      </c>
      <c r="T742" s="3">
        <f>$D742*TCA!S742/100</f>
        <v>0</v>
      </c>
      <c r="U742" s="3">
        <f>$D742*TCA!T742/100</f>
        <v>0</v>
      </c>
      <c r="V742" s="3">
        <f>$D742*TCA!U742/100</f>
        <v>0</v>
      </c>
      <c r="W742" s="3">
        <f>$D742*TCA!V742/100</f>
        <v>0</v>
      </c>
      <c r="X742" s="3">
        <f>$D742*TCA!W742/100</f>
        <v>0</v>
      </c>
    </row>
    <row r="743" spans="1:24" x14ac:dyDescent="0.25">
      <c r="A743" s="3" t="s">
        <v>2033</v>
      </c>
      <c r="B743" s="3" t="s">
        <v>1462</v>
      </c>
      <c r="C743" s="3" t="s">
        <v>1463</v>
      </c>
      <c r="D743" s="3">
        <v>100</v>
      </c>
      <c r="E743" s="3">
        <f>$D743*TCA!E743/100</f>
        <v>0</v>
      </c>
      <c r="F743" s="3">
        <f>$D743*TCA!F743/100</f>
        <v>0</v>
      </c>
      <c r="G743" s="3">
        <f>$D743*TCA!G743/100</f>
        <v>0</v>
      </c>
      <c r="H743" s="3">
        <f>$D743*TCA!H743/100</f>
        <v>0</v>
      </c>
      <c r="I743" s="3">
        <f>$D743*TCA!I743/100</f>
        <v>0</v>
      </c>
      <c r="J743" s="3">
        <f>$D743*TCA!J743/100</f>
        <v>0</v>
      </c>
      <c r="K743" s="3">
        <f>$D743*TCA!K743/100</f>
        <v>0</v>
      </c>
      <c r="L743" s="3">
        <f>$D743*TCA!L743/100</f>
        <v>0</v>
      </c>
      <c r="M743" s="3">
        <f>$D743*TCA!M743/100</f>
        <v>0</v>
      </c>
      <c r="N743" s="3">
        <f>$D743*TCA!N743/100</f>
        <v>0</v>
      </c>
      <c r="O743" s="3">
        <f>$D743*TCA!O743/100</f>
        <v>0</v>
      </c>
      <c r="P743" s="3" t="e">
        <f t="shared" si="11"/>
        <v>#DIV/0!</v>
      </c>
      <c r="Q743" s="3">
        <f>$D743*TCA!P743/100</f>
        <v>0</v>
      </c>
      <c r="R743" s="3">
        <f>$D743*TCA!Q743/100</f>
        <v>0</v>
      </c>
      <c r="S743" s="3">
        <f>$D743*TCA!R743/100</f>
        <v>0</v>
      </c>
      <c r="T743" s="3">
        <f>$D743*TCA!S743/100</f>
        <v>0</v>
      </c>
      <c r="U743" s="3">
        <f>$D743*TCA!T743/100</f>
        <v>0</v>
      </c>
      <c r="V743" s="3">
        <f>$D743*TCA!U743/100</f>
        <v>0</v>
      </c>
      <c r="W743" s="3">
        <f>$D743*TCA!V743/100</f>
        <v>0</v>
      </c>
      <c r="X743" s="3">
        <f>$D743*TCA!W743/100</f>
        <v>0</v>
      </c>
    </row>
    <row r="744" spans="1:24" x14ac:dyDescent="0.25">
      <c r="A744" s="3" t="s">
        <v>2033</v>
      </c>
      <c r="B744" s="3" t="s">
        <v>1464</v>
      </c>
      <c r="C744" s="3" t="s">
        <v>1465</v>
      </c>
      <c r="D744" s="3">
        <v>100</v>
      </c>
      <c r="E744" s="3">
        <f>$D744*TCA!E744/100</f>
        <v>0</v>
      </c>
      <c r="F744" s="3">
        <f>$D744*TCA!F744/100</f>
        <v>0</v>
      </c>
      <c r="G744" s="3">
        <f>$D744*TCA!G744/100</f>
        <v>0</v>
      </c>
      <c r="H744" s="3">
        <f>$D744*TCA!H744/100</f>
        <v>0</v>
      </c>
      <c r="I744" s="3">
        <f>$D744*TCA!I744/100</f>
        <v>0</v>
      </c>
      <c r="J744" s="3">
        <f>$D744*TCA!J744/100</f>
        <v>0</v>
      </c>
      <c r="K744" s="3">
        <f>$D744*TCA!K744/100</f>
        <v>0</v>
      </c>
      <c r="L744" s="3">
        <f>$D744*TCA!L744/100</f>
        <v>0</v>
      </c>
      <c r="M744" s="3">
        <f>$D744*TCA!M744/100</f>
        <v>0</v>
      </c>
      <c r="N744" s="3">
        <f>$D744*TCA!N744/100</f>
        <v>0</v>
      </c>
      <c r="O744" s="3">
        <f>$D744*TCA!O744/100</f>
        <v>0</v>
      </c>
      <c r="P744" s="3" t="e">
        <f t="shared" si="11"/>
        <v>#DIV/0!</v>
      </c>
      <c r="Q744" s="3">
        <f>$D744*TCA!P744/100</f>
        <v>0</v>
      </c>
      <c r="R744" s="3">
        <f>$D744*TCA!Q744/100</f>
        <v>0</v>
      </c>
      <c r="S744" s="3">
        <f>$D744*TCA!R744/100</f>
        <v>0</v>
      </c>
      <c r="T744" s="3">
        <f>$D744*TCA!S744/100</f>
        <v>0</v>
      </c>
      <c r="U744" s="3">
        <f>$D744*TCA!T744/100</f>
        <v>0</v>
      </c>
      <c r="V744" s="3">
        <f>$D744*TCA!U744/100</f>
        <v>0</v>
      </c>
      <c r="W744" s="3">
        <f>$D744*TCA!V744/100</f>
        <v>0</v>
      </c>
      <c r="X744" s="3">
        <f>$D744*TCA!W744/100</f>
        <v>0</v>
      </c>
    </row>
    <row r="745" spans="1:24" x14ac:dyDescent="0.25">
      <c r="A745" s="3" t="s">
        <v>2033</v>
      </c>
      <c r="B745" s="3" t="s">
        <v>1466</v>
      </c>
      <c r="C745" s="3" t="s">
        <v>1467</v>
      </c>
      <c r="D745" s="3">
        <v>100</v>
      </c>
      <c r="E745" s="3">
        <f>$D745*TCA!E745/100</f>
        <v>0</v>
      </c>
      <c r="F745" s="3">
        <f>$D745*TCA!F745/100</f>
        <v>0</v>
      </c>
      <c r="G745" s="3">
        <f>$D745*TCA!G745/100</f>
        <v>0</v>
      </c>
      <c r="H745" s="3">
        <f>$D745*TCA!H745/100</f>
        <v>0</v>
      </c>
      <c r="I745" s="3">
        <f>$D745*TCA!I745/100</f>
        <v>0</v>
      </c>
      <c r="J745" s="3">
        <f>$D745*TCA!J745/100</f>
        <v>0</v>
      </c>
      <c r="K745" s="3">
        <f>$D745*TCA!K745/100</f>
        <v>0</v>
      </c>
      <c r="L745" s="3">
        <f>$D745*TCA!L745/100</f>
        <v>0</v>
      </c>
      <c r="M745" s="3">
        <f>$D745*TCA!M745/100</f>
        <v>0</v>
      </c>
      <c r="N745" s="3">
        <f>$D745*TCA!N745/100</f>
        <v>0</v>
      </c>
      <c r="O745" s="3">
        <f>$D745*TCA!O745/100</f>
        <v>0</v>
      </c>
      <c r="P745" s="3" t="e">
        <f t="shared" si="11"/>
        <v>#DIV/0!</v>
      </c>
      <c r="Q745" s="3">
        <f>$D745*TCA!P745/100</f>
        <v>0</v>
      </c>
      <c r="R745" s="3">
        <f>$D745*TCA!Q745/100</f>
        <v>0</v>
      </c>
      <c r="S745" s="3">
        <f>$D745*TCA!R745/100</f>
        <v>0</v>
      </c>
      <c r="T745" s="3">
        <f>$D745*TCA!S745/100</f>
        <v>0</v>
      </c>
      <c r="U745" s="3">
        <f>$D745*TCA!T745/100</f>
        <v>0</v>
      </c>
      <c r="V745" s="3">
        <f>$D745*TCA!U745/100</f>
        <v>0</v>
      </c>
      <c r="W745" s="3">
        <f>$D745*TCA!V745/100</f>
        <v>0</v>
      </c>
      <c r="X745" s="3">
        <f>$D745*TCA!W745/100</f>
        <v>0</v>
      </c>
    </row>
    <row r="746" spans="1:24" x14ac:dyDescent="0.25">
      <c r="A746" s="3" t="s">
        <v>2033</v>
      </c>
      <c r="B746" s="3" t="s">
        <v>1468</v>
      </c>
      <c r="C746" s="3" t="s">
        <v>1469</v>
      </c>
      <c r="D746" s="3">
        <v>100</v>
      </c>
      <c r="E746" s="3">
        <f>$D746*TCA!E746/100</f>
        <v>0</v>
      </c>
      <c r="F746" s="3">
        <f>$D746*TCA!F746/100</f>
        <v>0</v>
      </c>
      <c r="G746" s="3">
        <f>$D746*TCA!G746/100</f>
        <v>0</v>
      </c>
      <c r="H746" s="3">
        <f>$D746*TCA!H746/100</f>
        <v>0</v>
      </c>
      <c r="I746" s="3">
        <f>$D746*TCA!I746/100</f>
        <v>0</v>
      </c>
      <c r="J746" s="3">
        <f>$D746*TCA!J746/100</f>
        <v>0</v>
      </c>
      <c r="K746" s="3">
        <f>$D746*TCA!K746/100</f>
        <v>0</v>
      </c>
      <c r="L746" s="3">
        <f>$D746*TCA!L746/100</f>
        <v>0</v>
      </c>
      <c r="M746" s="3">
        <f>$D746*TCA!M746/100</f>
        <v>0</v>
      </c>
      <c r="N746" s="3">
        <f>$D746*TCA!N746/100</f>
        <v>0</v>
      </c>
      <c r="O746" s="3">
        <f>$D746*TCA!O746/100</f>
        <v>0</v>
      </c>
      <c r="P746" s="3" t="e">
        <f t="shared" si="11"/>
        <v>#DIV/0!</v>
      </c>
      <c r="Q746" s="3">
        <f>$D746*TCA!P746/100</f>
        <v>0</v>
      </c>
      <c r="R746" s="3">
        <f>$D746*TCA!Q746/100</f>
        <v>0</v>
      </c>
      <c r="S746" s="3">
        <f>$D746*TCA!R746/100</f>
        <v>0</v>
      </c>
      <c r="T746" s="3">
        <f>$D746*TCA!S746/100</f>
        <v>0</v>
      </c>
      <c r="U746" s="3">
        <f>$D746*TCA!T746/100</f>
        <v>0</v>
      </c>
      <c r="V746" s="3">
        <f>$D746*TCA!U746/100</f>
        <v>0</v>
      </c>
      <c r="W746" s="3">
        <f>$D746*TCA!V746/100</f>
        <v>0</v>
      </c>
      <c r="X746" s="3">
        <f>$D746*TCA!W746/100</f>
        <v>0</v>
      </c>
    </row>
    <row r="747" spans="1:24" x14ac:dyDescent="0.25">
      <c r="A747" s="3" t="s">
        <v>2033</v>
      </c>
      <c r="B747" s="3" t="s">
        <v>1470</v>
      </c>
      <c r="C747" s="3" t="s">
        <v>1471</v>
      </c>
      <c r="D747" s="3">
        <v>100</v>
      </c>
      <c r="E747" s="3">
        <f>$D747*TCA!E747/100</f>
        <v>225.92</v>
      </c>
      <c r="F747" s="3">
        <f>$D747*TCA!F747/100</f>
        <v>0</v>
      </c>
      <c r="G747" s="3">
        <f>$D747*TCA!G747/100</f>
        <v>0</v>
      </c>
      <c r="H747" s="3">
        <f>$D747*TCA!H747/100</f>
        <v>56.48</v>
      </c>
      <c r="I747" s="3">
        <f>$D747*TCA!I747/100</f>
        <v>0</v>
      </c>
      <c r="J747" s="3">
        <f>$D747*TCA!J747/100</f>
        <v>0</v>
      </c>
      <c r="K747" s="3">
        <f>$D747*TCA!K747/100</f>
        <v>0</v>
      </c>
      <c r="L747" s="3">
        <f>$D747*TCA!L747/100</f>
        <v>0</v>
      </c>
      <c r="M747" s="3">
        <f>$D747*TCA!M747/100</f>
        <v>0</v>
      </c>
      <c r="N747" s="3">
        <f>$D747*TCA!N747/100</f>
        <v>0</v>
      </c>
      <c r="O747" s="3">
        <f>$D747*TCA!O747/100</f>
        <v>8</v>
      </c>
      <c r="P747" s="3" t="e">
        <f t="shared" si="11"/>
        <v>#DIV/0!</v>
      </c>
      <c r="Q747" s="3">
        <f>$D747*TCA!P747/100</f>
        <v>0</v>
      </c>
      <c r="R747" s="3">
        <f>$D747*TCA!Q747/100</f>
        <v>0</v>
      </c>
      <c r="S747" s="3">
        <f>$D747*TCA!R747/100</f>
        <v>0</v>
      </c>
      <c r="T747" s="3">
        <f>$D747*TCA!S747/100</f>
        <v>0</v>
      </c>
      <c r="U747" s="3">
        <f>$D747*TCA!T747/100</f>
        <v>0</v>
      </c>
      <c r="V747" s="3">
        <f>$D747*TCA!U747/100</f>
        <v>0</v>
      </c>
      <c r="W747" s="3">
        <f>$D747*TCA!V747/100</f>
        <v>0</v>
      </c>
      <c r="X747" s="3">
        <f>$D747*TCA!W747/100</f>
        <v>0</v>
      </c>
    </row>
    <row r="748" spans="1:24" x14ac:dyDescent="0.25">
      <c r="A748" s="3" t="s">
        <v>2033</v>
      </c>
      <c r="B748" s="3" t="s">
        <v>1472</v>
      </c>
      <c r="C748" s="3" t="s">
        <v>1473</v>
      </c>
      <c r="D748" s="3">
        <v>100</v>
      </c>
      <c r="E748" s="3">
        <f>$D748*TCA!E748/100</f>
        <v>269.94</v>
      </c>
      <c r="F748" s="3">
        <f>$D748*TCA!F748/100</f>
        <v>0.26</v>
      </c>
      <c r="G748" s="3">
        <f>$D748*TCA!G748/100</f>
        <v>0.82</v>
      </c>
      <c r="H748" s="3">
        <f>$D748*TCA!H748/100</f>
        <v>65.38</v>
      </c>
      <c r="I748" s="3">
        <f>$D748*TCA!I748/100</f>
        <v>0.15</v>
      </c>
      <c r="J748" s="3">
        <f>$D748*TCA!J748/100</f>
        <v>0</v>
      </c>
      <c r="K748" s="3">
        <f>$D748*TCA!K748/100</f>
        <v>0</v>
      </c>
      <c r="L748" s="3">
        <f>$D748*TCA!L748/100</f>
        <v>0</v>
      </c>
      <c r="M748" s="3">
        <f>$D748*TCA!M748/100</f>
        <v>0</v>
      </c>
      <c r="N748" s="3">
        <f>$D748*TCA!N748/100</f>
        <v>9.57</v>
      </c>
      <c r="O748" s="3">
        <f>$D748*TCA!O748/100</f>
        <v>3.55</v>
      </c>
      <c r="P748" s="3">
        <f t="shared" si="11"/>
        <v>13.653846153846153</v>
      </c>
      <c r="Q748" s="3">
        <f>$D748*TCA!P748/100</f>
        <v>0.15</v>
      </c>
      <c r="R748" s="3">
        <f>$D748*TCA!Q748/100</f>
        <v>0.13</v>
      </c>
      <c r="S748" s="3">
        <f>$D748*TCA!R748/100</f>
        <v>34.42</v>
      </c>
      <c r="T748" s="3">
        <f>$D748*TCA!S748/100</f>
        <v>7.0000000000000007E-2</v>
      </c>
      <c r="U748" s="3">
        <f>$D748*TCA!T748/100</f>
        <v>50.77</v>
      </c>
      <c r="V748" s="3">
        <f>$D748*TCA!U748/100</f>
        <v>8.8800000000000008</v>
      </c>
      <c r="W748" s="3">
        <f>$D748*TCA!V748/100</f>
        <v>0.81</v>
      </c>
      <c r="X748" s="3">
        <f>$D748*TCA!W748/100</f>
        <v>0.02</v>
      </c>
    </row>
    <row r="749" spans="1:24" x14ac:dyDescent="0.25">
      <c r="A749" s="3" t="s">
        <v>2033</v>
      </c>
      <c r="B749" s="3" t="s">
        <v>1474</v>
      </c>
      <c r="C749" s="3" t="s">
        <v>1475</v>
      </c>
      <c r="D749" s="3">
        <v>100</v>
      </c>
      <c r="E749" s="3">
        <f>$D749*TCA!E749/100</f>
        <v>112.26</v>
      </c>
      <c r="F749" s="3">
        <f>$D749*TCA!F749/100</f>
        <v>2.86</v>
      </c>
      <c r="G749" s="3">
        <f>$D749*TCA!G749/100</f>
        <v>2.9</v>
      </c>
      <c r="H749" s="3">
        <f>$D749*TCA!H749/100</f>
        <v>18.68</v>
      </c>
      <c r="I749" s="3">
        <f>$D749*TCA!I749/100</f>
        <v>0.1</v>
      </c>
      <c r="J749" s="3">
        <f>$D749*TCA!J749/100</f>
        <v>1.64</v>
      </c>
      <c r="K749" s="3">
        <f>$D749*TCA!K749/100</f>
        <v>0.71</v>
      </c>
      <c r="L749" s="3">
        <f>$D749*TCA!L749/100</f>
        <v>0.2</v>
      </c>
      <c r="M749" s="3">
        <f>$D749*TCA!M749/100</f>
        <v>9</v>
      </c>
      <c r="N749" s="3">
        <f>$D749*TCA!N749/100</f>
        <v>89</v>
      </c>
      <c r="O749" s="3">
        <f>$D749*TCA!O749/100</f>
        <v>74</v>
      </c>
      <c r="P749" s="3">
        <f t="shared" si="11"/>
        <v>25.874125874125877</v>
      </c>
      <c r="Q749" s="3">
        <f>$D749*TCA!P749/100</f>
        <v>0.04</v>
      </c>
      <c r="R749" s="3">
        <f>$D749*TCA!Q749/100</f>
        <v>119</v>
      </c>
      <c r="S749" s="3">
        <f>$D749*TCA!R749/100</f>
        <v>156</v>
      </c>
      <c r="T749" s="3">
        <f>$D749*TCA!S749/100</f>
        <v>0.34</v>
      </c>
      <c r="U749" s="3">
        <f>$D749*TCA!T749/100</f>
        <v>0</v>
      </c>
      <c r="V749" s="3">
        <f>$D749*TCA!U749/100</f>
        <v>25</v>
      </c>
      <c r="W749" s="3">
        <f>$D749*TCA!V749/100</f>
        <v>4</v>
      </c>
      <c r="X749" s="3">
        <f>$D749*TCA!W749/100</f>
        <v>0.31</v>
      </c>
    </row>
    <row r="750" spans="1:24" x14ac:dyDescent="0.25">
      <c r="A750" s="3" t="s">
        <v>2033</v>
      </c>
      <c r="B750" s="3" t="s">
        <v>1476</v>
      </c>
      <c r="C750" s="3" t="s">
        <v>1477</v>
      </c>
      <c r="D750" s="3">
        <v>100</v>
      </c>
      <c r="E750" s="3">
        <f>$D750*TCA!E750/100</f>
        <v>61.64</v>
      </c>
      <c r="F750" s="3">
        <f>$D750*TCA!F750/100</f>
        <v>1.22</v>
      </c>
      <c r="G750" s="3">
        <f>$D750*TCA!G750/100</f>
        <v>0</v>
      </c>
      <c r="H750" s="3">
        <f>$D750*TCA!H750/100</f>
        <v>14.19</v>
      </c>
      <c r="I750" s="3">
        <f>$D750*TCA!I750/100</f>
        <v>0</v>
      </c>
      <c r="J750" s="3">
        <f>$D750*TCA!J750/100</f>
        <v>0</v>
      </c>
      <c r="K750" s="3">
        <f>$D750*TCA!K750/100</f>
        <v>0</v>
      </c>
      <c r="L750" s="3">
        <f>$D750*TCA!L750/100</f>
        <v>0</v>
      </c>
      <c r="M750" s="3">
        <f>$D750*TCA!M750/100</f>
        <v>0</v>
      </c>
      <c r="N750" s="3">
        <f>$D750*TCA!N750/100</f>
        <v>3</v>
      </c>
      <c r="O750" s="3">
        <f>$D750*TCA!O750/100</f>
        <v>22</v>
      </c>
      <c r="P750" s="3">
        <f t="shared" si="11"/>
        <v>18.032786885245901</v>
      </c>
      <c r="Q750" s="3">
        <f>$D750*TCA!P750/100</f>
        <v>0.02</v>
      </c>
      <c r="R750" s="3">
        <f>$D750*TCA!Q750/100</f>
        <v>1</v>
      </c>
      <c r="S750" s="3">
        <f>$D750*TCA!R750/100</f>
        <v>75</v>
      </c>
      <c r="T750" s="3">
        <f>$D750*TCA!S750/100</f>
        <v>0.01</v>
      </c>
      <c r="U750" s="3">
        <f>$D750*TCA!T750/100</f>
        <v>0</v>
      </c>
      <c r="V750" s="3">
        <f>$D750*TCA!U750/100</f>
        <v>0</v>
      </c>
      <c r="W750" s="3">
        <f>$D750*TCA!V750/100</f>
        <v>1</v>
      </c>
      <c r="X750" s="3">
        <f>$D750*TCA!W750/100</f>
        <v>0</v>
      </c>
    </row>
    <row r="751" spans="1:24" x14ac:dyDescent="0.25">
      <c r="A751" s="3" t="s">
        <v>2033</v>
      </c>
      <c r="B751" s="3" t="s">
        <v>1478</v>
      </c>
      <c r="C751" s="3" t="s">
        <v>1479</v>
      </c>
      <c r="D751" s="3">
        <v>100</v>
      </c>
      <c r="E751" s="3">
        <f>$D751*TCA!E751/100</f>
        <v>290.91000000000003</v>
      </c>
      <c r="F751" s="3">
        <f>$D751*TCA!F751/100</f>
        <v>0</v>
      </c>
      <c r="G751" s="3">
        <f>$D751*TCA!G751/100</f>
        <v>0</v>
      </c>
      <c r="H751" s="3">
        <f>$D751*TCA!H751/100</f>
        <v>72.73</v>
      </c>
      <c r="I751" s="3">
        <f>$D751*TCA!I751/100</f>
        <v>0</v>
      </c>
      <c r="J751" s="3">
        <f>$D751*TCA!J751/100</f>
        <v>0</v>
      </c>
      <c r="K751" s="3">
        <f>$D751*TCA!K751/100</f>
        <v>0</v>
      </c>
      <c r="L751" s="3">
        <f>$D751*TCA!L751/100</f>
        <v>0</v>
      </c>
      <c r="M751" s="3">
        <f>$D751*TCA!M751/100</f>
        <v>0</v>
      </c>
      <c r="N751" s="3">
        <f>$D751*TCA!N751/100</f>
        <v>0</v>
      </c>
      <c r="O751" s="3">
        <f>$D751*TCA!O751/100</f>
        <v>0</v>
      </c>
      <c r="P751" s="3" t="e">
        <f t="shared" si="11"/>
        <v>#DIV/0!</v>
      </c>
      <c r="Q751" s="3">
        <f>$D751*TCA!P751/100</f>
        <v>0</v>
      </c>
      <c r="R751" s="3">
        <f>$D751*TCA!Q751/100</f>
        <v>0</v>
      </c>
      <c r="S751" s="3">
        <f>$D751*TCA!R751/100</f>
        <v>0</v>
      </c>
      <c r="T751" s="3">
        <f>$D751*TCA!S751/100</f>
        <v>0</v>
      </c>
      <c r="U751" s="3">
        <f>$D751*TCA!T751/100</f>
        <v>0</v>
      </c>
      <c r="V751" s="3">
        <f>$D751*TCA!U751/100</f>
        <v>0</v>
      </c>
      <c r="W751" s="3">
        <f>$D751*TCA!V751/100</f>
        <v>0</v>
      </c>
      <c r="X751" s="3">
        <f>$D751*TCA!W751/100</f>
        <v>0</v>
      </c>
    </row>
    <row r="752" spans="1:24" x14ac:dyDescent="0.25">
      <c r="A752" s="3" t="s">
        <v>2033</v>
      </c>
      <c r="B752" s="3" t="s">
        <v>1480</v>
      </c>
      <c r="C752" s="3" t="s">
        <v>1481</v>
      </c>
      <c r="D752" s="3">
        <v>100</v>
      </c>
      <c r="E752" s="3">
        <f>$D752*TCA!E752/100</f>
        <v>267.02</v>
      </c>
      <c r="F752" s="3">
        <f>$D752*TCA!F752/100</f>
        <v>0</v>
      </c>
      <c r="G752" s="3">
        <f>$D752*TCA!G752/100</f>
        <v>0.3</v>
      </c>
      <c r="H752" s="3">
        <f>$D752*TCA!H752/100</f>
        <v>66.08</v>
      </c>
      <c r="I752" s="3">
        <f>$D752*TCA!I752/100</f>
        <v>2.4</v>
      </c>
      <c r="J752" s="3">
        <f>$D752*TCA!J752/100</f>
        <v>0.04</v>
      </c>
      <c r="K752" s="3">
        <f>$D752*TCA!K752/100</f>
        <v>0.08</v>
      </c>
      <c r="L752" s="3">
        <f>$D752*TCA!L752/100</f>
        <v>0.14000000000000001</v>
      </c>
      <c r="M752" s="3">
        <f>$D752*TCA!M752/100</f>
        <v>0</v>
      </c>
      <c r="N752" s="3">
        <f>$D752*TCA!N752/100</f>
        <v>0</v>
      </c>
      <c r="O752" s="3">
        <f>$D752*TCA!O752/100</f>
        <v>0</v>
      </c>
      <c r="P752" s="3" t="e">
        <f t="shared" si="11"/>
        <v>#DIV/0!</v>
      </c>
      <c r="Q752" s="3">
        <f>$D752*TCA!P752/100</f>
        <v>0</v>
      </c>
      <c r="R752" s="3">
        <f>$D752*TCA!Q752/100</f>
        <v>2</v>
      </c>
      <c r="S752" s="3">
        <f>$D752*TCA!R752/100</f>
        <v>1</v>
      </c>
      <c r="T752" s="3">
        <f>$D752*TCA!S752/100</f>
        <v>0</v>
      </c>
      <c r="U752" s="3">
        <f>$D752*TCA!T752/100</f>
        <v>0</v>
      </c>
      <c r="V752" s="3">
        <f>$D752*TCA!U752/100</f>
        <v>0</v>
      </c>
      <c r="W752" s="3">
        <f>$D752*TCA!V752/100</f>
        <v>0</v>
      </c>
      <c r="X752" s="3">
        <f>$D752*TCA!W752/100</f>
        <v>0</v>
      </c>
    </row>
    <row r="753" spans="1:24" x14ac:dyDescent="0.25">
      <c r="A753" s="3" t="s">
        <v>2033</v>
      </c>
      <c r="B753" s="3" t="s">
        <v>1482</v>
      </c>
      <c r="C753" s="3" t="s">
        <v>1483</v>
      </c>
      <c r="D753" s="3">
        <v>100</v>
      </c>
      <c r="E753" s="3">
        <f>$D753*TCA!E753/100</f>
        <v>117.04</v>
      </c>
      <c r="F753" s="3">
        <f>$D753*TCA!F753/100</f>
        <v>0.05</v>
      </c>
      <c r="G753" s="3">
        <f>$D753*TCA!G753/100</f>
        <v>0.02</v>
      </c>
      <c r="H753" s="3">
        <f>$D753*TCA!H753/100</f>
        <v>29.17</v>
      </c>
      <c r="I753" s="3">
        <f>$D753*TCA!I753/100</f>
        <v>0.14000000000000001</v>
      </c>
      <c r="J753" s="3">
        <f>$D753*TCA!J753/100</f>
        <v>0</v>
      </c>
      <c r="K753" s="3">
        <f>$D753*TCA!K753/100</f>
        <v>0.01</v>
      </c>
      <c r="L753" s="3">
        <f>$D753*TCA!L753/100</f>
        <v>0.02</v>
      </c>
      <c r="M753" s="3">
        <f>$D753*TCA!M753/100</f>
        <v>0</v>
      </c>
      <c r="N753" s="3">
        <f>$D753*TCA!N753/100</f>
        <v>3</v>
      </c>
      <c r="O753" s="3">
        <f>$D753*TCA!O753/100</f>
        <v>1</v>
      </c>
      <c r="P753" s="3">
        <f t="shared" si="11"/>
        <v>20</v>
      </c>
      <c r="Q753" s="3">
        <f>$D753*TCA!P753/100</f>
        <v>0.09</v>
      </c>
      <c r="R753" s="3">
        <f>$D753*TCA!Q753/100</f>
        <v>13</v>
      </c>
      <c r="S753" s="3">
        <f>$D753*TCA!R753/100</f>
        <v>0</v>
      </c>
      <c r="T753" s="3">
        <f>$D753*TCA!S753/100</f>
        <v>0.01</v>
      </c>
      <c r="U753" s="3">
        <f>$D753*TCA!T753/100</f>
        <v>7</v>
      </c>
      <c r="V753" s="3">
        <f>$D753*TCA!U753/100</f>
        <v>279</v>
      </c>
      <c r="W753" s="3">
        <f>$D753*TCA!V753/100</f>
        <v>0</v>
      </c>
      <c r="X753" s="3">
        <f>$D753*TCA!W753/100</f>
        <v>0</v>
      </c>
    </row>
    <row r="754" spans="1:24" x14ac:dyDescent="0.25">
      <c r="A754" s="3" t="s">
        <v>2033</v>
      </c>
      <c r="B754" s="3" t="s">
        <v>1484</v>
      </c>
      <c r="C754" s="3" t="s">
        <v>1485</v>
      </c>
      <c r="D754" s="3">
        <v>100</v>
      </c>
      <c r="E754" s="3">
        <f>$D754*TCA!E754/100</f>
        <v>62.86</v>
      </c>
      <c r="F754" s="3">
        <f>$D754*TCA!F754/100</f>
        <v>0</v>
      </c>
      <c r="G754" s="3">
        <f>$D754*TCA!G754/100</f>
        <v>0</v>
      </c>
      <c r="H754" s="3">
        <f>$D754*TCA!H754/100</f>
        <v>15.71</v>
      </c>
      <c r="I754" s="3">
        <f>$D754*TCA!I754/100</f>
        <v>0</v>
      </c>
      <c r="J754" s="3">
        <f>$D754*TCA!J754/100</f>
        <v>0</v>
      </c>
      <c r="K754" s="3">
        <f>$D754*TCA!K754/100</f>
        <v>0</v>
      </c>
      <c r="L754" s="3">
        <f>$D754*TCA!L754/100</f>
        <v>0</v>
      </c>
      <c r="M754" s="3">
        <f>$D754*TCA!M754/100</f>
        <v>0</v>
      </c>
      <c r="N754" s="3">
        <f>$D754*TCA!N754/100</f>
        <v>0</v>
      </c>
      <c r="O754" s="3">
        <f>$D754*TCA!O754/100</f>
        <v>0</v>
      </c>
      <c r="P754" s="3" t="e">
        <f t="shared" si="11"/>
        <v>#DIV/0!</v>
      </c>
      <c r="Q754" s="3">
        <f>$D754*TCA!P754/100</f>
        <v>0</v>
      </c>
      <c r="R754" s="3">
        <f>$D754*TCA!Q754/100</f>
        <v>0</v>
      </c>
      <c r="S754" s="3">
        <f>$D754*TCA!R754/100</f>
        <v>0</v>
      </c>
      <c r="T754" s="3">
        <f>$D754*TCA!S754/100</f>
        <v>0</v>
      </c>
      <c r="U754" s="3">
        <f>$D754*TCA!T754/100</f>
        <v>0</v>
      </c>
      <c r="V754" s="3">
        <f>$D754*TCA!U754/100</f>
        <v>0</v>
      </c>
      <c r="W754" s="3">
        <f>$D754*TCA!V754/100</f>
        <v>0</v>
      </c>
      <c r="X754" s="3">
        <f>$D754*TCA!W754/100</f>
        <v>0</v>
      </c>
    </row>
    <row r="755" spans="1:24" x14ac:dyDescent="0.25">
      <c r="A755" s="3" t="s">
        <v>2033</v>
      </c>
      <c r="B755" s="3" t="s">
        <v>1486</v>
      </c>
      <c r="C755" s="3" t="s">
        <v>1487</v>
      </c>
      <c r="D755" s="3">
        <v>100</v>
      </c>
      <c r="E755" s="3">
        <f>$D755*TCA!E755/100</f>
        <v>45.8</v>
      </c>
      <c r="F755" s="3">
        <f>$D755*TCA!F755/100</f>
        <v>0</v>
      </c>
      <c r="G755" s="3">
        <f>$D755*TCA!G755/100</f>
        <v>0.2</v>
      </c>
      <c r="H755" s="3">
        <f>$D755*TCA!H755/100</f>
        <v>11</v>
      </c>
      <c r="I755" s="3">
        <f>$D755*TCA!I755/100</f>
        <v>0</v>
      </c>
      <c r="J755" s="3">
        <f>$D755*TCA!J755/100</f>
        <v>0</v>
      </c>
      <c r="K755" s="3">
        <f>$D755*TCA!K755/100</f>
        <v>0</v>
      </c>
      <c r="L755" s="3">
        <f>$D755*TCA!L755/100</f>
        <v>0</v>
      </c>
      <c r="M755" s="3">
        <f>$D755*TCA!M755/100</f>
        <v>0</v>
      </c>
      <c r="N755" s="3">
        <f>$D755*TCA!N755/100</f>
        <v>4</v>
      </c>
      <c r="O755" s="3">
        <f>$D755*TCA!O755/100</f>
        <v>2</v>
      </c>
      <c r="P755" s="3" t="e">
        <f t="shared" si="11"/>
        <v>#DIV/0!</v>
      </c>
      <c r="Q755" s="3">
        <f>$D755*TCA!P755/100</f>
        <v>0.5</v>
      </c>
      <c r="R755" s="3">
        <f>$D755*TCA!Q755/100</f>
        <v>0</v>
      </c>
      <c r="S755" s="3">
        <f>$D755*TCA!R755/100</f>
        <v>0</v>
      </c>
      <c r="T755" s="3">
        <f>$D755*TCA!S755/100</f>
        <v>0</v>
      </c>
      <c r="U755" s="3">
        <f>$D755*TCA!T755/100</f>
        <v>4</v>
      </c>
      <c r="V755" s="3">
        <f>$D755*TCA!U755/100</f>
        <v>0</v>
      </c>
      <c r="W755" s="3">
        <f>$D755*TCA!V755/100</f>
        <v>0</v>
      </c>
      <c r="X755" s="3">
        <f>$D755*TCA!W755/100</f>
        <v>0</v>
      </c>
    </row>
    <row r="756" spans="1:24" x14ac:dyDescent="0.25">
      <c r="A756" s="3" t="s">
        <v>2033</v>
      </c>
      <c r="B756" s="3" t="s">
        <v>1488</v>
      </c>
      <c r="C756" s="3" t="s">
        <v>1489</v>
      </c>
      <c r="D756" s="3">
        <v>100</v>
      </c>
      <c r="E756" s="3">
        <f>$D756*TCA!E756/100</f>
        <v>142.35</v>
      </c>
      <c r="F756" s="3">
        <f>$D756*TCA!F756/100</f>
        <v>2.35</v>
      </c>
      <c r="G756" s="3">
        <f>$D756*TCA!G756/100</f>
        <v>5.88</v>
      </c>
      <c r="H756" s="3">
        <f>$D756*TCA!H756/100</f>
        <v>20</v>
      </c>
      <c r="I756" s="3">
        <f>$D756*TCA!I756/100</f>
        <v>0</v>
      </c>
      <c r="J756" s="3">
        <f>$D756*TCA!J756/100</f>
        <v>3.53</v>
      </c>
      <c r="K756" s="3">
        <f>$D756*TCA!K756/100</f>
        <v>1.76</v>
      </c>
      <c r="L756" s="3">
        <f>$D756*TCA!L756/100</f>
        <v>0.59</v>
      </c>
      <c r="M756" s="3">
        <f>$D756*TCA!M756/100</f>
        <v>11.76</v>
      </c>
      <c r="N756" s="3">
        <f>$D756*TCA!N756/100</f>
        <v>0</v>
      </c>
      <c r="O756" s="3">
        <f>$D756*TCA!O756/100</f>
        <v>0</v>
      </c>
      <c r="P756" s="3">
        <f t="shared" si="11"/>
        <v>0</v>
      </c>
      <c r="Q756" s="3">
        <f>$D756*TCA!P756/100</f>
        <v>0</v>
      </c>
      <c r="R756" s="3">
        <f>$D756*TCA!Q756/100</f>
        <v>0</v>
      </c>
      <c r="S756" s="3">
        <f>$D756*TCA!R756/100</f>
        <v>76.47</v>
      </c>
      <c r="T756" s="3">
        <f>$D756*TCA!S756/100</f>
        <v>0</v>
      </c>
      <c r="U756" s="3">
        <f>$D756*TCA!T756/100</f>
        <v>0</v>
      </c>
      <c r="V756" s="3">
        <f>$D756*TCA!U756/100</f>
        <v>0</v>
      </c>
      <c r="W756" s="3">
        <f>$D756*TCA!V756/100</f>
        <v>0</v>
      </c>
      <c r="X756" s="3">
        <f>$D756*TCA!W756/100</f>
        <v>0</v>
      </c>
    </row>
    <row r="757" spans="1:24" x14ac:dyDescent="0.25">
      <c r="A757" s="3" t="s">
        <v>2033</v>
      </c>
      <c r="B757" s="3" t="s">
        <v>1490</v>
      </c>
      <c r="C757" s="3" t="s">
        <v>1491</v>
      </c>
      <c r="D757" s="3">
        <v>100</v>
      </c>
      <c r="E757" s="3">
        <f>$D757*TCA!E757/100</f>
        <v>297.89</v>
      </c>
      <c r="F757" s="3">
        <f>$D757*TCA!F757/100</f>
        <v>3.16</v>
      </c>
      <c r="G757" s="3">
        <f>$D757*TCA!G757/100</f>
        <v>20</v>
      </c>
      <c r="H757" s="3">
        <f>$D757*TCA!H757/100</f>
        <v>26.32</v>
      </c>
      <c r="I757" s="3">
        <f>$D757*TCA!I757/100</f>
        <v>0</v>
      </c>
      <c r="J757" s="3">
        <f>$D757*TCA!J757/100</f>
        <v>11.58</v>
      </c>
      <c r="K757" s="3">
        <f>$D757*TCA!K757/100</f>
        <v>7.37</v>
      </c>
      <c r="L757" s="3">
        <f>$D757*TCA!L757/100</f>
        <v>1.05</v>
      </c>
      <c r="M757" s="3">
        <f>$D757*TCA!M757/100</f>
        <v>13.68</v>
      </c>
      <c r="N757" s="3">
        <f>$D757*TCA!N757/100</f>
        <v>0</v>
      </c>
      <c r="O757" s="3">
        <f>$D757*TCA!O757/100</f>
        <v>0</v>
      </c>
      <c r="P757" s="3">
        <f t="shared" si="11"/>
        <v>0</v>
      </c>
      <c r="Q757" s="3">
        <f>$D757*TCA!P757/100</f>
        <v>0</v>
      </c>
      <c r="R757" s="3">
        <f>$D757*TCA!Q757/100</f>
        <v>0</v>
      </c>
      <c r="S757" s="3">
        <f>$D757*TCA!R757/100</f>
        <v>73.680000000000007</v>
      </c>
      <c r="T757" s="3">
        <f>$D757*TCA!S757/100</f>
        <v>0</v>
      </c>
      <c r="U757" s="3">
        <f>$D757*TCA!T757/100</f>
        <v>0</v>
      </c>
      <c r="V757" s="3">
        <f>$D757*TCA!U757/100</f>
        <v>0</v>
      </c>
      <c r="W757" s="3">
        <f>$D757*TCA!V757/100</f>
        <v>0</v>
      </c>
      <c r="X757" s="3">
        <f>$D757*TCA!W757/100</f>
        <v>0</v>
      </c>
    </row>
    <row r="758" spans="1:24" x14ac:dyDescent="0.25">
      <c r="A758" s="3" t="s">
        <v>2033</v>
      </c>
      <c r="B758" s="3" t="s">
        <v>1492</v>
      </c>
      <c r="C758" s="3" t="s">
        <v>1493</v>
      </c>
      <c r="D758" s="3">
        <v>100</v>
      </c>
      <c r="E758" s="3">
        <f>$D758*TCA!E758/100</f>
        <v>248.18</v>
      </c>
      <c r="F758" s="3">
        <f>$D758*TCA!F758/100</f>
        <v>1.82</v>
      </c>
      <c r="G758" s="3">
        <f>$D758*TCA!G758/100</f>
        <v>19.09</v>
      </c>
      <c r="H758" s="3">
        <f>$D758*TCA!H758/100</f>
        <v>17.27</v>
      </c>
      <c r="I758" s="3">
        <f>$D758*TCA!I758/100</f>
        <v>0</v>
      </c>
      <c r="J758" s="3">
        <f>$D758*TCA!J758/100</f>
        <v>15.45</v>
      </c>
      <c r="K758" s="3">
        <f>$D758*TCA!K758/100</f>
        <v>3.64</v>
      </c>
      <c r="L758" s="3">
        <f>$D758*TCA!L758/100</f>
        <v>0</v>
      </c>
      <c r="M758" s="3">
        <f>$D758*TCA!M758/100</f>
        <v>11.82</v>
      </c>
      <c r="N758" s="3">
        <f>$D758*TCA!N758/100</f>
        <v>0</v>
      </c>
      <c r="O758" s="3">
        <f>$D758*TCA!O758/100</f>
        <v>0</v>
      </c>
      <c r="P758" s="3">
        <f t="shared" si="11"/>
        <v>0</v>
      </c>
      <c r="Q758" s="3">
        <f>$D758*TCA!P758/100</f>
        <v>0</v>
      </c>
      <c r="R758" s="3">
        <f>$D758*TCA!Q758/100</f>
        <v>0</v>
      </c>
      <c r="S758" s="3">
        <f>$D758*TCA!R758/100</f>
        <v>31.82</v>
      </c>
      <c r="T758" s="3">
        <f>$D758*TCA!S758/100</f>
        <v>0</v>
      </c>
      <c r="U758" s="3">
        <f>$D758*TCA!T758/100</f>
        <v>0</v>
      </c>
      <c r="V758" s="3">
        <f>$D758*TCA!U758/100</f>
        <v>0</v>
      </c>
      <c r="W758" s="3">
        <f>$D758*TCA!V758/100</f>
        <v>0</v>
      </c>
      <c r="X758" s="3">
        <f>$D758*TCA!W758/100</f>
        <v>0</v>
      </c>
    </row>
    <row r="759" spans="1:24" x14ac:dyDescent="0.25">
      <c r="A759" s="3" t="s">
        <v>2033</v>
      </c>
      <c r="B759" s="3" t="s">
        <v>1494</v>
      </c>
      <c r="C759" s="3" t="s">
        <v>1495</v>
      </c>
      <c r="D759" s="3">
        <v>100</v>
      </c>
      <c r="E759" s="3">
        <f>$D759*TCA!E759/100</f>
        <v>64.62</v>
      </c>
      <c r="F759" s="3">
        <f>$D759*TCA!F759/100</f>
        <v>1.54</v>
      </c>
      <c r="G759" s="3">
        <f>$D759*TCA!G759/100</f>
        <v>3.08</v>
      </c>
      <c r="H759" s="3">
        <f>$D759*TCA!H759/100</f>
        <v>7.69</v>
      </c>
      <c r="I759" s="3">
        <f>$D759*TCA!I759/100</f>
        <v>0</v>
      </c>
      <c r="J759" s="3">
        <f>$D759*TCA!J759/100</f>
        <v>2.31</v>
      </c>
      <c r="K759" s="3">
        <f>$D759*TCA!K759/100</f>
        <v>0.77</v>
      </c>
      <c r="L759" s="3">
        <f>$D759*TCA!L759/100</f>
        <v>0</v>
      </c>
      <c r="M759" s="3">
        <f>$D759*TCA!M759/100</f>
        <v>6.15</v>
      </c>
      <c r="N759" s="3">
        <f>$D759*TCA!N759/100</f>
        <v>0</v>
      </c>
      <c r="O759" s="3">
        <f>$D759*TCA!O759/100</f>
        <v>0</v>
      </c>
      <c r="P759" s="3">
        <f t="shared" si="11"/>
        <v>0</v>
      </c>
      <c r="Q759" s="3">
        <f>$D759*TCA!P759/100</f>
        <v>0</v>
      </c>
      <c r="R759" s="3">
        <f>$D759*TCA!Q759/100</f>
        <v>0</v>
      </c>
      <c r="S759" s="3">
        <f>$D759*TCA!R759/100</f>
        <v>26.92</v>
      </c>
      <c r="T759" s="3">
        <f>$D759*TCA!S759/100</f>
        <v>0</v>
      </c>
      <c r="U759" s="3">
        <f>$D759*TCA!T759/100</f>
        <v>0</v>
      </c>
      <c r="V759" s="3">
        <f>$D759*TCA!U759/100</f>
        <v>0</v>
      </c>
      <c r="W759" s="3">
        <f>$D759*TCA!V759/100</f>
        <v>0</v>
      </c>
      <c r="X759" s="3">
        <f>$D759*TCA!W759/100</f>
        <v>0</v>
      </c>
    </row>
    <row r="760" spans="1:24" x14ac:dyDescent="0.25">
      <c r="A760" s="3" t="s">
        <v>2033</v>
      </c>
      <c r="B760" s="3" t="s">
        <v>1496</v>
      </c>
      <c r="C760" s="3" t="s">
        <v>1497</v>
      </c>
      <c r="D760" s="3">
        <v>100</v>
      </c>
      <c r="E760" s="3">
        <f>$D760*TCA!E760/100</f>
        <v>201.67</v>
      </c>
      <c r="F760" s="3">
        <f>$D760*TCA!F760/100</f>
        <v>0</v>
      </c>
      <c r="G760" s="3">
        <f>$D760*TCA!G760/100</f>
        <v>15</v>
      </c>
      <c r="H760" s="3">
        <f>$D760*TCA!H760/100</f>
        <v>16.670000000000002</v>
      </c>
      <c r="I760" s="3">
        <f>$D760*TCA!I760/100</f>
        <v>0</v>
      </c>
      <c r="J760" s="3">
        <f>$D760*TCA!J760/100</f>
        <v>8.33</v>
      </c>
      <c r="K760" s="3">
        <f>$D760*TCA!K760/100</f>
        <v>5</v>
      </c>
      <c r="L760" s="3">
        <f>$D760*TCA!L760/100</f>
        <v>1.67</v>
      </c>
      <c r="M760" s="3">
        <f>$D760*TCA!M760/100</f>
        <v>10</v>
      </c>
      <c r="N760" s="3">
        <f>$D760*TCA!N760/100</f>
        <v>0</v>
      </c>
      <c r="O760" s="3">
        <f>$D760*TCA!O760/100</f>
        <v>0</v>
      </c>
      <c r="P760" s="3" t="e">
        <f t="shared" si="11"/>
        <v>#DIV/0!</v>
      </c>
      <c r="Q760" s="3">
        <f>$D760*TCA!P760/100</f>
        <v>0</v>
      </c>
      <c r="R760" s="3">
        <f>$D760*TCA!Q760/100</f>
        <v>0</v>
      </c>
      <c r="S760" s="3">
        <f>$D760*TCA!R760/100</f>
        <v>23.33</v>
      </c>
      <c r="T760" s="3">
        <f>$D760*TCA!S760/100</f>
        <v>0</v>
      </c>
      <c r="U760" s="3">
        <f>$D760*TCA!T760/100</f>
        <v>0</v>
      </c>
      <c r="V760" s="3">
        <f>$D760*TCA!U760/100</f>
        <v>0</v>
      </c>
      <c r="W760" s="3">
        <f>$D760*TCA!V760/100</f>
        <v>0</v>
      </c>
      <c r="X760" s="3">
        <f>$D760*TCA!W760/100</f>
        <v>0</v>
      </c>
    </row>
    <row r="761" spans="1:24" x14ac:dyDescent="0.25">
      <c r="A761" s="3" t="s">
        <v>2033</v>
      </c>
      <c r="B761" s="3" t="s">
        <v>1498</v>
      </c>
      <c r="C761" s="3" t="s">
        <v>1499</v>
      </c>
      <c r="D761" s="3">
        <v>100</v>
      </c>
      <c r="E761" s="3">
        <f>$D761*TCA!E761/100</f>
        <v>244.8</v>
      </c>
      <c r="F761" s="3">
        <f>$D761*TCA!F761/100</f>
        <v>3.2</v>
      </c>
      <c r="G761" s="3">
        <f>$D761*TCA!G761/100</f>
        <v>14.4</v>
      </c>
      <c r="H761" s="3">
        <f>$D761*TCA!H761/100</f>
        <v>25.6</v>
      </c>
      <c r="I761" s="3">
        <f>$D761*TCA!I761/100</f>
        <v>0</v>
      </c>
      <c r="J761" s="3">
        <f>$D761*TCA!J761/100</f>
        <v>8.8000000000000007</v>
      </c>
      <c r="K761" s="3">
        <f>$D761*TCA!K761/100</f>
        <v>4.8</v>
      </c>
      <c r="L761" s="3">
        <f>$D761*TCA!L761/100</f>
        <v>0.8</v>
      </c>
      <c r="M761" s="3">
        <f>$D761*TCA!M761/100</f>
        <v>9.6</v>
      </c>
      <c r="N761" s="3">
        <f>$D761*TCA!N761/100</f>
        <v>0</v>
      </c>
      <c r="O761" s="3">
        <f>$D761*TCA!O761/100</f>
        <v>0</v>
      </c>
      <c r="P761" s="3">
        <f t="shared" si="11"/>
        <v>0</v>
      </c>
      <c r="Q761" s="3">
        <f>$D761*TCA!P761/100</f>
        <v>0</v>
      </c>
      <c r="R761" s="3">
        <f>$D761*TCA!Q761/100</f>
        <v>0</v>
      </c>
      <c r="S761" s="3">
        <f>$D761*TCA!R761/100</f>
        <v>36</v>
      </c>
      <c r="T761" s="3">
        <f>$D761*TCA!S761/100</f>
        <v>0</v>
      </c>
      <c r="U761" s="3">
        <f>$D761*TCA!T761/100</f>
        <v>0</v>
      </c>
      <c r="V761" s="3">
        <f>$D761*TCA!U761/100</f>
        <v>0</v>
      </c>
      <c r="W761" s="3">
        <f>$D761*TCA!V761/100</f>
        <v>0</v>
      </c>
      <c r="X761" s="3">
        <f>$D761*TCA!W761/100</f>
        <v>0</v>
      </c>
    </row>
    <row r="762" spans="1:24" x14ac:dyDescent="0.25">
      <c r="A762" s="3" t="s">
        <v>2033</v>
      </c>
      <c r="B762" s="3" t="s">
        <v>1500</v>
      </c>
      <c r="C762" s="3" t="s">
        <v>1501</v>
      </c>
      <c r="D762" s="3">
        <v>100</v>
      </c>
      <c r="E762" s="3">
        <f>$D762*TCA!E762/100</f>
        <v>280</v>
      </c>
      <c r="F762" s="3">
        <f>$D762*TCA!F762/100</f>
        <v>2.5</v>
      </c>
      <c r="G762" s="3">
        <f>$D762*TCA!G762/100</f>
        <v>20</v>
      </c>
      <c r="H762" s="3">
        <f>$D762*TCA!H762/100</f>
        <v>22.5</v>
      </c>
      <c r="I762" s="3">
        <f>$D762*TCA!I762/100</f>
        <v>0</v>
      </c>
      <c r="J762" s="3">
        <f>$D762*TCA!J762/100</f>
        <v>12.5</v>
      </c>
      <c r="K762" s="3">
        <f>$D762*TCA!K762/100</f>
        <v>6.25</v>
      </c>
      <c r="L762" s="3">
        <f>$D762*TCA!L762/100</f>
        <v>1.25</v>
      </c>
      <c r="M762" s="3">
        <f>$D762*TCA!M762/100</f>
        <v>11.25</v>
      </c>
      <c r="N762" s="3">
        <f>$D762*TCA!N762/100</f>
        <v>0</v>
      </c>
      <c r="O762" s="3">
        <f>$D762*TCA!O762/100</f>
        <v>0</v>
      </c>
      <c r="P762" s="3">
        <f t="shared" si="11"/>
        <v>0</v>
      </c>
      <c r="Q762" s="3">
        <f>$D762*TCA!P762/100</f>
        <v>0</v>
      </c>
      <c r="R762" s="3">
        <f>$D762*TCA!Q762/100</f>
        <v>0</v>
      </c>
      <c r="S762" s="3">
        <f>$D762*TCA!R762/100</f>
        <v>50</v>
      </c>
      <c r="T762" s="3">
        <f>$D762*TCA!S762/100</f>
        <v>0</v>
      </c>
      <c r="U762" s="3">
        <f>$D762*TCA!T762/100</f>
        <v>0</v>
      </c>
      <c r="V762" s="3">
        <f>$D762*TCA!U762/100</f>
        <v>0</v>
      </c>
      <c r="W762" s="3">
        <f>$D762*TCA!V762/100</f>
        <v>0</v>
      </c>
      <c r="X762" s="3">
        <f>$D762*TCA!W762/100</f>
        <v>0</v>
      </c>
    </row>
    <row r="763" spans="1:24" x14ac:dyDescent="0.25">
      <c r="A763" s="3" t="s">
        <v>2033</v>
      </c>
      <c r="B763" s="3" t="s">
        <v>1502</v>
      </c>
      <c r="C763" s="3" t="s">
        <v>1503</v>
      </c>
      <c r="D763" s="3">
        <v>100</v>
      </c>
      <c r="E763" s="3">
        <f>$D763*TCA!E763/100</f>
        <v>168.64</v>
      </c>
      <c r="F763" s="3">
        <f>$D763*TCA!F763/100</f>
        <v>3.39</v>
      </c>
      <c r="G763" s="3">
        <f>$D763*TCA!G763/100</f>
        <v>5.93</v>
      </c>
      <c r="H763" s="3">
        <f>$D763*TCA!H763/100</f>
        <v>25.42</v>
      </c>
      <c r="I763" s="3">
        <f>$D763*TCA!I763/100</f>
        <v>0</v>
      </c>
      <c r="J763" s="3">
        <f>$D763*TCA!J763/100</f>
        <v>4.24</v>
      </c>
      <c r="K763" s="3">
        <f>$D763*TCA!K763/100</f>
        <v>1.69</v>
      </c>
      <c r="L763" s="3">
        <f>$D763*TCA!L763/100</f>
        <v>0</v>
      </c>
      <c r="M763" s="3">
        <f>$D763*TCA!M763/100</f>
        <v>12.71</v>
      </c>
      <c r="N763" s="3">
        <f>$D763*TCA!N763/100</f>
        <v>0</v>
      </c>
      <c r="O763" s="3">
        <f>$D763*TCA!O763/100</f>
        <v>0</v>
      </c>
      <c r="P763" s="3">
        <f t="shared" si="11"/>
        <v>0</v>
      </c>
      <c r="Q763" s="3">
        <f>$D763*TCA!P763/100</f>
        <v>0</v>
      </c>
      <c r="R763" s="3">
        <f>$D763*TCA!Q763/100</f>
        <v>0</v>
      </c>
      <c r="S763" s="3">
        <f>$D763*TCA!R763/100</f>
        <v>127.12</v>
      </c>
      <c r="T763" s="3">
        <f>$D763*TCA!S763/100</f>
        <v>0</v>
      </c>
      <c r="U763" s="3">
        <f>$D763*TCA!T763/100</f>
        <v>0</v>
      </c>
      <c r="V763" s="3">
        <f>$D763*TCA!U763/100</f>
        <v>0</v>
      </c>
      <c r="W763" s="3">
        <f>$D763*TCA!V763/100</f>
        <v>0</v>
      </c>
      <c r="X763" s="3">
        <f>$D763*TCA!W763/100</f>
        <v>0</v>
      </c>
    </row>
    <row r="764" spans="1:24" x14ac:dyDescent="0.25">
      <c r="A764" s="3" t="s">
        <v>2033</v>
      </c>
      <c r="B764" s="3" t="s">
        <v>1504</v>
      </c>
      <c r="C764" s="3" t="s">
        <v>1505</v>
      </c>
      <c r="D764" s="3">
        <v>100</v>
      </c>
      <c r="E764" s="3">
        <f>$D764*TCA!E764/100</f>
        <v>190.91</v>
      </c>
      <c r="F764" s="3">
        <f>$D764*TCA!F764/100</f>
        <v>2.73</v>
      </c>
      <c r="G764" s="3">
        <f>$D764*TCA!G764/100</f>
        <v>5.45</v>
      </c>
      <c r="H764" s="3">
        <f>$D764*TCA!H764/100</f>
        <v>32.729999999999997</v>
      </c>
      <c r="I764" s="3">
        <f>$D764*TCA!I764/100</f>
        <v>1.82</v>
      </c>
      <c r="J764" s="3">
        <f>$D764*TCA!J764/100</f>
        <v>3.64</v>
      </c>
      <c r="K764" s="3">
        <f>$D764*TCA!K764/100</f>
        <v>1.82</v>
      </c>
      <c r="L764" s="3">
        <f>$D764*TCA!L764/100</f>
        <v>0</v>
      </c>
      <c r="M764" s="3">
        <f>$D764*TCA!M764/100</f>
        <v>31.82</v>
      </c>
      <c r="N764" s="3">
        <f>$D764*TCA!N764/100</f>
        <v>0</v>
      </c>
      <c r="O764" s="3">
        <f>$D764*TCA!O764/100</f>
        <v>0</v>
      </c>
      <c r="P764" s="3">
        <f t="shared" si="11"/>
        <v>0</v>
      </c>
      <c r="Q764" s="3">
        <f>$D764*TCA!P764/100</f>
        <v>0</v>
      </c>
      <c r="R764" s="3">
        <f>$D764*TCA!Q764/100</f>
        <v>0</v>
      </c>
      <c r="S764" s="3">
        <f>$D764*TCA!R764/100</f>
        <v>31.82</v>
      </c>
      <c r="T764" s="3">
        <f>$D764*TCA!S764/100</f>
        <v>0</v>
      </c>
      <c r="U764" s="3">
        <f>$D764*TCA!T764/100</f>
        <v>0</v>
      </c>
      <c r="V764" s="3">
        <f>$D764*TCA!U764/100</f>
        <v>0</v>
      </c>
      <c r="W764" s="3">
        <f>$D764*TCA!V764/100</f>
        <v>0</v>
      </c>
      <c r="X764" s="3">
        <f>$D764*TCA!W764/100</f>
        <v>0</v>
      </c>
    </row>
    <row r="765" spans="1:24" x14ac:dyDescent="0.25">
      <c r="A765" s="3" t="s">
        <v>2033</v>
      </c>
      <c r="B765" s="3" t="s">
        <v>1506</v>
      </c>
      <c r="C765" s="3" t="s">
        <v>1507</v>
      </c>
      <c r="D765" s="3">
        <v>100</v>
      </c>
      <c r="E765" s="3">
        <f>$D765*TCA!E765/100</f>
        <v>105</v>
      </c>
      <c r="F765" s="3">
        <f>$D765*TCA!F765/100</f>
        <v>2</v>
      </c>
      <c r="G765" s="3">
        <f>$D765*TCA!G765/100</f>
        <v>5</v>
      </c>
      <c r="H765" s="3">
        <f>$D765*TCA!H765/100</f>
        <v>13</v>
      </c>
      <c r="I765" s="3">
        <f>$D765*TCA!I765/100</f>
        <v>0</v>
      </c>
      <c r="J765" s="3">
        <f>$D765*TCA!J765/100</f>
        <v>4</v>
      </c>
      <c r="K765" s="3">
        <f>$D765*TCA!K765/100</f>
        <v>1</v>
      </c>
      <c r="L765" s="3">
        <f>$D765*TCA!L765/100</f>
        <v>0</v>
      </c>
      <c r="M765" s="3">
        <f>$D765*TCA!M765/100</f>
        <v>12</v>
      </c>
      <c r="N765" s="3">
        <f>$D765*TCA!N765/100</f>
        <v>0</v>
      </c>
      <c r="O765" s="3">
        <f>$D765*TCA!O765/100</f>
        <v>0</v>
      </c>
      <c r="P765" s="3">
        <f t="shared" si="11"/>
        <v>0</v>
      </c>
      <c r="Q765" s="3">
        <f>$D765*TCA!P765/100</f>
        <v>0</v>
      </c>
      <c r="R765" s="3">
        <f>$D765*TCA!Q765/100</f>
        <v>0</v>
      </c>
      <c r="S765" s="3">
        <f>$D765*TCA!R765/100</f>
        <v>30</v>
      </c>
      <c r="T765" s="3">
        <f>$D765*TCA!S765/100</f>
        <v>0</v>
      </c>
      <c r="U765" s="3">
        <f>$D765*TCA!T765/100</f>
        <v>0</v>
      </c>
      <c r="V765" s="3">
        <f>$D765*TCA!U765/100</f>
        <v>0</v>
      </c>
      <c r="W765" s="3">
        <f>$D765*TCA!V765/100</f>
        <v>0</v>
      </c>
      <c r="X765" s="3">
        <f>$D765*TCA!W765/100</f>
        <v>0</v>
      </c>
    </row>
    <row r="766" spans="1:24" x14ac:dyDescent="0.25">
      <c r="A766" s="3" t="s">
        <v>2033</v>
      </c>
      <c r="B766" s="3" t="s">
        <v>1508</v>
      </c>
      <c r="C766" s="3" t="s">
        <v>1509</v>
      </c>
      <c r="D766" s="3">
        <v>100</v>
      </c>
      <c r="E766" s="3">
        <f>$D766*TCA!E766/100</f>
        <v>279.05</v>
      </c>
      <c r="F766" s="3">
        <f>$D766*TCA!F766/100</f>
        <v>3.81</v>
      </c>
      <c r="G766" s="3">
        <f>$D766*TCA!G766/100</f>
        <v>20</v>
      </c>
      <c r="H766" s="3">
        <f>$D766*TCA!H766/100</f>
        <v>20.95</v>
      </c>
      <c r="I766" s="3">
        <f>$D766*TCA!I766/100</f>
        <v>0</v>
      </c>
      <c r="J766" s="3">
        <f>$D766*TCA!J766/100</f>
        <v>10.48</v>
      </c>
      <c r="K766" s="3">
        <f>$D766*TCA!K766/100</f>
        <v>7.62</v>
      </c>
      <c r="L766" s="3">
        <f>$D766*TCA!L766/100</f>
        <v>1.9</v>
      </c>
      <c r="M766" s="3">
        <f>$D766*TCA!M766/100</f>
        <v>55.24</v>
      </c>
      <c r="N766" s="3">
        <f>$D766*TCA!N766/100</f>
        <v>0</v>
      </c>
      <c r="O766" s="3">
        <f>$D766*TCA!O766/100</f>
        <v>0</v>
      </c>
      <c r="P766" s="3">
        <f t="shared" si="11"/>
        <v>0</v>
      </c>
      <c r="Q766" s="3">
        <f>$D766*TCA!P766/100</f>
        <v>0</v>
      </c>
      <c r="R766" s="3">
        <f>$D766*TCA!Q766/100</f>
        <v>0</v>
      </c>
      <c r="S766" s="3">
        <f>$D766*TCA!R766/100</f>
        <v>55.24</v>
      </c>
      <c r="T766" s="3">
        <f>$D766*TCA!S766/100</f>
        <v>0</v>
      </c>
      <c r="U766" s="3">
        <f>$D766*TCA!T766/100</f>
        <v>0</v>
      </c>
      <c r="V766" s="3">
        <f>$D766*TCA!U766/100</f>
        <v>0</v>
      </c>
      <c r="W766" s="3">
        <f>$D766*TCA!V766/100</f>
        <v>0</v>
      </c>
      <c r="X766" s="3">
        <f>$D766*TCA!W766/100</f>
        <v>0</v>
      </c>
    </row>
    <row r="767" spans="1:24" x14ac:dyDescent="0.25">
      <c r="A767" s="3" t="s">
        <v>2033</v>
      </c>
      <c r="B767" s="3" t="s">
        <v>1510</v>
      </c>
      <c r="C767" s="3" t="s">
        <v>1511</v>
      </c>
      <c r="D767" s="3">
        <v>100</v>
      </c>
      <c r="E767" s="3">
        <f>$D767*TCA!E767/100</f>
        <v>7.0000000000000007E-2</v>
      </c>
      <c r="F767" s="3">
        <f>$D767*TCA!F767/100</f>
        <v>0</v>
      </c>
      <c r="G767" s="3">
        <f>$D767*TCA!G767/100</f>
        <v>0</v>
      </c>
      <c r="H767" s="3">
        <f>$D767*TCA!H767/100</f>
        <v>0.02</v>
      </c>
      <c r="I767" s="3">
        <f>$D767*TCA!I767/100</f>
        <v>0</v>
      </c>
      <c r="J767" s="3">
        <f>$D767*TCA!J767/100</f>
        <v>0</v>
      </c>
      <c r="K767" s="3">
        <f>$D767*TCA!K767/100</f>
        <v>0.42</v>
      </c>
      <c r="L767" s="3">
        <f>$D767*TCA!L767/100</f>
        <v>0</v>
      </c>
      <c r="M767" s="3">
        <f>$D767*TCA!M767/100</f>
        <v>16.670000000000002</v>
      </c>
      <c r="N767" s="3">
        <f>$D767*TCA!N767/100</f>
        <v>0</v>
      </c>
      <c r="O767" s="3">
        <f>$D767*TCA!O767/100</f>
        <v>0</v>
      </c>
      <c r="P767" s="3" t="e">
        <f t="shared" si="11"/>
        <v>#DIV/0!</v>
      </c>
      <c r="Q767" s="3">
        <f>$D767*TCA!P767/100</f>
        <v>0</v>
      </c>
      <c r="R767" s="3">
        <f>$D767*TCA!Q767/100</f>
        <v>0</v>
      </c>
      <c r="S767" s="3">
        <f>$D767*TCA!R767/100</f>
        <v>8.33</v>
      </c>
      <c r="T767" s="3">
        <f>$D767*TCA!S767/100</f>
        <v>0</v>
      </c>
      <c r="U767" s="3">
        <f>$D767*TCA!T767/100</f>
        <v>0</v>
      </c>
      <c r="V767" s="3">
        <f>$D767*TCA!U767/100</f>
        <v>0</v>
      </c>
      <c r="W767" s="3">
        <f>$D767*TCA!V767/100</f>
        <v>0</v>
      </c>
      <c r="X767" s="3">
        <f>$D767*TCA!W767/100</f>
        <v>0</v>
      </c>
    </row>
    <row r="768" spans="1:24" x14ac:dyDescent="0.25">
      <c r="A768" s="3" t="s">
        <v>2033</v>
      </c>
      <c r="B768" s="3" t="s">
        <v>1512</v>
      </c>
      <c r="C768" s="3" t="s">
        <v>1513</v>
      </c>
      <c r="D768" s="3">
        <v>100</v>
      </c>
      <c r="E768" s="3">
        <f>$D768*TCA!E768/100</f>
        <v>118.57</v>
      </c>
      <c r="F768" s="3">
        <f>$D768*TCA!F768/100</f>
        <v>2.86</v>
      </c>
      <c r="G768" s="3">
        <f>$D768*TCA!G768/100</f>
        <v>4.29</v>
      </c>
      <c r="H768" s="3">
        <f>$D768*TCA!H768/100</f>
        <v>17.14</v>
      </c>
      <c r="I768" s="3">
        <f>$D768*TCA!I768/100</f>
        <v>0</v>
      </c>
      <c r="J768" s="3">
        <f>$D768*TCA!J768/100</f>
        <v>2.86</v>
      </c>
      <c r="K768" s="3">
        <f>$D768*TCA!K768/100</f>
        <v>1.43</v>
      </c>
      <c r="L768" s="3">
        <f>$D768*TCA!L768/100</f>
        <v>0</v>
      </c>
      <c r="M768" s="3">
        <f>$D768*TCA!M768/100</f>
        <v>0</v>
      </c>
      <c r="N768" s="3">
        <f>$D768*TCA!N768/100</f>
        <v>0</v>
      </c>
      <c r="O768" s="3">
        <f>$D768*TCA!O768/100</f>
        <v>0</v>
      </c>
      <c r="P768" s="3">
        <f t="shared" si="11"/>
        <v>0</v>
      </c>
      <c r="Q768" s="3">
        <f>$D768*TCA!P768/100</f>
        <v>0</v>
      </c>
      <c r="R768" s="3">
        <f>$D768*TCA!Q768/100</f>
        <v>0</v>
      </c>
      <c r="S768" s="3">
        <f>$D768*TCA!R768/100</f>
        <v>42.86</v>
      </c>
      <c r="T768" s="3">
        <f>$D768*TCA!S768/100</f>
        <v>0</v>
      </c>
      <c r="U768" s="3">
        <f>$D768*TCA!T768/100</f>
        <v>0</v>
      </c>
      <c r="V768" s="3">
        <f>$D768*TCA!U768/100</f>
        <v>0</v>
      </c>
      <c r="W768" s="3">
        <f>$D768*TCA!V768/100</f>
        <v>0</v>
      </c>
      <c r="X768" s="3">
        <f>$D768*TCA!W768/100</f>
        <v>0</v>
      </c>
    </row>
    <row r="769" spans="1:24" x14ac:dyDescent="0.25">
      <c r="A769" s="3" t="s">
        <v>2033</v>
      </c>
      <c r="B769" s="3" t="s">
        <v>1514</v>
      </c>
      <c r="C769" s="3" t="s">
        <v>1515</v>
      </c>
      <c r="D769" s="3">
        <v>100</v>
      </c>
      <c r="E769" s="3">
        <f>$D769*TCA!E769/100</f>
        <v>230.95</v>
      </c>
      <c r="F769" s="3">
        <f>$D769*TCA!F769/100</f>
        <v>4.76</v>
      </c>
      <c r="G769" s="3">
        <f>$D769*TCA!G769/100</f>
        <v>11.9</v>
      </c>
      <c r="H769" s="3">
        <f>$D769*TCA!H769/100</f>
        <v>26.19</v>
      </c>
      <c r="I769" s="3">
        <f>$D769*TCA!I769/100</f>
        <v>0</v>
      </c>
      <c r="J769" s="3">
        <f>$D769*TCA!J769/100</f>
        <v>9.52</v>
      </c>
      <c r="K769" s="3">
        <f>$D769*TCA!K769/100</f>
        <v>2.38</v>
      </c>
      <c r="L769" s="3">
        <f>$D769*TCA!L769/100</f>
        <v>0</v>
      </c>
      <c r="M769" s="3">
        <f>$D769*TCA!M769/100</f>
        <v>52.38</v>
      </c>
      <c r="N769" s="3">
        <f>$D769*TCA!N769/100</f>
        <v>0</v>
      </c>
      <c r="O769" s="3">
        <f>$D769*TCA!O769/100</f>
        <v>0</v>
      </c>
      <c r="P769" s="3">
        <f t="shared" si="11"/>
        <v>0</v>
      </c>
      <c r="Q769" s="3">
        <f>$D769*TCA!P769/100</f>
        <v>0</v>
      </c>
      <c r="R769" s="3">
        <f>$D769*TCA!Q769/100</f>
        <v>0</v>
      </c>
      <c r="S769" s="3">
        <f>$D769*TCA!R769/100</f>
        <v>59.52</v>
      </c>
      <c r="T769" s="3">
        <f>$D769*TCA!S769/100</f>
        <v>0</v>
      </c>
      <c r="U769" s="3">
        <f>$D769*TCA!T769/100</f>
        <v>0</v>
      </c>
      <c r="V769" s="3">
        <f>$D769*TCA!U769/100</f>
        <v>0</v>
      </c>
      <c r="W769" s="3">
        <f>$D769*TCA!V769/100</f>
        <v>0</v>
      </c>
      <c r="X769" s="3">
        <f>$D769*TCA!W769/100</f>
        <v>0</v>
      </c>
    </row>
    <row r="770" spans="1:24" x14ac:dyDescent="0.25">
      <c r="A770" s="3" t="s">
        <v>2033</v>
      </c>
      <c r="B770" s="3" t="s">
        <v>1516</v>
      </c>
      <c r="C770" s="3" t="s">
        <v>1517</v>
      </c>
      <c r="D770" s="3">
        <v>100</v>
      </c>
      <c r="E770" s="3">
        <f>$D770*TCA!E770/100</f>
        <v>97.79</v>
      </c>
      <c r="F770" s="3">
        <f>$D770*TCA!F770/100</f>
        <v>1.47</v>
      </c>
      <c r="G770" s="3">
        <f>$D770*TCA!G770/100</f>
        <v>3.68</v>
      </c>
      <c r="H770" s="3">
        <f>$D770*TCA!H770/100</f>
        <v>14.71</v>
      </c>
      <c r="I770" s="3">
        <f>$D770*TCA!I770/100</f>
        <v>0</v>
      </c>
      <c r="J770" s="3">
        <f>$D770*TCA!J770/100</f>
        <v>2.94</v>
      </c>
      <c r="K770" s="3">
        <f>$D770*TCA!K770/100</f>
        <v>0.74</v>
      </c>
      <c r="L770" s="3">
        <f>$D770*TCA!L770/100</f>
        <v>0</v>
      </c>
      <c r="M770" s="3">
        <f>$D770*TCA!M770/100</f>
        <v>11.76</v>
      </c>
      <c r="N770" s="3">
        <f>$D770*TCA!N770/100</f>
        <v>0</v>
      </c>
      <c r="O770" s="3">
        <f>$D770*TCA!O770/100</f>
        <v>0</v>
      </c>
      <c r="P770" s="3">
        <f t="shared" si="11"/>
        <v>0</v>
      </c>
      <c r="Q770" s="3">
        <f>$D770*TCA!P770/100</f>
        <v>0</v>
      </c>
      <c r="R770" s="3">
        <f>$D770*TCA!Q770/100</f>
        <v>0</v>
      </c>
      <c r="S770" s="3">
        <f>$D770*TCA!R770/100</f>
        <v>29.41</v>
      </c>
      <c r="T770" s="3">
        <f>$D770*TCA!S770/100</f>
        <v>0</v>
      </c>
      <c r="U770" s="3">
        <f>$D770*TCA!T770/100</f>
        <v>0</v>
      </c>
      <c r="V770" s="3">
        <f>$D770*TCA!U770/100</f>
        <v>0</v>
      </c>
      <c r="W770" s="3">
        <f>$D770*TCA!V770/100</f>
        <v>0</v>
      </c>
      <c r="X770" s="3">
        <f>$D770*TCA!W770/100</f>
        <v>0</v>
      </c>
    </row>
    <row r="771" spans="1:24" x14ac:dyDescent="0.25">
      <c r="A771" s="3" t="s">
        <v>2033</v>
      </c>
      <c r="B771" s="3" t="s">
        <v>1518</v>
      </c>
      <c r="C771" s="3" t="s">
        <v>1519</v>
      </c>
      <c r="D771" s="3">
        <v>100</v>
      </c>
      <c r="E771" s="3">
        <f>$D771*TCA!E771/100</f>
        <v>266.67</v>
      </c>
      <c r="F771" s="3">
        <f>$D771*TCA!F771/100</f>
        <v>0</v>
      </c>
      <c r="G771" s="3">
        <f>$D771*TCA!G771/100</f>
        <v>0</v>
      </c>
      <c r="H771" s="3">
        <f>$D771*TCA!H771/100</f>
        <v>66.67</v>
      </c>
      <c r="I771" s="3">
        <f>$D771*TCA!I771/100</f>
        <v>0</v>
      </c>
      <c r="J771" s="3">
        <f>$D771*TCA!J771/100</f>
        <v>0</v>
      </c>
      <c r="K771" s="3">
        <f>$D771*TCA!K771/100</f>
        <v>0</v>
      </c>
      <c r="L771" s="3">
        <f>$D771*TCA!L771/100</f>
        <v>0</v>
      </c>
      <c r="M771" s="3">
        <f>$D771*TCA!M771/100</f>
        <v>0</v>
      </c>
      <c r="N771" s="3">
        <f>$D771*TCA!N771/100</f>
        <v>0</v>
      </c>
      <c r="O771" s="3">
        <f>$D771*TCA!O771/100</f>
        <v>0</v>
      </c>
      <c r="P771" s="3" t="e">
        <f t="shared" si="11"/>
        <v>#DIV/0!</v>
      </c>
      <c r="Q771" s="3">
        <f>$D771*TCA!P771/100</f>
        <v>0</v>
      </c>
      <c r="R771" s="3">
        <f>$D771*TCA!Q771/100</f>
        <v>0</v>
      </c>
      <c r="S771" s="3">
        <f>$D771*TCA!R771/100</f>
        <v>50</v>
      </c>
      <c r="T771" s="3">
        <f>$D771*TCA!S771/100</f>
        <v>0</v>
      </c>
      <c r="U771" s="3">
        <f>$D771*TCA!T771/100</f>
        <v>0</v>
      </c>
      <c r="V771" s="3">
        <f>$D771*TCA!U771/100</f>
        <v>0</v>
      </c>
      <c r="W771" s="3">
        <f>$D771*TCA!V771/100</f>
        <v>0</v>
      </c>
      <c r="X771" s="3">
        <f>$D771*TCA!W771/100</f>
        <v>0</v>
      </c>
    </row>
    <row r="772" spans="1:24" x14ac:dyDescent="0.25">
      <c r="A772" s="3" t="s">
        <v>2033</v>
      </c>
      <c r="B772" s="3" t="s">
        <v>1520</v>
      </c>
      <c r="C772" s="3" t="s">
        <v>1521</v>
      </c>
      <c r="D772" s="3">
        <v>100</v>
      </c>
      <c r="E772" s="3">
        <f>$D772*TCA!E772/100</f>
        <v>400</v>
      </c>
      <c r="F772" s="3">
        <f>$D772*TCA!F772/100</f>
        <v>0</v>
      </c>
      <c r="G772" s="3">
        <f>$D772*TCA!G772/100</f>
        <v>0</v>
      </c>
      <c r="H772" s="3">
        <f>$D772*TCA!H772/100</f>
        <v>100</v>
      </c>
      <c r="I772" s="3">
        <f>$D772*TCA!I772/100</f>
        <v>0</v>
      </c>
      <c r="J772" s="3">
        <f>$D772*TCA!J772/100</f>
        <v>0</v>
      </c>
      <c r="K772" s="3">
        <f>$D772*TCA!K772/100</f>
        <v>0</v>
      </c>
      <c r="L772" s="3">
        <f>$D772*TCA!L772/100</f>
        <v>0</v>
      </c>
      <c r="M772" s="3">
        <f>$D772*TCA!M772/100</f>
        <v>0</v>
      </c>
      <c r="N772" s="3">
        <f>$D772*TCA!N772/100</f>
        <v>0</v>
      </c>
      <c r="O772" s="3">
        <f>$D772*TCA!O772/100</f>
        <v>0</v>
      </c>
      <c r="P772" s="3" t="e">
        <f t="shared" ref="P772:P835" si="12">O772/F772</f>
        <v>#DIV/0!</v>
      </c>
      <c r="Q772" s="3">
        <f>$D772*TCA!P772/100</f>
        <v>0</v>
      </c>
      <c r="R772" s="3">
        <f>$D772*TCA!Q772/100</f>
        <v>0</v>
      </c>
      <c r="S772" s="3">
        <f>$D772*TCA!R772/100</f>
        <v>0</v>
      </c>
      <c r="T772" s="3">
        <f>$D772*TCA!S772/100</f>
        <v>0</v>
      </c>
      <c r="U772" s="3">
        <f>$D772*TCA!T772/100</f>
        <v>0</v>
      </c>
      <c r="V772" s="3">
        <f>$D772*TCA!U772/100</f>
        <v>0</v>
      </c>
      <c r="W772" s="3">
        <f>$D772*TCA!V772/100</f>
        <v>0</v>
      </c>
      <c r="X772" s="3">
        <f>$D772*TCA!W772/100</f>
        <v>0</v>
      </c>
    </row>
    <row r="773" spans="1:24" x14ac:dyDescent="0.25">
      <c r="A773" s="3" t="s">
        <v>2033</v>
      </c>
      <c r="B773" s="3" t="s">
        <v>1522</v>
      </c>
      <c r="C773" s="3" t="s">
        <v>1523</v>
      </c>
      <c r="D773" s="3">
        <v>100</v>
      </c>
      <c r="E773" s="3">
        <f>$D773*TCA!E773/100</f>
        <v>263.41000000000003</v>
      </c>
      <c r="F773" s="3">
        <f>$D773*TCA!F773/100</f>
        <v>0</v>
      </c>
      <c r="G773" s="3">
        <f>$D773*TCA!G773/100</f>
        <v>0</v>
      </c>
      <c r="H773" s="3">
        <f>$D773*TCA!H773/100</f>
        <v>65.849999999999994</v>
      </c>
      <c r="I773" s="3">
        <f>$D773*TCA!I773/100</f>
        <v>0</v>
      </c>
      <c r="J773" s="3">
        <f>$D773*TCA!J773/100</f>
        <v>0</v>
      </c>
      <c r="K773" s="3">
        <f>$D773*TCA!K773/100</f>
        <v>0</v>
      </c>
      <c r="L773" s="3">
        <f>$D773*TCA!L773/100</f>
        <v>0</v>
      </c>
      <c r="M773" s="3">
        <f>$D773*TCA!M773/100</f>
        <v>0</v>
      </c>
      <c r="N773" s="3">
        <f>$D773*TCA!N773/100</f>
        <v>0</v>
      </c>
      <c r="O773" s="3">
        <f>$D773*TCA!O773/100</f>
        <v>0</v>
      </c>
      <c r="P773" s="3" t="e">
        <f t="shared" si="12"/>
        <v>#DIV/0!</v>
      </c>
      <c r="Q773" s="3">
        <f>$D773*TCA!P773/100</f>
        <v>0</v>
      </c>
      <c r="R773" s="3">
        <f>$D773*TCA!Q773/100</f>
        <v>0</v>
      </c>
      <c r="S773" s="3">
        <f>$D773*TCA!R773/100</f>
        <v>304.88</v>
      </c>
      <c r="T773" s="3">
        <f>$D773*TCA!S773/100</f>
        <v>0</v>
      </c>
      <c r="U773" s="3">
        <f>$D773*TCA!T773/100</f>
        <v>0</v>
      </c>
      <c r="V773" s="3">
        <f>$D773*TCA!U773/100</f>
        <v>0</v>
      </c>
      <c r="W773" s="3">
        <f>$D773*TCA!V773/100</f>
        <v>0</v>
      </c>
      <c r="X773" s="3">
        <f>$D773*TCA!W773/100</f>
        <v>0</v>
      </c>
    </row>
    <row r="774" spans="1:24" x14ac:dyDescent="0.25">
      <c r="A774" s="3" t="s">
        <v>2033</v>
      </c>
      <c r="B774" s="3" t="s">
        <v>1524</v>
      </c>
      <c r="C774" s="3" t="s">
        <v>1525</v>
      </c>
      <c r="D774" s="3">
        <v>100</v>
      </c>
      <c r="E774" s="3">
        <f>$D774*TCA!E774/100</f>
        <v>288.89</v>
      </c>
      <c r="F774" s="3">
        <f>$D774*TCA!F774/100</f>
        <v>0</v>
      </c>
      <c r="G774" s="3">
        <f>$D774*TCA!G774/100</f>
        <v>0</v>
      </c>
      <c r="H774" s="3">
        <f>$D774*TCA!H774/100</f>
        <v>72.22</v>
      </c>
      <c r="I774" s="3">
        <f>$D774*TCA!I774/100</f>
        <v>0</v>
      </c>
      <c r="J774" s="3">
        <f>$D774*TCA!J774/100</f>
        <v>0</v>
      </c>
      <c r="K774" s="3">
        <f>$D774*TCA!K774/100</f>
        <v>0</v>
      </c>
      <c r="L774" s="3">
        <f>$D774*TCA!L774/100</f>
        <v>0</v>
      </c>
      <c r="M774" s="3">
        <f>$D774*TCA!M774/100</f>
        <v>0</v>
      </c>
      <c r="N774" s="3">
        <f>$D774*TCA!N774/100</f>
        <v>0</v>
      </c>
      <c r="O774" s="3">
        <f>$D774*TCA!O774/100</f>
        <v>0</v>
      </c>
      <c r="P774" s="3" t="e">
        <f t="shared" si="12"/>
        <v>#DIV/0!</v>
      </c>
      <c r="Q774" s="3">
        <f>$D774*TCA!P774/100</f>
        <v>0</v>
      </c>
      <c r="R774" s="3">
        <f>$D774*TCA!Q774/100</f>
        <v>0</v>
      </c>
      <c r="S774" s="3">
        <f>$D774*TCA!R774/100</f>
        <v>27.78</v>
      </c>
      <c r="T774" s="3">
        <f>$D774*TCA!S774/100</f>
        <v>0</v>
      </c>
      <c r="U774" s="3">
        <f>$D774*TCA!T774/100</f>
        <v>0</v>
      </c>
      <c r="V774" s="3">
        <f>$D774*TCA!U774/100</f>
        <v>0</v>
      </c>
      <c r="W774" s="3">
        <f>$D774*TCA!V774/100</f>
        <v>0</v>
      </c>
      <c r="X774" s="3">
        <f>$D774*TCA!W774/100</f>
        <v>0</v>
      </c>
    </row>
    <row r="775" spans="1:24" x14ac:dyDescent="0.25">
      <c r="A775" s="3" t="s">
        <v>2033</v>
      </c>
      <c r="B775" s="3" t="s">
        <v>1526</v>
      </c>
      <c r="C775" s="3" t="s">
        <v>1527</v>
      </c>
      <c r="D775" s="3">
        <v>100</v>
      </c>
      <c r="E775" s="3">
        <f>$D775*TCA!E775/100</f>
        <v>266.67</v>
      </c>
      <c r="F775" s="3">
        <f>$D775*TCA!F775/100</f>
        <v>0</v>
      </c>
      <c r="G775" s="3">
        <f>$D775*TCA!G775/100</f>
        <v>0</v>
      </c>
      <c r="H775" s="3">
        <f>$D775*TCA!H775/100</f>
        <v>66.67</v>
      </c>
      <c r="I775" s="3">
        <f>$D775*TCA!I775/100</f>
        <v>0</v>
      </c>
      <c r="J775" s="3">
        <f>$D775*TCA!J775/100</f>
        <v>0</v>
      </c>
      <c r="K775" s="3">
        <f>$D775*TCA!K775/100</f>
        <v>0</v>
      </c>
      <c r="L775" s="3">
        <f>$D775*TCA!L775/100</f>
        <v>0</v>
      </c>
      <c r="M775" s="3">
        <f>$D775*TCA!M775/100</f>
        <v>0</v>
      </c>
      <c r="N775" s="3">
        <f>$D775*TCA!N775/100</f>
        <v>0</v>
      </c>
      <c r="O775" s="3">
        <f>$D775*TCA!O775/100</f>
        <v>0</v>
      </c>
      <c r="P775" s="3" t="e">
        <f t="shared" si="12"/>
        <v>#DIV/0!</v>
      </c>
      <c r="Q775" s="3">
        <f>$D775*TCA!P775/100</f>
        <v>0</v>
      </c>
      <c r="R775" s="3">
        <f>$D775*TCA!Q775/100</f>
        <v>0</v>
      </c>
      <c r="S775" s="3">
        <f>$D775*TCA!R775/100</f>
        <v>0</v>
      </c>
      <c r="T775" s="3">
        <f>$D775*TCA!S775/100</f>
        <v>0</v>
      </c>
      <c r="U775" s="3">
        <f>$D775*TCA!T775/100</f>
        <v>0</v>
      </c>
      <c r="V775" s="3">
        <f>$D775*TCA!U775/100</f>
        <v>0</v>
      </c>
      <c r="W775" s="3">
        <f>$D775*TCA!V775/100</f>
        <v>0</v>
      </c>
      <c r="X775" s="3">
        <f>$D775*TCA!W775/100</f>
        <v>0</v>
      </c>
    </row>
    <row r="776" spans="1:24" x14ac:dyDescent="0.25">
      <c r="A776" s="3" t="s">
        <v>2033</v>
      </c>
      <c r="B776" s="3" t="s">
        <v>1528</v>
      </c>
      <c r="C776" s="3" t="s">
        <v>1529</v>
      </c>
      <c r="D776" s="3">
        <v>100</v>
      </c>
      <c r="E776" s="3">
        <f>$D776*TCA!E776/100</f>
        <v>327.54000000000002</v>
      </c>
      <c r="F776" s="3">
        <f>$D776*TCA!F776/100</f>
        <v>7.91</v>
      </c>
      <c r="G776" s="3">
        <f>$D776*TCA!G776/100</f>
        <v>8.6999999999999993</v>
      </c>
      <c r="H776" s="3">
        <f>$D776*TCA!H776/100</f>
        <v>54.4</v>
      </c>
      <c r="I776" s="3">
        <f>$D776*TCA!I776/100</f>
        <v>0</v>
      </c>
      <c r="J776" s="3">
        <f>$D776*TCA!J776/100</f>
        <v>5.49</v>
      </c>
      <c r="K776" s="3">
        <f>$D776*TCA!K776/100</f>
        <v>2.4300000000000002</v>
      </c>
      <c r="L776" s="3">
        <f>$D776*TCA!L776/100</f>
        <v>0.34</v>
      </c>
      <c r="M776" s="3">
        <f>$D776*TCA!M776/100</f>
        <v>34</v>
      </c>
      <c r="N776" s="3">
        <f>$D776*TCA!N776/100</f>
        <v>284</v>
      </c>
      <c r="O776" s="3">
        <f>$D776*TCA!O776/100</f>
        <v>253</v>
      </c>
      <c r="P776" s="3">
        <f t="shared" si="12"/>
        <v>31.984829329962071</v>
      </c>
      <c r="Q776" s="3">
        <f>$D776*TCA!P776/100</f>
        <v>0.19</v>
      </c>
      <c r="R776" s="3">
        <f>$D776*TCA!Q776/100</f>
        <v>371</v>
      </c>
      <c r="S776" s="3">
        <f>$D776*TCA!R776/100</f>
        <v>127</v>
      </c>
      <c r="T776" s="3">
        <f>$D776*TCA!S776/100</f>
        <v>0.94</v>
      </c>
      <c r="U776" s="3">
        <f>$D776*TCA!T776/100</f>
        <v>3</v>
      </c>
      <c r="V776" s="3">
        <f>$D776*TCA!U776/100</f>
        <v>74</v>
      </c>
      <c r="W776" s="3">
        <f>$D776*TCA!V776/100</f>
        <v>11</v>
      </c>
      <c r="X776" s="3">
        <f>$D776*TCA!W776/100</f>
        <v>0.44</v>
      </c>
    </row>
    <row r="777" spans="1:24" x14ac:dyDescent="0.25">
      <c r="A777" s="3" t="s">
        <v>2033</v>
      </c>
      <c r="B777" s="3" t="s">
        <v>1530</v>
      </c>
      <c r="C777" s="3" t="s">
        <v>1531</v>
      </c>
      <c r="D777" s="3">
        <v>100</v>
      </c>
      <c r="E777" s="3">
        <f>$D777*TCA!E777/100</f>
        <v>176</v>
      </c>
      <c r="F777" s="3">
        <f>$D777*TCA!F777/100</f>
        <v>0</v>
      </c>
      <c r="G777" s="3">
        <f>$D777*TCA!G777/100</f>
        <v>0</v>
      </c>
      <c r="H777" s="3">
        <f>$D777*TCA!H777/100</f>
        <v>44</v>
      </c>
      <c r="I777" s="3">
        <f>$D777*TCA!I777/100</f>
        <v>0</v>
      </c>
      <c r="J777" s="3">
        <f>$D777*TCA!J777/100</f>
        <v>0</v>
      </c>
      <c r="K777" s="3">
        <f>$D777*TCA!K777/100</f>
        <v>0</v>
      </c>
      <c r="L777" s="3">
        <f>$D777*TCA!L777/100</f>
        <v>0</v>
      </c>
      <c r="M777" s="3">
        <f>$D777*TCA!M777/100</f>
        <v>0</v>
      </c>
      <c r="N777" s="3">
        <f>$D777*TCA!N777/100</f>
        <v>0</v>
      </c>
      <c r="O777" s="3">
        <f>$D777*TCA!O777/100</f>
        <v>0</v>
      </c>
      <c r="P777" s="3" t="e">
        <f t="shared" si="12"/>
        <v>#DIV/0!</v>
      </c>
      <c r="Q777" s="3">
        <f>$D777*TCA!P777/100</f>
        <v>0</v>
      </c>
      <c r="R777" s="3">
        <f>$D777*TCA!Q777/100</f>
        <v>0</v>
      </c>
      <c r="S777" s="3">
        <f>$D777*TCA!R777/100</f>
        <v>0</v>
      </c>
      <c r="T777" s="3">
        <f>$D777*TCA!S777/100</f>
        <v>0</v>
      </c>
      <c r="U777" s="3">
        <f>$D777*TCA!T777/100</f>
        <v>0</v>
      </c>
      <c r="V777" s="3">
        <f>$D777*TCA!U777/100</f>
        <v>0</v>
      </c>
      <c r="W777" s="3">
        <f>$D777*TCA!V777/100</f>
        <v>0</v>
      </c>
      <c r="X777" s="3">
        <f>$D777*TCA!W777/100</f>
        <v>0</v>
      </c>
    </row>
    <row r="778" spans="1:24" x14ac:dyDescent="0.25">
      <c r="A778" s="3" t="s">
        <v>2033</v>
      </c>
      <c r="B778" s="3" t="s">
        <v>1532</v>
      </c>
      <c r="C778" s="3" t="s">
        <v>1533</v>
      </c>
      <c r="D778" s="3">
        <v>100</v>
      </c>
      <c r="E778" s="3">
        <f>$D778*TCA!E778/100</f>
        <v>240</v>
      </c>
      <c r="F778" s="3">
        <f>$D778*TCA!F778/100</f>
        <v>0</v>
      </c>
      <c r="G778" s="3">
        <f>$D778*TCA!G778/100</f>
        <v>0</v>
      </c>
      <c r="H778" s="3">
        <f>$D778*TCA!H778/100</f>
        <v>60</v>
      </c>
      <c r="I778" s="3">
        <f>$D778*TCA!I778/100</f>
        <v>0</v>
      </c>
      <c r="J778" s="3">
        <f>$D778*TCA!J778/100</f>
        <v>0</v>
      </c>
      <c r="K778" s="3">
        <f>$D778*TCA!K778/100</f>
        <v>0</v>
      </c>
      <c r="L778" s="3">
        <f>$D778*TCA!L778/100</f>
        <v>0</v>
      </c>
      <c r="M778" s="3">
        <f>$D778*TCA!M778/100</f>
        <v>0</v>
      </c>
      <c r="N778" s="3">
        <f>$D778*TCA!N778/100</f>
        <v>0</v>
      </c>
      <c r="O778" s="3">
        <f>$D778*TCA!O778/100</f>
        <v>0</v>
      </c>
      <c r="P778" s="3" t="e">
        <f t="shared" si="12"/>
        <v>#DIV/0!</v>
      </c>
      <c r="Q778" s="3">
        <f>$D778*TCA!P778/100</f>
        <v>0</v>
      </c>
      <c r="R778" s="3">
        <f>$D778*TCA!Q778/100</f>
        <v>0</v>
      </c>
      <c r="S778" s="3">
        <f>$D778*TCA!R778/100</f>
        <v>0</v>
      </c>
      <c r="T778" s="3">
        <f>$D778*TCA!S778/100</f>
        <v>0</v>
      </c>
      <c r="U778" s="3">
        <f>$D778*TCA!T778/100</f>
        <v>0</v>
      </c>
      <c r="V778" s="3">
        <f>$D778*TCA!U778/100</f>
        <v>0</v>
      </c>
      <c r="W778" s="3">
        <f>$D778*TCA!V778/100</f>
        <v>0</v>
      </c>
      <c r="X778" s="3">
        <f>$D778*TCA!W778/100</f>
        <v>0</v>
      </c>
    </row>
    <row r="779" spans="1:24" x14ac:dyDescent="0.25">
      <c r="A779" s="3" t="s">
        <v>2033</v>
      </c>
      <c r="B779" s="3" t="s">
        <v>1534</v>
      </c>
      <c r="C779" s="3" t="s">
        <v>1535</v>
      </c>
      <c r="D779" s="3">
        <v>100</v>
      </c>
      <c r="E779" s="3">
        <f>$D779*TCA!E779/100</f>
        <v>186.67</v>
      </c>
      <c r="F779" s="3">
        <f>$D779*TCA!F779/100</f>
        <v>0</v>
      </c>
      <c r="G779" s="3">
        <f>$D779*TCA!G779/100</f>
        <v>0</v>
      </c>
      <c r="H779" s="3">
        <f>$D779*TCA!H779/100</f>
        <v>46.67</v>
      </c>
      <c r="I779" s="3">
        <f>$D779*TCA!I779/100</f>
        <v>0</v>
      </c>
      <c r="J779" s="3">
        <f>$D779*TCA!J779/100</f>
        <v>0</v>
      </c>
      <c r="K779" s="3">
        <f>$D779*TCA!K779/100</f>
        <v>0</v>
      </c>
      <c r="L779" s="3">
        <f>$D779*TCA!L779/100</f>
        <v>0</v>
      </c>
      <c r="M779" s="3">
        <f>$D779*TCA!M779/100</f>
        <v>0</v>
      </c>
      <c r="N779" s="3">
        <f>$D779*TCA!N779/100</f>
        <v>0</v>
      </c>
      <c r="O779" s="3">
        <f>$D779*TCA!O779/100</f>
        <v>0</v>
      </c>
      <c r="P779" s="3" t="e">
        <f t="shared" si="12"/>
        <v>#DIV/0!</v>
      </c>
      <c r="Q779" s="3">
        <f>$D779*TCA!P779/100</f>
        <v>0</v>
      </c>
      <c r="R779" s="3">
        <f>$D779*TCA!Q779/100</f>
        <v>0</v>
      </c>
      <c r="S779" s="3">
        <f>$D779*TCA!R779/100</f>
        <v>0</v>
      </c>
      <c r="T779" s="3">
        <f>$D779*TCA!S779/100</f>
        <v>0</v>
      </c>
      <c r="U779" s="3">
        <f>$D779*TCA!T779/100</f>
        <v>0</v>
      </c>
      <c r="V779" s="3">
        <f>$D779*TCA!U779/100</f>
        <v>0</v>
      </c>
      <c r="W779" s="3">
        <f>$D779*TCA!V779/100</f>
        <v>0</v>
      </c>
      <c r="X779" s="3">
        <f>$D779*TCA!W779/100</f>
        <v>0</v>
      </c>
    </row>
    <row r="780" spans="1:24" x14ac:dyDescent="0.25">
      <c r="A780" s="3" t="s">
        <v>2033</v>
      </c>
      <c r="B780" s="3" t="s">
        <v>1536</v>
      </c>
      <c r="C780" s="3" t="s">
        <v>1537</v>
      </c>
      <c r="D780" s="3">
        <v>100</v>
      </c>
      <c r="E780" s="3">
        <f>$D780*TCA!E780/100</f>
        <v>294.74</v>
      </c>
      <c r="F780" s="3">
        <f>$D780*TCA!F780/100</f>
        <v>0</v>
      </c>
      <c r="G780" s="3">
        <f>$D780*TCA!G780/100</f>
        <v>0</v>
      </c>
      <c r="H780" s="3">
        <f>$D780*TCA!H780/100</f>
        <v>73.680000000000007</v>
      </c>
      <c r="I780" s="3">
        <f>$D780*TCA!I780/100</f>
        <v>0</v>
      </c>
      <c r="J780" s="3">
        <f>$D780*TCA!J780/100</f>
        <v>0</v>
      </c>
      <c r="K780" s="3">
        <f>$D780*TCA!K780/100</f>
        <v>0</v>
      </c>
      <c r="L780" s="3">
        <f>$D780*TCA!L780/100</f>
        <v>0</v>
      </c>
      <c r="M780" s="3">
        <f>$D780*TCA!M780/100</f>
        <v>0</v>
      </c>
      <c r="N780" s="3">
        <f>$D780*TCA!N780/100</f>
        <v>0</v>
      </c>
      <c r="O780" s="3">
        <f>$D780*TCA!O780/100</f>
        <v>0</v>
      </c>
      <c r="P780" s="3" t="e">
        <f t="shared" si="12"/>
        <v>#DIV/0!</v>
      </c>
      <c r="Q780" s="3">
        <f>$D780*TCA!P780/100</f>
        <v>0</v>
      </c>
      <c r="R780" s="3">
        <f>$D780*TCA!Q780/100</f>
        <v>0</v>
      </c>
      <c r="S780" s="3">
        <f>$D780*TCA!R780/100</f>
        <v>0</v>
      </c>
      <c r="T780" s="3">
        <f>$D780*TCA!S780/100</f>
        <v>0</v>
      </c>
      <c r="U780" s="3">
        <f>$D780*TCA!T780/100</f>
        <v>0</v>
      </c>
      <c r="V780" s="3">
        <f>$D780*TCA!U780/100</f>
        <v>0</v>
      </c>
      <c r="W780" s="3">
        <f>$D780*TCA!V780/100</f>
        <v>0</v>
      </c>
      <c r="X780" s="3">
        <f>$D780*TCA!W780/100</f>
        <v>0</v>
      </c>
    </row>
    <row r="781" spans="1:24" x14ac:dyDescent="0.25">
      <c r="A781" s="3" t="s">
        <v>2033</v>
      </c>
      <c r="B781" s="3" t="s">
        <v>1538</v>
      </c>
      <c r="C781" s="3" t="s">
        <v>1539</v>
      </c>
      <c r="D781" s="3">
        <v>100</v>
      </c>
      <c r="E781" s="3">
        <f>$D781*TCA!E781/100</f>
        <v>211.76</v>
      </c>
      <c r="F781" s="3">
        <f>$D781*TCA!F781/100</f>
        <v>0</v>
      </c>
      <c r="G781" s="3">
        <f>$D781*TCA!G781/100</f>
        <v>0</v>
      </c>
      <c r="H781" s="3">
        <f>$D781*TCA!H781/100</f>
        <v>52.94</v>
      </c>
      <c r="I781" s="3">
        <f>$D781*TCA!I781/100</f>
        <v>0</v>
      </c>
      <c r="J781" s="3">
        <f>$D781*TCA!J781/100</f>
        <v>0</v>
      </c>
      <c r="K781" s="3">
        <f>$D781*TCA!K781/100</f>
        <v>0</v>
      </c>
      <c r="L781" s="3">
        <f>$D781*TCA!L781/100</f>
        <v>0</v>
      </c>
      <c r="M781" s="3">
        <f>$D781*TCA!M781/100</f>
        <v>0</v>
      </c>
      <c r="N781" s="3">
        <f>$D781*TCA!N781/100</f>
        <v>0</v>
      </c>
      <c r="O781" s="3">
        <f>$D781*TCA!O781/100</f>
        <v>0</v>
      </c>
      <c r="P781" s="3" t="e">
        <f t="shared" si="12"/>
        <v>#DIV/0!</v>
      </c>
      <c r="Q781" s="3">
        <f>$D781*TCA!P781/100</f>
        <v>0</v>
      </c>
      <c r="R781" s="3">
        <f>$D781*TCA!Q781/100</f>
        <v>0</v>
      </c>
      <c r="S781" s="3">
        <f>$D781*TCA!R781/100</f>
        <v>0</v>
      </c>
      <c r="T781" s="3">
        <f>$D781*TCA!S781/100</f>
        <v>0</v>
      </c>
      <c r="U781" s="3">
        <f>$D781*TCA!T781/100</f>
        <v>0</v>
      </c>
      <c r="V781" s="3">
        <f>$D781*TCA!U781/100</f>
        <v>0</v>
      </c>
      <c r="W781" s="3">
        <f>$D781*TCA!V781/100</f>
        <v>0</v>
      </c>
      <c r="X781" s="3">
        <f>$D781*TCA!W781/100</f>
        <v>0</v>
      </c>
    </row>
    <row r="782" spans="1:24" x14ac:dyDescent="0.25">
      <c r="A782" s="3" t="s">
        <v>2033</v>
      </c>
      <c r="B782" s="3" t="s">
        <v>1540</v>
      </c>
      <c r="C782" s="3" t="s">
        <v>1541</v>
      </c>
      <c r="D782" s="3">
        <v>100</v>
      </c>
      <c r="E782" s="3">
        <f>$D782*TCA!E782/100</f>
        <v>260</v>
      </c>
      <c r="F782" s="3">
        <f>$D782*TCA!F782/100</f>
        <v>0</v>
      </c>
      <c r="G782" s="3">
        <f>$D782*TCA!G782/100</f>
        <v>0</v>
      </c>
      <c r="H782" s="3">
        <f>$D782*TCA!H782/100</f>
        <v>65</v>
      </c>
      <c r="I782" s="3">
        <f>$D782*TCA!I782/100</f>
        <v>0</v>
      </c>
      <c r="J782" s="3">
        <f>$D782*TCA!J782/100</f>
        <v>0</v>
      </c>
      <c r="K782" s="3">
        <f>$D782*TCA!K782/100</f>
        <v>0</v>
      </c>
      <c r="L782" s="3">
        <f>$D782*TCA!L782/100</f>
        <v>0</v>
      </c>
      <c r="M782" s="3">
        <f>$D782*TCA!M782/100</f>
        <v>0</v>
      </c>
      <c r="N782" s="3">
        <f>$D782*TCA!N782/100</f>
        <v>0</v>
      </c>
      <c r="O782" s="3">
        <f>$D782*TCA!O782/100</f>
        <v>0</v>
      </c>
      <c r="P782" s="3" t="e">
        <f t="shared" si="12"/>
        <v>#DIV/0!</v>
      </c>
      <c r="Q782" s="3">
        <f>$D782*TCA!P782/100</f>
        <v>0</v>
      </c>
      <c r="R782" s="3">
        <f>$D782*TCA!Q782/100</f>
        <v>0</v>
      </c>
      <c r="S782" s="3">
        <f>$D782*TCA!R782/100</f>
        <v>0</v>
      </c>
      <c r="T782" s="3">
        <f>$D782*TCA!S782/100</f>
        <v>0</v>
      </c>
      <c r="U782" s="3">
        <f>$D782*TCA!T782/100</f>
        <v>0</v>
      </c>
      <c r="V782" s="3">
        <f>$D782*TCA!U782/100</f>
        <v>0</v>
      </c>
      <c r="W782" s="3">
        <f>$D782*TCA!V782/100</f>
        <v>0</v>
      </c>
      <c r="X782" s="3">
        <f>$D782*TCA!W782/100</f>
        <v>0</v>
      </c>
    </row>
    <row r="783" spans="1:24" x14ac:dyDescent="0.25">
      <c r="A783" s="3" t="s">
        <v>2033</v>
      </c>
      <c r="B783" s="3" t="s">
        <v>1542</v>
      </c>
      <c r="C783" s="3" t="s">
        <v>1543</v>
      </c>
      <c r="D783" s="3">
        <v>100</v>
      </c>
      <c r="E783" s="3">
        <f>$D783*TCA!E783/100</f>
        <v>266.67</v>
      </c>
      <c r="F783" s="3">
        <f>$D783*TCA!F783/100</f>
        <v>0</v>
      </c>
      <c r="G783" s="3">
        <f>$D783*TCA!G783/100</f>
        <v>0</v>
      </c>
      <c r="H783" s="3">
        <f>$D783*TCA!H783/100</f>
        <v>66.67</v>
      </c>
      <c r="I783" s="3">
        <f>$D783*TCA!I783/100</f>
        <v>0</v>
      </c>
      <c r="J783" s="3">
        <f>$D783*TCA!J783/100</f>
        <v>0</v>
      </c>
      <c r="K783" s="3">
        <f>$D783*TCA!K783/100</f>
        <v>0</v>
      </c>
      <c r="L783" s="3">
        <f>$D783*TCA!L783/100</f>
        <v>0</v>
      </c>
      <c r="M783" s="3">
        <f>$D783*TCA!M783/100</f>
        <v>0</v>
      </c>
      <c r="N783" s="3">
        <f>$D783*TCA!N783/100</f>
        <v>0</v>
      </c>
      <c r="O783" s="3">
        <f>$D783*TCA!O783/100</f>
        <v>0</v>
      </c>
      <c r="P783" s="3" t="e">
        <f t="shared" si="12"/>
        <v>#DIV/0!</v>
      </c>
      <c r="Q783" s="3">
        <f>$D783*TCA!P783/100</f>
        <v>0</v>
      </c>
      <c r="R783" s="3">
        <f>$D783*TCA!Q783/100</f>
        <v>0</v>
      </c>
      <c r="S783" s="3">
        <f>$D783*TCA!R783/100</f>
        <v>0</v>
      </c>
      <c r="T783" s="3">
        <f>$D783*TCA!S783/100</f>
        <v>0</v>
      </c>
      <c r="U783" s="3">
        <f>$D783*TCA!T783/100</f>
        <v>0</v>
      </c>
      <c r="V783" s="3">
        <f>$D783*TCA!U783/100</f>
        <v>0</v>
      </c>
      <c r="W783" s="3">
        <f>$D783*TCA!V783/100</f>
        <v>0</v>
      </c>
      <c r="X783" s="3">
        <f>$D783*TCA!W783/100</f>
        <v>0</v>
      </c>
    </row>
    <row r="784" spans="1:24" x14ac:dyDescent="0.25">
      <c r="A784" s="3" t="s">
        <v>2033</v>
      </c>
      <c r="B784" s="3" t="s">
        <v>1544</v>
      </c>
      <c r="C784" s="3" t="s">
        <v>1545</v>
      </c>
      <c r="D784" s="3">
        <v>100</v>
      </c>
      <c r="E784" s="3">
        <f>$D784*TCA!E784/100</f>
        <v>176</v>
      </c>
      <c r="F784" s="3">
        <f>$D784*TCA!F784/100</f>
        <v>0</v>
      </c>
      <c r="G784" s="3">
        <f>$D784*TCA!G784/100</f>
        <v>0</v>
      </c>
      <c r="H784" s="3">
        <f>$D784*TCA!H784/100</f>
        <v>44</v>
      </c>
      <c r="I784" s="3">
        <f>$D784*TCA!I784/100</f>
        <v>4</v>
      </c>
      <c r="J784" s="3">
        <f>$D784*TCA!J784/100</f>
        <v>0</v>
      </c>
      <c r="K784" s="3">
        <f>$D784*TCA!K784/100</f>
        <v>0</v>
      </c>
      <c r="L784" s="3">
        <f>$D784*TCA!L784/100</f>
        <v>0</v>
      </c>
      <c r="M784" s="3">
        <f>$D784*TCA!M784/100</f>
        <v>0</v>
      </c>
      <c r="N784" s="3">
        <f>$D784*TCA!N784/100</f>
        <v>0</v>
      </c>
      <c r="O784" s="3">
        <f>$D784*TCA!O784/100</f>
        <v>0</v>
      </c>
      <c r="P784" s="3" t="e">
        <f t="shared" si="12"/>
        <v>#DIV/0!</v>
      </c>
      <c r="Q784" s="3">
        <f>$D784*TCA!P784/100</f>
        <v>0</v>
      </c>
      <c r="R784" s="3">
        <f>$D784*TCA!Q784/100</f>
        <v>0</v>
      </c>
      <c r="S784" s="3">
        <f>$D784*TCA!R784/100</f>
        <v>100</v>
      </c>
      <c r="T784" s="3">
        <f>$D784*TCA!S784/100</f>
        <v>0</v>
      </c>
      <c r="U784" s="3">
        <f>$D784*TCA!T784/100</f>
        <v>0</v>
      </c>
      <c r="V784" s="3">
        <f>$D784*TCA!U784/100</f>
        <v>0</v>
      </c>
      <c r="W784" s="3">
        <f>$D784*TCA!V784/100</f>
        <v>0</v>
      </c>
      <c r="X784" s="3">
        <f>$D784*TCA!W784/100</f>
        <v>0</v>
      </c>
    </row>
    <row r="785" spans="1:24" x14ac:dyDescent="0.25">
      <c r="A785" s="3" t="s">
        <v>2033</v>
      </c>
      <c r="B785" s="3" t="s">
        <v>1546</v>
      </c>
      <c r="C785" s="3" t="s">
        <v>1547</v>
      </c>
      <c r="D785" s="3">
        <v>100</v>
      </c>
      <c r="E785" s="3">
        <f>$D785*TCA!E785/100</f>
        <v>266.39999999999998</v>
      </c>
      <c r="F785" s="3">
        <f>$D785*TCA!F785/100</f>
        <v>0.3</v>
      </c>
      <c r="G785" s="3">
        <f>$D785*TCA!G785/100</f>
        <v>0</v>
      </c>
      <c r="H785" s="3">
        <f>$D785*TCA!H785/100</f>
        <v>66.3</v>
      </c>
      <c r="I785" s="3">
        <f>$D785*TCA!I785/100</f>
        <v>0.7</v>
      </c>
      <c r="J785" s="3">
        <f>$D785*TCA!J785/100</f>
        <v>0</v>
      </c>
      <c r="K785" s="3">
        <f>$D785*TCA!K785/100</f>
        <v>0</v>
      </c>
      <c r="L785" s="3">
        <f>$D785*TCA!L785/100</f>
        <v>0</v>
      </c>
      <c r="M785" s="3">
        <f>$D785*TCA!M785/100</f>
        <v>0</v>
      </c>
      <c r="N785" s="3">
        <f>$D785*TCA!N785/100</f>
        <v>38</v>
      </c>
      <c r="O785" s="3">
        <f>$D785*TCA!O785/100</f>
        <v>4</v>
      </c>
      <c r="P785" s="3">
        <f t="shared" si="12"/>
        <v>13.333333333333334</v>
      </c>
      <c r="Q785" s="3">
        <f>$D785*TCA!P785/100</f>
        <v>0.15</v>
      </c>
      <c r="R785" s="3">
        <f>$D785*TCA!Q785/100</f>
        <v>37</v>
      </c>
      <c r="S785" s="3">
        <f>$D785*TCA!R785/100</f>
        <v>56</v>
      </c>
      <c r="T785" s="3">
        <f>$D785*TCA!S785/100</f>
        <v>0.04</v>
      </c>
      <c r="U785" s="3">
        <f>$D785*TCA!T785/100</f>
        <v>5</v>
      </c>
      <c r="V785" s="3">
        <f>$D785*TCA!U785/100</f>
        <v>3</v>
      </c>
      <c r="W785" s="3">
        <f>$D785*TCA!V785/100</f>
        <v>9</v>
      </c>
      <c r="X785" s="3">
        <f>$D785*TCA!W785/100</f>
        <v>0</v>
      </c>
    </row>
    <row r="786" spans="1:24" x14ac:dyDescent="0.25">
      <c r="A786" s="3" t="s">
        <v>2033</v>
      </c>
      <c r="B786" s="3" t="s">
        <v>1548</v>
      </c>
      <c r="C786" s="3" t="s">
        <v>1549</v>
      </c>
      <c r="D786" s="3">
        <v>100</v>
      </c>
      <c r="E786" s="3">
        <f>$D786*TCA!E786/100</f>
        <v>400</v>
      </c>
      <c r="F786" s="3">
        <f>$D786*TCA!F786/100</f>
        <v>0</v>
      </c>
      <c r="G786" s="3">
        <f>$D786*TCA!G786/100</f>
        <v>0</v>
      </c>
      <c r="H786" s="3">
        <f>$D786*TCA!H786/100</f>
        <v>100</v>
      </c>
      <c r="I786" s="3">
        <f>$D786*TCA!I786/100</f>
        <v>0</v>
      </c>
      <c r="J786" s="3">
        <f>$D786*TCA!J786/100</f>
        <v>0</v>
      </c>
      <c r="K786" s="3">
        <f>$D786*TCA!K786/100</f>
        <v>0</v>
      </c>
      <c r="L786" s="3">
        <f>$D786*TCA!L786/100</f>
        <v>0</v>
      </c>
      <c r="M786" s="3">
        <f>$D786*TCA!M786/100</f>
        <v>0</v>
      </c>
      <c r="N786" s="3">
        <f>$D786*TCA!N786/100</f>
        <v>0</v>
      </c>
      <c r="O786" s="3">
        <f>$D786*TCA!O786/100</f>
        <v>0</v>
      </c>
      <c r="P786" s="3" t="e">
        <f t="shared" si="12"/>
        <v>#DIV/0!</v>
      </c>
      <c r="Q786" s="3">
        <f>$D786*TCA!P786/100</f>
        <v>0</v>
      </c>
      <c r="R786" s="3">
        <f>$D786*TCA!Q786/100</f>
        <v>0</v>
      </c>
      <c r="S786" s="3">
        <f>$D786*TCA!R786/100</f>
        <v>0</v>
      </c>
      <c r="T786" s="3">
        <f>$D786*TCA!S786/100</f>
        <v>0</v>
      </c>
      <c r="U786" s="3">
        <f>$D786*TCA!T786/100</f>
        <v>0</v>
      </c>
      <c r="V786" s="3">
        <f>$D786*TCA!U786/100</f>
        <v>0</v>
      </c>
      <c r="W786" s="3">
        <f>$D786*TCA!V786/100</f>
        <v>0</v>
      </c>
      <c r="X786" s="3">
        <f>$D786*TCA!W786/100</f>
        <v>0</v>
      </c>
    </row>
    <row r="787" spans="1:24" x14ac:dyDescent="0.25">
      <c r="A787" s="3" t="s">
        <v>2033</v>
      </c>
      <c r="B787" s="3" t="s">
        <v>1550</v>
      </c>
      <c r="C787" s="3" t="s">
        <v>1551</v>
      </c>
      <c r="D787" s="3">
        <v>100</v>
      </c>
      <c r="E787" s="3">
        <f>$D787*TCA!E787/100</f>
        <v>330.8</v>
      </c>
      <c r="F787" s="3">
        <f>$D787*TCA!F787/100</f>
        <v>0.3</v>
      </c>
      <c r="G787" s="3">
        <f>$D787*TCA!G787/100</f>
        <v>0</v>
      </c>
      <c r="H787" s="3">
        <f>$D787*TCA!H787/100</f>
        <v>82.4</v>
      </c>
      <c r="I787" s="3">
        <f>$D787*TCA!I787/100</f>
        <v>0.2</v>
      </c>
      <c r="J787" s="3">
        <f>$D787*TCA!J787/100</f>
        <v>0</v>
      </c>
      <c r="K787" s="3">
        <f>$D787*TCA!K787/100</f>
        <v>0</v>
      </c>
      <c r="L787" s="3">
        <f>$D787*TCA!L787/100</f>
        <v>0</v>
      </c>
      <c r="M787" s="3">
        <f>$D787*TCA!M787/100</f>
        <v>0</v>
      </c>
      <c r="N787" s="3">
        <f>$D787*TCA!N787/100</f>
        <v>6</v>
      </c>
      <c r="O787" s="3">
        <f>$D787*TCA!O787/100</f>
        <v>4</v>
      </c>
      <c r="P787" s="3">
        <f t="shared" si="12"/>
        <v>13.333333333333334</v>
      </c>
      <c r="Q787" s="3">
        <f>$D787*TCA!P787/100</f>
        <v>0.42</v>
      </c>
      <c r="R787" s="3">
        <f>$D787*TCA!Q787/100</f>
        <v>52</v>
      </c>
      <c r="S787" s="3">
        <f>$D787*TCA!R787/100</f>
        <v>4</v>
      </c>
      <c r="T787" s="3">
        <f>$D787*TCA!S787/100</f>
        <v>0.22</v>
      </c>
      <c r="U787" s="3">
        <f>$D787*TCA!T787/100</f>
        <v>1</v>
      </c>
      <c r="V787" s="3">
        <f>$D787*TCA!U787/100</f>
        <v>0</v>
      </c>
      <c r="W787" s="3">
        <f>$D787*TCA!V787/100</f>
        <v>2</v>
      </c>
      <c r="X787" s="3">
        <f>$D787*TCA!W787/100</f>
        <v>0</v>
      </c>
    </row>
    <row r="788" spans="1:24" x14ac:dyDescent="0.25">
      <c r="A788" s="3" t="s">
        <v>2033</v>
      </c>
      <c r="B788" s="3" t="s">
        <v>1552</v>
      </c>
      <c r="C788" s="3" t="s">
        <v>1553</v>
      </c>
      <c r="D788" s="3">
        <v>100</v>
      </c>
      <c r="E788" s="3">
        <f>$D788*TCA!E788/100</f>
        <v>346.67</v>
      </c>
      <c r="F788" s="3">
        <f>$D788*TCA!F788/100</f>
        <v>0</v>
      </c>
      <c r="G788" s="3">
        <f>$D788*TCA!G788/100</f>
        <v>0</v>
      </c>
      <c r="H788" s="3">
        <f>$D788*TCA!H788/100</f>
        <v>86.67</v>
      </c>
      <c r="I788" s="3">
        <f>$D788*TCA!I788/100</f>
        <v>0</v>
      </c>
      <c r="J788" s="3">
        <f>$D788*TCA!J788/100</f>
        <v>0</v>
      </c>
      <c r="K788" s="3">
        <f>$D788*TCA!K788/100</f>
        <v>0</v>
      </c>
      <c r="L788" s="3">
        <f>$D788*TCA!L788/100</f>
        <v>0</v>
      </c>
      <c r="M788" s="3">
        <f>$D788*TCA!M788/100</f>
        <v>0</v>
      </c>
      <c r="N788" s="3">
        <f>$D788*TCA!N788/100</f>
        <v>0</v>
      </c>
      <c r="O788" s="3">
        <f>$D788*TCA!O788/100</f>
        <v>0</v>
      </c>
      <c r="P788" s="3" t="e">
        <f t="shared" si="12"/>
        <v>#DIV/0!</v>
      </c>
      <c r="Q788" s="3">
        <f>$D788*TCA!P788/100</f>
        <v>0</v>
      </c>
      <c r="R788" s="3">
        <f>$D788*TCA!Q788/100</f>
        <v>0</v>
      </c>
      <c r="S788" s="3">
        <f>$D788*TCA!R788/100</f>
        <v>0</v>
      </c>
      <c r="T788" s="3">
        <f>$D788*TCA!S788/100</f>
        <v>0</v>
      </c>
      <c r="U788" s="3">
        <f>$D788*TCA!T788/100</f>
        <v>0</v>
      </c>
      <c r="V788" s="3">
        <f>$D788*TCA!U788/100</f>
        <v>0</v>
      </c>
      <c r="W788" s="3">
        <f>$D788*TCA!V788/100</f>
        <v>0</v>
      </c>
      <c r="X788" s="3">
        <f>$D788*TCA!W788/100</f>
        <v>0</v>
      </c>
    </row>
    <row r="789" spans="1:24" x14ac:dyDescent="0.25">
      <c r="A789" s="3" t="s">
        <v>2033</v>
      </c>
      <c r="B789" s="3" t="s">
        <v>1554</v>
      </c>
      <c r="C789" s="3" t="s">
        <v>1555</v>
      </c>
      <c r="D789" s="3">
        <v>100</v>
      </c>
      <c r="E789" s="3">
        <f>$D789*TCA!E789/100</f>
        <v>280</v>
      </c>
      <c r="F789" s="3">
        <f>$D789*TCA!F789/100</f>
        <v>0</v>
      </c>
      <c r="G789" s="3">
        <f>$D789*TCA!G789/100</f>
        <v>0</v>
      </c>
      <c r="H789" s="3">
        <f>$D789*TCA!H789/100</f>
        <v>70</v>
      </c>
      <c r="I789" s="3">
        <f>$D789*TCA!I789/100</f>
        <v>0</v>
      </c>
      <c r="J789" s="3">
        <f>$D789*TCA!J789/100</f>
        <v>0</v>
      </c>
      <c r="K789" s="3">
        <f>$D789*TCA!K789/100</f>
        <v>0</v>
      </c>
      <c r="L789" s="3">
        <f>$D789*TCA!L789/100</f>
        <v>0</v>
      </c>
      <c r="M789" s="3">
        <f>$D789*TCA!M789/100</f>
        <v>0</v>
      </c>
      <c r="N789" s="3">
        <f>$D789*TCA!N789/100</f>
        <v>0</v>
      </c>
      <c r="O789" s="3">
        <f>$D789*TCA!O789/100</f>
        <v>0</v>
      </c>
      <c r="P789" s="3" t="e">
        <f t="shared" si="12"/>
        <v>#DIV/0!</v>
      </c>
      <c r="Q789" s="3">
        <f>$D789*TCA!P789/100</f>
        <v>0</v>
      </c>
      <c r="R789" s="3">
        <f>$D789*TCA!Q789/100</f>
        <v>0</v>
      </c>
      <c r="S789" s="3">
        <f>$D789*TCA!R789/100</f>
        <v>0</v>
      </c>
      <c r="T789" s="3">
        <f>$D789*TCA!S789/100</f>
        <v>0</v>
      </c>
      <c r="U789" s="3">
        <f>$D789*TCA!T789/100</f>
        <v>0</v>
      </c>
      <c r="V789" s="3">
        <f>$D789*TCA!U789/100</f>
        <v>0</v>
      </c>
      <c r="W789" s="3">
        <f>$D789*TCA!V789/100</f>
        <v>0</v>
      </c>
      <c r="X789" s="3">
        <f>$D789*TCA!W789/100</f>
        <v>0</v>
      </c>
    </row>
    <row r="790" spans="1:24" x14ac:dyDescent="0.25">
      <c r="A790" s="3" t="s">
        <v>2033</v>
      </c>
      <c r="B790" s="3" t="s">
        <v>1556</v>
      </c>
      <c r="C790" s="3" t="s">
        <v>1557</v>
      </c>
      <c r="D790" s="3">
        <v>100</v>
      </c>
      <c r="E790" s="3">
        <f>$D790*TCA!E790/100</f>
        <v>279.3</v>
      </c>
      <c r="F790" s="3">
        <f>$D790*TCA!F790/100</f>
        <v>0</v>
      </c>
      <c r="G790" s="3">
        <f>$D790*TCA!G790/100</f>
        <v>0.1</v>
      </c>
      <c r="H790" s="3">
        <f>$D790*TCA!H790/100</f>
        <v>69.599999999999994</v>
      </c>
      <c r="I790" s="3">
        <f>$D790*TCA!I790/100</f>
        <v>0</v>
      </c>
      <c r="J790" s="3">
        <f>$D790*TCA!J790/100</f>
        <v>0.02</v>
      </c>
      <c r="K790" s="3">
        <f>$D790*TCA!K790/100</f>
        <v>0.03</v>
      </c>
      <c r="L790" s="3">
        <f>$D790*TCA!L790/100</f>
        <v>0.05</v>
      </c>
      <c r="M790" s="3">
        <f>$D790*TCA!M790/100</f>
        <v>0</v>
      </c>
      <c r="N790" s="3">
        <f>$D790*TCA!N790/100</f>
        <v>5</v>
      </c>
      <c r="O790" s="3">
        <f>$D790*TCA!O790/100</f>
        <v>10</v>
      </c>
      <c r="P790" s="3" t="e">
        <f t="shared" si="12"/>
        <v>#DIV/0!</v>
      </c>
      <c r="Q790" s="3">
        <f>$D790*TCA!P790/100</f>
        <v>7.0000000000000007E-2</v>
      </c>
      <c r="R790" s="3">
        <f>$D790*TCA!Q790/100</f>
        <v>6</v>
      </c>
      <c r="S790" s="3">
        <f>$D790*TCA!R790/100</f>
        <v>61</v>
      </c>
      <c r="T790" s="3">
        <f>$D790*TCA!S790/100</f>
        <v>0.23</v>
      </c>
      <c r="U790" s="3">
        <f>$D790*TCA!T790/100</f>
        <v>0</v>
      </c>
      <c r="V790" s="3">
        <f>$D790*TCA!U790/100</f>
        <v>0</v>
      </c>
      <c r="W790" s="3">
        <f>$D790*TCA!V790/100</f>
        <v>0</v>
      </c>
      <c r="X790" s="3">
        <f>$D790*TCA!W790/100</f>
        <v>0</v>
      </c>
    </row>
    <row r="791" spans="1:24" x14ac:dyDescent="0.25">
      <c r="A791" s="3" t="s">
        <v>2033</v>
      </c>
      <c r="B791" s="3" t="s">
        <v>1558</v>
      </c>
      <c r="C791" s="3" t="s">
        <v>1559</v>
      </c>
      <c r="D791" s="3">
        <v>100</v>
      </c>
      <c r="E791" s="3">
        <f>$D791*TCA!E791/100</f>
        <v>280</v>
      </c>
      <c r="F791" s="3">
        <f>$D791*TCA!F791/100</f>
        <v>0</v>
      </c>
      <c r="G791" s="3">
        <f>$D791*TCA!G791/100</f>
        <v>0</v>
      </c>
      <c r="H791" s="3">
        <f>$D791*TCA!H791/100</f>
        <v>70</v>
      </c>
      <c r="I791" s="3">
        <f>$D791*TCA!I791/100</f>
        <v>0</v>
      </c>
      <c r="J791" s="3">
        <f>$D791*TCA!J791/100</f>
        <v>0</v>
      </c>
      <c r="K791" s="3">
        <f>$D791*TCA!K791/100</f>
        <v>0</v>
      </c>
      <c r="L791" s="3">
        <f>$D791*TCA!L791/100</f>
        <v>0</v>
      </c>
      <c r="M791" s="3">
        <f>$D791*TCA!M791/100</f>
        <v>0</v>
      </c>
      <c r="N791" s="3">
        <f>$D791*TCA!N791/100</f>
        <v>0</v>
      </c>
      <c r="O791" s="3">
        <f>$D791*TCA!O791/100</f>
        <v>0</v>
      </c>
      <c r="P791" s="3" t="e">
        <f t="shared" si="12"/>
        <v>#DIV/0!</v>
      </c>
      <c r="Q791" s="3">
        <f>$D791*TCA!P791/100</f>
        <v>0</v>
      </c>
      <c r="R791" s="3">
        <f>$D791*TCA!Q791/100</f>
        <v>0</v>
      </c>
      <c r="S791" s="3">
        <f>$D791*TCA!R791/100</f>
        <v>16.670000000000002</v>
      </c>
      <c r="T791" s="3">
        <f>$D791*TCA!S791/100</f>
        <v>0</v>
      </c>
      <c r="U791" s="3">
        <f>$D791*TCA!T791/100</f>
        <v>0</v>
      </c>
      <c r="V791" s="3">
        <f>$D791*TCA!U791/100</f>
        <v>0</v>
      </c>
      <c r="W791" s="3">
        <f>$D791*TCA!V791/100</f>
        <v>0</v>
      </c>
      <c r="X791" s="3">
        <f>$D791*TCA!W791/100</f>
        <v>0</v>
      </c>
    </row>
    <row r="792" spans="1:24" x14ac:dyDescent="0.25">
      <c r="A792" s="3" t="s">
        <v>2033</v>
      </c>
      <c r="B792" s="3" t="s">
        <v>1560</v>
      </c>
      <c r="C792" s="3" t="s">
        <v>1561</v>
      </c>
      <c r="D792" s="3">
        <v>100</v>
      </c>
      <c r="E792" s="3">
        <f>$D792*TCA!E792/100</f>
        <v>368.5</v>
      </c>
      <c r="F792" s="3">
        <f>$D792*TCA!F792/100</f>
        <v>0.4</v>
      </c>
      <c r="G792" s="3">
        <f>$D792*TCA!G792/100</f>
        <v>0.5</v>
      </c>
      <c r="H792" s="3">
        <f>$D792*TCA!H792/100</f>
        <v>90.6</v>
      </c>
      <c r="I792" s="3">
        <f>$D792*TCA!I792/100</f>
        <v>0</v>
      </c>
      <c r="J792" s="3">
        <f>$D792*TCA!J792/100</f>
        <v>0</v>
      </c>
      <c r="K792" s="3">
        <f>$D792*TCA!K792/100</f>
        <v>0</v>
      </c>
      <c r="L792" s="3">
        <f>$D792*TCA!L792/100</f>
        <v>0</v>
      </c>
      <c r="M792" s="3">
        <f>$D792*TCA!M792/100</f>
        <v>0</v>
      </c>
      <c r="N792" s="3">
        <f>$D792*TCA!N792/100</f>
        <v>51</v>
      </c>
      <c r="O792" s="3">
        <f>$D792*TCA!O792/100</f>
        <v>44</v>
      </c>
      <c r="P792" s="3">
        <f t="shared" si="12"/>
        <v>110</v>
      </c>
      <c r="Q792" s="3">
        <f>$D792*TCA!P792/100</f>
        <v>4.2</v>
      </c>
      <c r="R792" s="3">
        <f>$D792*TCA!Q792/100</f>
        <v>346</v>
      </c>
      <c r="S792" s="3">
        <f>$D792*TCA!R792/100</f>
        <v>39</v>
      </c>
      <c r="T792" s="3">
        <f>$D792*TCA!S792/100</f>
        <v>0.18</v>
      </c>
      <c r="U792" s="3">
        <f>$D792*TCA!T792/100</f>
        <v>2</v>
      </c>
      <c r="V792" s="3">
        <f>$D792*TCA!U792/100</f>
        <v>0</v>
      </c>
      <c r="W792" s="3">
        <f>$D792*TCA!V792/100</f>
        <v>1</v>
      </c>
      <c r="X792" s="3">
        <f>$D792*TCA!W792/100</f>
        <v>0</v>
      </c>
    </row>
    <row r="793" spans="1:24" x14ac:dyDescent="0.25">
      <c r="A793" s="3" t="s">
        <v>2033</v>
      </c>
      <c r="B793" s="3" t="s">
        <v>1562</v>
      </c>
      <c r="C793" s="3" t="s">
        <v>1563</v>
      </c>
      <c r="D793" s="3">
        <v>100</v>
      </c>
      <c r="E793" s="3">
        <f>$D793*TCA!E793/100</f>
        <v>400</v>
      </c>
      <c r="F793" s="3">
        <f>$D793*TCA!F793/100</f>
        <v>0</v>
      </c>
      <c r="G793" s="3">
        <f>$D793*TCA!G793/100</f>
        <v>0</v>
      </c>
      <c r="H793" s="3">
        <f>$D793*TCA!H793/100</f>
        <v>100</v>
      </c>
      <c r="I793" s="3">
        <f>$D793*TCA!I793/100</f>
        <v>0</v>
      </c>
      <c r="J793" s="3">
        <f>$D793*TCA!J793/100</f>
        <v>0</v>
      </c>
      <c r="K793" s="3">
        <f>$D793*TCA!K793/100</f>
        <v>0</v>
      </c>
      <c r="L793" s="3">
        <f>$D793*TCA!L793/100</f>
        <v>0</v>
      </c>
      <c r="M793" s="3">
        <f>$D793*TCA!M793/100</f>
        <v>0</v>
      </c>
      <c r="N793" s="3">
        <f>$D793*TCA!N793/100</f>
        <v>0</v>
      </c>
      <c r="O793" s="3">
        <f>$D793*TCA!O793/100</f>
        <v>0</v>
      </c>
      <c r="P793" s="3" t="e">
        <f t="shared" si="12"/>
        <v>#DIV/0!</v>
      </c>
      <c r="Q793" s="3">
        <f>$D793*TCA!P793/100</f>
        <v>0</v>
      </c>
      <c r="R793" s="3">
        <f>$D793*TCA!Q793/100</f>
        <v>0</v>
      </c>
      <c r="S793" s="3">
        <f>$D793*TCA!R793/100</f>
        <v>0</v>
      </c>
      <c r="T793" s="3">
        <f>$D793*TCA!S793/100</f>
        <v>0</v>
      </c>
      <c r="U793" s="3">
        <f>$D793*TCA!T793/100</f>
        <v>0</v>
      </c>
      <c r="V793" s="3">
        <f>$D793*TCA!U793/100</f>
        <v>0</v>
      </c>
      <c r="W793" s="3">
        <f>$D793*TCA!V793/100</f>
        <v>0</v>
      </c>
      <c r="X793" s="3">
        <f>$D793*TCA!W793/100</f>
        <v>0</v>
      </c>
    </row>
    <row r="794" spans="1:24" x14ac:dyDescent="0.25">
      <c r="A794" s="3" t="s">
        <v>2033</v>
      </c>
      <c r="B794" s="3" t="s">
        <v>1564</v>
      </c>
      <c r="C794" s="3" t="s">
        <v>1565</v>
      </c>
      <c r="D794" s="3">
        <v>100</v>
      </c>
      <c r="E794" s="3">
        <f>$D794*TCA!E794/100</f>
        <v>400</v>
      </c>
      <c r="F794" s="3">
        <f>$D794*TCA!F794/100</f>
        <v>0</v>
      </c>
      <c r="G794" s="3">
        <f>$D794*TCA!G794/100</f>
        <v>0</v>
      </c>
      <c r="H794" s="3">
        <f>$D794*TCA!H794/100</f>
        <v>100</v>
      </c>
      <c r="I794" s="3">
        <f>$D794*TCA!I794/100</f>
        <v>0</v>
      </c>
      <c r="J794" s="3">
        <f>$D794*TCA!J794/100</f>
        <v>0</v>
      </c>
      <c r="K794" s="3">
        <f>$D794*TCA!K794/100</f>
        <v>0</v>
      </c>
      <c r="L794" s="3">
        <f>$D794*TCA!L794/100</f>
        <v>0</v>
      </c>
      <c r="M794" s="3">
        <f>$D794*TCA!M794/100</f>
        <v>0</v>
      </c>
      <c r="N794" s="3">
        <f>$D794*TCA!N794/100</f>
        <v>0</v>
      </c>
      <c r="O794" s="3">
        <f>$D794*TCA!O794/100</f>
        <v>0</v>
      </c>
      <c r="P794" s="3" t="e">
        <f t="shared" si="12"/>
        <v>#DIV/0!</v>
      </c>
      <c r="Q794" s="3">
        <f>$D794*TCA!P794/100</f>
        <v>0</v>
      </c>
      <c r="R794" s="3">
        <f>$D794*TCA!Q794/100</f>
        <v>0</v>
      </c>
      <c r="S794" s="3">
        <f>$D794*TCA!R794/100</f>
        <v>0</v>
      </c>
      <c r="T794" s="3">
        <f>$D794*TCA!S794/100</f>
        <v>0</v>
      </c>
      <c r="U794" s="3">
        <f>$D794*TCA!T794/100</f>
        <v>0</v>
      </c>
      <c r="V794" s="3">
        <f>$D794*TCA!U794/100</f>
        <v>0</v>
      </c>
      <c r="W794" s="3">
        <f>$D794*TCA!V794/100</f>
        <v>0</v>
      </c>
      <c r="X794" s="3">
        <f>$D794*TCA!W794/100</f>
        <v>0</v>
      </c>
    </row>
    <row r="795" spans="1:24" x14ac:dyDescent="0.25">
      <c r="A795" s="3" t="s">
        <v>2033</v>
      </c>
      <c r="B795" s="3" t="s">
        <v>1566</v>
      </c>
      <c r="C795" s="3" t="s">
        <v>1567</v>
      </c>
      <c r="D795" s="3">
        <v>100</v>
      </c>
      <c r="E795" s="3">
        <f>$D795*TCA!E795/100</f>
        <v>375.58</v>
      </c>
      <c r="F795" s="3">
        <f>$D795*TCA!F795/100</f>
        <v>4.6500000000000004</v>
      </c>
      <c r="G795" s="3">
        <f>$D795*TCA!G795/100</f>
        <v>3.49</v>
      </c>
      <c r="H795" s="3">
        <f>$D795*TCA!H795/100</f>
        <v>81.400000000000006</v>
      </c>
      <c r="I795" s="3">
        <f>$D795*TCA!I795/100</f>
        <v>0</v>
      </c>
      <c r="J795" s="3">
        <f>$D795*TCA!J795/100</f>
        <v>2.33</v>
      </c>
      <c r="K795" s="3">
        <f>$D795*TCA!K795/100</f>
        <v>0</v>
      </c>
      <c r="L795" s="3">
        <f>$D795*TCA!L795/100</f>
        <v>0</v>
      </c>
      <c r="M795" s="3">
        <f>$D795*TCA!M795/100</f>
        <v>0</v>
      </c>
      <c r="N795" s="3">
        <f>$D795*TCA!N795/100</f>
        <v>232.56</v>
      </c>
      <c r="O795" s="3">
        <f>$D795*TCA!O795/100</f>
        <v>0</v>
      </c>
      <c r="P795" s="3">
        <f t="shared" si="12"/>
        <v>0</v>
      </c>
      <c r="Q795" s="3">
        <f>$D795*TCA!P795/100</f>
        <v>2.09</v>
      </c>
      <c r="R795" s="3">
        <f>$D795*TCA!Q795/100</f>
        <v>0</v>
      </c>
      <c r="S795" s="3">
        <f>$D795*TCA!R795/100</f>
        <v>720.93</v>
      </c>
      <c r="T795" s="3">
        <f>$D795*TCA!S795/100</f>
        <v>0</v>
      </c>
      <c r="U795" s="3">
        <f>$D795*TCA!T795/100</f>
        <v>0</v>
      </c>
      <c r="V795" s="3">
        <f>$D795*TCA!U795/100</f>
        <v>0</v>
      </c>
      <c r="W795" s="3">
        <f>$D795*TCA!V795/100</f>
        <v>0</v>
      </c>
      <c r="X795" s="3">
        <f>$D795*TCA!W795/100</f>
        <v>0</v>
      </c>
    </row>
    <row r="796" spans="1:24" x14ac:dyDescent="0.25">
      <c r="A796" s="3" t="s">
        <v>2033</v>
      </c>
      <c r="B796" s="3" t="s">
        <v>1568</v>
      </c>
      <c r="C796" s="3" t="s">
        <v>1569</v>
      </c>
      <c r="D796" s="3">
        <v>100</v>
      </c>
      <c r="E796" s="3">
        <f>$D796*TCA!E796/100</f>
        <v>455</v>
      </c>
      <c r="F796" s="3">
        <f>$D796*TCA!F796/100</f>
        <v>0</v>
      </c>
      <c r="G796" s="3">
        <f>$D796*TCA!G796/100</f>
        <v>15</v>
      </c>
      <c r="H796" s="3">
        <f>$D796*TCA!H796/100</f>
        <v>80</v>
      </c>
      <c r="I796" s="3">
        <f>$D796*TCA!I796/100</f>
        <v>0</v>
      </c>
      <c r="J796" s="3">
        <f>$D796*TCA!J796/100</f>
        <v>15</v>
      </c>
      <c r="K796" s="3">
        <f>$D796*TCA!K796/100</f>
        <v>0</v>
      </c>
      <c r="L796" s="3">
        <f>$D796*TCA!L796/100</f>
        <v>0</v>
      </c>
      <c r="M796" s="3">
        <f>$D796*TCA!M796/100</f>
        <v>0</v>
      </c>
      <c r="N796" s="3">
        <f>$D796*TCA!N796/100</f>
        <v>0</v>
      </c>
      <c r="O796" s="3">
        <f>$D796*TCA!O796/100</f>
        <v>0</v>
      </c>
      <c r="P796" s="3" t="e">
        <f t="shared" si="12"/>
        <v>#DIV/0!</v>
      </c>
      <c r="Q796" s="3">
        <f>$D796*TCA!P796/100</f>
        <v>0</v>
      </c>
      <c r="R796" s="3">
        <f>$D796*TCA!Q796/100</f>
        <v>0</v>
      </c>
      <c r="S796" s="3">
        <f>$D796*TCA!R796/100</f>
        <v>150</v>
      </c>
      <c r="T796" s="3">
        <f>$D796*TCA!S796/100</f>
        <v>0</v>
      </c>
      <c r="U796" s="3">
        <f>$D796*TCA!T796/100</f>
        <v>0</v>
      </c>
      <c r="V796" s="3">
        <f>$D796*TCA!U796/100</f>
        <v>0</v>
      </c>
      <c r="W796" s="3">
        <f>$D796*TCA!V796/100</f>
        <v>0</v>
      </c>
      <c r="X796" s="3">
        <f>$D796*TCA!W796/100</f>
        <v>0</v>
      </c>
    </row>
    <row r="797" spans="1:24" x14ac:dyDescent="0.25">
      <c r="A797" s="3" t="s">
        <v>2033</v>
      </c>
      <c r="B797" s="3" t="s">
        <v>1570</v>
      </c>
      <c r="C797" s="3" t="s">
        <v>1571</v>
      </c>
      <c r="D797" s="3">
        <v>100</v>
      </c>
      <c r="E797" s="3">
        <f>$D797*TCA!E797/100</f>
        <v>469</v>
      </c>
      <c r="F797" s="3">
        <f>$D797*TCA!F797/100</f>
        <v>3</v>
      </c>
      <c r="G797" s="3">
        <f>$D797*TCA!G797/100</f>
        <v>17</v>
      </c>
      <c r="H797" s="3">
        <f>$D797*TCA!H797/100</f>
        <v>76</v>
      </c>
      <c r="I797" s="3">
        <f>$D797*TCA!I797/100</f>
        <v>0</v>
      </c>
      <c r="J797" s="3">
        <f>$D797*TCA!J797/100</f>
        <v>16</v>
      </c>
      <c r="K797" s="3">
        <f>$D797*TCA!K797/100</f>
        <v>1.5</v>
      </c>
      <c r="L797" s="3">
        <f>$D797*TCA!L797/100</f>
        <v>0</v>
      </c>
      <c r="M797" s="3">
        <f>$D797*TCA!M797/100</f>
        <v>15</v>
      </c>
      <c r="N797" s="3">
        <f>$D797*TCA!N797/100</f>
        <v>0</v>
      </c>
      <c r="O797" s="3">
        <f>$D797*TCA!O797/100</f>
        <v>0</v>
      </c>
      <c r="P797" s="3">
        <f t="shared" si="12"/>
        <v>0</v>
      </c>
      <c r="Q797" s="3">
        <f>$D797*TCA!P797/100</f>
        <v>0</v>
      </c>
      <c r="R797" s="3">
        <f>$D797*TCA!Q797/100</f>
        <v>0</v>
      </c>
      <c r="S797" s="3">
        <f>$D797*TCA!R797/100</f>
        <v>330</v>
      </c>
      <c r="T797" s="3">
        <f>$D797*TCA!S797/100</f>
        <v>0</v>
      </c>
      <c r="U797" s="3">
        <f>$D797*TCA!T797/100</f>
        <v>0</v>
      </c>
      <c r="V797" s="3">
        <f>$D797*TCA!U797/100</f>
        <v>0</v>
      </c>
      <c r="W797" s="3">
        <f>$D797*TCA!V797/100</f>
        <v>0</v>
      </c>
      <c r="X797" s="3">
        <f>$D797*TCA!W797/100</f>
        <v>0</v>
      </c>
    </row>
    <row r="798" spans="1:24" x14ac:dyDescent="0.25">
      <c r="A798" s="3" t="s">
        <v>2033</v>
      </c>
      <c r="B798" s="3" t="s">
        <v>1572</v>
      </c>
      <c r="C798" s="3" t="s">
        <v>1573</v>
      </c>
      <c r="D798" s="3">
        <v>100</v>
      </c>
      <c r="E798" s="3">
        <f>$D798*TCA!E798/100</f>
        <v>428.1</v>
      </c>
      <c r="F798" s="3">
        <f>$D798*TCA!F798/100</f>
        <v>4.5</v>
      </c>
      <c r="G798" s="3">
        <f>$D798*TCA!G798/100</f>
        <v>10.9</v>
      </c>
      <c r="H798" s="3">
        <f>$D798*TCA!H798/100</f>
        <v>78</v>
      </c>
      <c r="I798" s="3">
        <f>$D798*TCA!I798/100</f>
        <v>0.9</v>
      </c>
      <c r="J798" s="3">
        <f>$D798*TCA!J798/100</f>
        <v>1.64</v>
      </c>
      <c r="K798" s="3">
        <f>$D798*TCA!K798/100</f>
        <v>4.59</v>
      </c>
      <c r="L798" s="3">
        <f>$D798*TCA!L798/100</f>
        <v>4.0999999999999996</v>
      </c>
      <c r="M798" s="3">
        <f>$D798*TCA!M798/100</f>
        <v>0</v>
      </c>
      <c r="N798" s="3">
        <f>$D798*TCA!N798/100</f>
        <v>192</v>
      </c>
      <c r="O798" s="3">
        <f>$D798*TCA!O798/100</f>
        <v>337</v>
      </c>
      <c r="P798" s="3">
        <f t="shared" si="12"/>
        <v>74.888888888888886</v>
      </c>
      <c r="Q798" s="3">
        <f>$D798*TCA!P798/100</f>
        <v>1.39</v>
      </c>
      <c r="R798" s="3">
        <f>$D798*TCA!Q798/100</f>
        <v>117</v>
      </c>
      <c r="S798" s="3">
        <f>$D798*TCA!R798/100</f>
        <v>664</v>
      </c>
      <c r="T798" s="3">
        <f>$D798*TCA!S798/100</f>
        <v>0.46</v>
      </c>
      <c r="U798" s="3">
        <f>$D798*TCA!T798/100</f>
        <v>0</v>
      </c>
      <c r="V798" s="3">
        <f>$D798*TCA!U798/100</f>
        <v>0</v>
      </c>
      <c r="W798" s="3">
        <f>$D798*TCA!V798/100</f>
        <v>147</v>
      </c>
      <c r="X798" s="3">
        <f>$D798*TCA!W798/100</f>
        <v>0.18</v>
      </c>
    </row>
    <row r="799" spans="1:24" x14ac:dyDescent="0.25">
      <c r="A799" s="3" t="s">
        <v>2033</v>
      </c>
      <c r="B799" s="3" t="s">
        <v>1574</v>
      </c>
      <c r="C799" s="3" t="s">
        <v>1575</v>
      </c>
      <c r="D799" s="3">
        <v>100</v>
      </c>
      <c r="E799" s="3">
        <f>$D799*TCA!E799/100</f>
        <v>384.44</v>
      </c>
      <c r="F799" s="3">
        <f>$D799*TCA!F799/100</f>
        <v>6.67</v>
      </c>
      <c r="G799" s="3">
        <f>$D799*TCA!G799/100</f>
        <v>2.2200000000000002</v>
      </c>
      <c r="H799" s="3">
        <f>$D799*TCA!H799/100</f>
        <v>84.44</v>
      </c>
      <c r="I799" s="3">
        <f>$D799*TCA!I799/100</f>
        <v>0</v>
      </c>
      <c r="J799" s="3">
        <f>$D799*TCA!J799/100</f>
        <v>2.2200000000000002</v>
      </c>
      <c r="K799" s="3">
        <f>$D799*TCA!K799/100</f>
        <v>0</v>
      </c>
      <c r="L799" s="3">
        <f>$D799*TCA!L799/100</f>
        <v>0</v>
      </c>
      <c r="M799" s="3">
        <f>$D799*TCA!M799/100</f>
        <v>11.11</v>
      </c>
      <c r="N799" s="3">
        <f>$D799*TCA!N799/100</f>
        <v>0</v>
      </c>
      <c r="O799" s="3">
        <f>$D799*TCA!O799/100</f>
        <v>0</v>
      </c>
      <c r="P799" s="3">
        <f t="shared" si="12"/>
        <v>0</v>
      </c>
      <c r="Q799" s="3">
        <f>$D799*TCA!P799/100</f>
        <v>0</v>
      </c>
      <c r="R799" s="3">
        <f>$D799*TCA!Q799/100</f>
        <v>0</v>
      </c>
      <c r="S799" s="3">
        <f>$D799*TCA!R799/100</f>
        <v>777.78</v>
      </c>
      <c r="T799" s="3">
        <f>$D799*TCA!S799/100</f>
        <v>0</v>
      </c>
      <c r="U799" s="3">
        <f>$D799*TCA!T799/100</f>
        <v>0</v>
      </c>
      <c r="V799" s="3">
        <f>$D799*TCA!U799/100</f>
        <v>0</v>
      </c>
      <c r="W799" s="3">
        <f>$D799*TCA!V799/100</f>
        <v>0</v>
      </c>
      <c r="X799" s="3">
        <f>$D799*TCA!W799/100</f>
        <v>0</v>
      </c>
    </row>
    <row r="800" spans="1:24" x14ac:dyDescent="0.25">
      <c r="A800" s="3" t="s">
        <v>2033</v>
      </c>
      <c r="B800" s="3" t="s">
        <v>1576</v>
      </c>
      <c r="C800" s="3" t="s">
        <v>1577</v>
      </c>
      <c r="D800" s="3">
        <v>100</v>
      </c>
      <c r="E800" s="3">
        <f>$D800*TCA!E800/100</f>
        <v>535.14</v>
      </c>
      <c r="F800" s="3">
        <f>$D800*TCA!F800/100</f>
        <v>7.65</v>
      </c>
      <c r="G800" s="3">
        <f>$D800*TCA!G800/100</f>
        <v>29.66</v>
      </c>
      <c r="H800" s="3">
        <f>$D800*TCA!H800/100</f>
        <v>59.4</v>
      </c>
      <c r="I800" s="3">
        <f>$D800*TCA!I800/100</f>
        <v>3.4</v>
      </c>
      <c r="J800" s="3">
        <f>$D800*TCA!J800/100</f>
        <v>14.23</v>
      </c>
      <c r="K800" s="3">
        <f>$D800*TCA!K800/100</f>
        <v>13.21</v>
      </c>
      <c r="L800" s="3">
        <f>$D800*TCA!L800/100</f>
        <v>0.85</v>
      </c>
      <c r="M800" s="3">
        <f>$D800*TCA!M800/100</f>
        <v>23</v>
      </c>
      <c r="N800" s="3">
        <f>$D800*TCA!N800/100</f>
        <v>189</v>
      </c>
      <c r="O800" s="3">
        <f>$D800*TCA!O800/100</f>
        <v>208</v>
      </c>
      <c r="P800" s="3">
        <f t="shared" si="12"/>
        <v>27.18954248366013</v>
      </c>
      <c r="Q800" s="3">
        <f>$D800*TCA!P800/100</f>
        <v>2.35</v>
      </c>
      <c r="R800" s="3">
        <f>$D800*TCA!Q800/100</f>
        <v>372</v>
      </c>
      <c r="S800" s="3">
        <f>$D800*TCA!R800/100</f>
        <v>79</v>
      </c>
      <c r="T800" s="3">
        <f>$D800*TCA!S800/100</f>
        <v>2.0099999999999998</v>
      </c>
      <c r="U800" s="3">
        <f>$D800*TCA!T800/100</f>
        <v>0</v>
      </c>
      <c r="V800" s="3">
        <f>$D800*TCA!U800/100</f>
        <v>49</v>
      </c>
      <c r="W800" s="3">
        <f>$D800*TCA!V800/100</f>
        <v>11</v>
      </c>
      <c r="X800" s="3">
        <f>$D800*TCA!W800/100</f>
        <v>0.62</v>
      </c>
    </row>
    <row r="801" spans="1:24" x14ac:dyDescent="0.25">
      <c r="A801" s="3" t="s">
        <v>2033</v>
      </c>
      <c r="B801" s="3" t="s">
        <v>1578</v>
      </c>
      <c r="C801" s="3" t="s">
        <v>1579</v>
      </c>
      <c r="D801" s="3">
        <v>100</v>
      </c>
      <c r="E801" s="3">
        <f>$D801*TCA!E801/100</f>
        <v>382.4</v>
      </c>
      <c r="F801" s="3">
        <f>$D801*TCA!F801/100</f>
        <v>4.0999999999999996</v>
      </c>
      <c r="G801" s="3">
        <f>$D801*TCA!G801/100</f>
        <v>16.399999999999999</v>
      </c>
      <c r="H801" s="3">
        <f>$D801*TCA!H801/100</f>
        <v>54.6</v>
      </c>
      <c r="I801" s="3">
        <f>$D801*TCA!I801/100</f>
        <v>2.8</v>
      </c>
      <c r="J801" s="3">
        <f>$D801*TCA!J801/100</f>
        <v>4.7699999999999996</v>
      </c>
      <c r="K801" s="3">
        <f>$D801*TCA!K801/100</f>
        <v>8.76</v>
      </c>
      <c r="L801" s="3">
        <f>$D801*TCA!L801/100</f>
        <v>1.85</v>
      </c>
      <c r="M801" s="3">
        <f>$D801*TCA!M801/100</f>
        <v>42</v>
      </c>
      <c r="N801" s="3">
        <f>$D801*TCA!N801/100</f>
        <v>43</v>
      </c>
      <c r="O801" s="3">
        <f>$D801*TCA!O801/100</f>
        <v>122</v>
      </c>
      <c r="P801" s="3">
        <f t="shared" si="12"/>
        <v>29.756097560975611</v>
      </c>
      <c r="Q801" s="3">
        <f>$D801*TCA!P801/100</f>
        <v>2.2000000000000002</v>
      </c>
      <c r="R801" s="3">
        <f>$D801*TCA!Q801/100</f>
        <v>200</v>
      </c>
      <c r="S801" s="3">
        <f>$D801*TCA!R801/100</f>
        <v>334</v>
      </c>
      <c r="T801" s="3">
        <f>$D801*TCA!S801/100</f>
        <v>0.69</v>
      </c>
      <c r="U801" s="3">
        <f>$D801*TCA!T801/100</f>
        <v>0</v>
      </c>
      <c r="V801" s="3">
        <f>$D801*TCA!U801/100</f>
        <v>26</v>
      </c>
      <c r="W801" s="3">
        <f>$D801*TCA!V801/100</f>
        <v>23</v>
      </c>
      <c r="X801" s="3">
        <f>$D801*TCA!W801/100</f>
        <v>0.14000000000000001</v>
      </c>
    </row>
    <row r="802" spans="1:24" x14ac:dyDescent="0.25">
      <c r="A802" s="13"/>
      <c r="B802" s="13"/>
      <c r="C802" s="13"/>
      <c r="D802" s="3">
        <v>100</v>
      </c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spans="1:24" x14ac:dyDescent="0.25">
      <c r="A803" s="3" t="s">
        <v>2034</v>
      </c>
      <c r="B803" s="3" t="s">
        <v>1580</v>
      </c>
      <c r="C803" s="3" t="s">
        <v>1581</v>
      </c>
      <c r="D803" s="3">
        <v>100</v>
      </c>
      <c r="E803" s="3">
        <f>$D803*TCA!E803/100</f>
        <v>480.95</v>
      </c>
      <c r="F803" s="3">
        <f>$D803*TCA!F803/100</f>
        <v>4.76</v>
      </c>
      <c r="G803" s="3">
        <f>$D803*TCA!G803/100</f>
        <v>23.81</v>
      </c>
      <c r="H803" s="3">
        <f>$D803*TCA!H803/100</f>
        <v>61.9</v>
      </c>
      <c r="I803" s="3">
        <f>$D803*TCA!I803/100</f>
        <v>0</v>
      </c>
      <c r="J803" s="3">
        <f>$D803*TCA!J803/100</f>
        <v>7.14</v>
      </c>
      <c r="K803" s="3">
        <f>$D803*TCA!K803/100</f>
        <v>14.29</v>
      </c>
      <c r="L803" s="3">
        <f>$D803*TCA!L803/100</f>
        <v>4.76</v>
      </c>
      <c r="M803" s="3">
        <f>$D803*TCA!M803/100</f>
        <v>0</v>
      </c>
      <c r="N803" s="3">
        <f>$D803*TCA!N803/100</f>
        <v>0</v>
      </c>
      <c r="O803" s="3">
        <f>$D803*TCA!O803/100</f>
        <v>0</v>
      </c>
      <c r="P803" s="3">
        <f t="shared" si="12"/>
        <v>0</v>
      </c>
      <c r="Q803" s="3">
        <f>$D803*TCA!P803/100</f>
        <v>0</v>
      </c>
      <c r="R803" s="3">
        <f>$D803*TCA!Q803/100</f>
        <v>0</v>
      </c>
      <c r="S803" s="3">
        <f>$D803*TCA!R803/100</f>
        <v>904.76</v>
      </c>
      <c r="T803" s="3">
        <f>$D803*TCA!S803/100</f>
        <v>0</v>
      </c>
      <c r="U803" s="3">
        <f>$D803*TCA!T803/100</f>
        <v>0</v>
      </c>
      <c r="V803" s="3">
        <f>$D803*TCA!U803/100</f>
        <v>0</v>
      </c>
      <c r="W803" s="3">
        <f>$D803*TCA!V803/100</f>
        <v>0</v>
      </c>
      <c r="X803" s="3">
        <f>$D803*TCA!W803/100</f>
        <v>0</v>
      </c>
    </row>
    <row r="804" spans="1:24" x14ac:dyDescent="0.25">
      <c r="A804" s="3" t="s">
        <v>2034</v>
      </c>
      <c r="B804" s="3" t="s">
        <v>1582</v>
      </c>
      <c r="C804" s="3" t="s">
        <v>1583</v>
      </c>
      <c r="D804" s="3">
        <v>100</v>
      </c>
      <c r="E804" s="3">
        <f>$D804*TCA!E804/100</f>
        <v>505</v>
      </c>
      <c r="F804" s="3">
        <f>$D804*TCA!F804/100</f>
        <v>10</v>
      </c>
      <c r="G804" s="3">
        <f>$D804*TCA!G804/100</f>
        <v>25</v>
      </c>
      <c r="H804" s="3">
        <f>$D804*TCA!H804/100</f>
        <v>60</v>
      </c>
      <c r="I804" s="3">
        <f>$D804*TCA!I804/100</f>
        <v>0</v>
      </c>
      <c r="J804" s="3">
        <f>$D804*TCA!J804/100</f>
        <v>10</v>
      </c>
      <c r="K804" s="3">
        <f>$D804*TCA!K804/100</f>
        <v>10</v>
      </c>
      <c r="L804" s="3">
        <f>$D804*TCA!L804/100</f>
        <v>2.5</v>
      </c>
      <c r="M804" s="3">
        <f>$D804*TCA!M804/100</f>
        <v>50</v>
      </c>
      <c r="N804" s="3">
        <f>$D804*TCA!N804/100</f>
        <v>0</v>
      </c>
      <c r="O804" s="3">
        <f>$D804*TCA!O804/100</f>
        <v>0</v>
      </c>
      <c r="P804" s="3">
        <f t="shared" si="12"/>
        <v>0</v>
      </c>
      <c r="Q804" s="3">
        <f>$D804*TCA!P804/100</f>
        <v>0</v>
      </c>
      <c r="R804" s="3">
        <f>$D804*TCA!Q804/100</f>
        <v>0</v>
      </c>
      <c r="S804" s="3">
        <f>$D804*TCA!R804/100</f>
        <v>1650</v>
      </c>
      <c r="T804" s="3">
        <f>$D804*TCA!S804/100</f>
        <v>0</v>
      </c>
      <c r="U804" s="3">
        <f>$D804*TCA!T804/100</f>
        <v>0</v>
      </c>
      <c r="V804" s="3">
        <f>$D804*TCA!U804/100</f>
        <v>0</v>
      </c>
      <c r="W804" s="3">
        <f>$D804*TCA!V804/100</f>
        <v>0</v>
      </c>
      <c r="X804" s="3">
        <f>$D804*TCA!W804/100</f>
        <v>0</v>
      </c>
    </row>
    <row r="805" spans="1:24" x14ac:dyDescent="0.25">
      <c r="A805" s="3" t="s">
        <v>2034</v>
      </c>
      <c r="B805" s="3" t="s">
        <v>1584</v>
      </c>
      <c r="C805" s="3" t="s">
        <v>1585</v>
      </c>
      <c r="D805" s="3">
        <v>100</v>
      </c>
      <c r="E805" s="3">
        <f>$D805*TCA!E805/100</f>
        <v>506.67</v>
      </c>
      <c r="F805" s="3">
        <f>$D805*TCA!F805/100</f>
        <v>6.67</v>
      </c>
      <c r="G805" s="3">
        <f>$D805*TCA!G805/100</f>
        <v>26.67</v>
      </c>
      <c r="H805" s="3">
        <f>$D805*TCA!H805/100</f>
        <v>60</v>
      </c>
      <c r="I805" s="3">
        <f>$D805*TCA!I805/100</f>
        <v>0</v>
      </c>
      <c r="J805" s="3">
        <f>$D805*TCA!J805/100</f>
        <v>10</v>
      </c>
      <c r="K805" s="3">
        <f>$D805*TCA!K805/100</f>
        <v>10</v>
      </c>
      <c r="L805" s="3">
        <f>$D805*TCA!L805/100</f>
        <v>3.33</v>
      </c>
      <c r="M805" s="3">
        <f>$D805*TCA!M805/100</f>
        <v>0</v>
      </c>
      <c r="N805" s="3">
        <f>$D805*TCA!N805/100</f>
        <v>0</v>
      </c>
      <c r="O805" s="3">
        <f>$D805*TCA!O805/100</f>
        <v>0</v>
      </c>
      <c r="P805" s="3">
        <f t="shared" si="12"/>
        <v>0</v>
      </c>
      <c r="Q805" s="3">
        <f>$D805*TCA!P805/100</f>
        <v>0</v>
      </c>
      <c r="R805" s="3">
        <f>$D805*TCA!Q805/100</f>
        <v>0</v>
      </c>
      <c r="S805" s="3">
        <f>$D805*TCA!R805/100</f>
        <v>316.67</v>
      </c>
      <c r="T805" s="3">
        <f>$D805*TCA!S805/100</f>
        <v>0</v>
      </c>
      <c r="U805" s="3">
        <f>$D805*TCA!T805/100</f>
        <v>0</v>
      </c>
      <c r="V805" s="3">
        <f>$D805*TCA!U805/100</f>
        <v>0</v>
      </c>
      <c r="W805" s="3">
        <f>$D805*TCA!V805/100</f>
        <v>0</v>
      </c>
      <c r="X805" s="3">
        <f>$D805*TCA!W805/100</f>
        <v>0</v>
      </c>
    </row>
    <row r="806" spans="1:24" x14ac:dyDescent="0.25">
      <c r="A806" s="3" t="s">
        <v>2034</v>
      </c>
      <c r="B806" s="3" t="s">
        <v>1586</v>
      </c>
      <c r="C806" s="3" t="s">
        <v>1587</v>
      </c>
      <c r="D806" s="3">
        <v>100</v>
      </c>
      <c r="E806" s="3">
        <f>$D806*TCA!E806/100</f>
        <v>486.67</v>
      </c>
      <c r="F806" s="3">
        <f>$D806*TCA!F806/100</f>
        <v>10</v>
      </c>
      <c r="G806" s="3">
        <f>$D806*TCA!G806/100</f>
        <v>20</v>
      </c>
      <c r="H806" s="3">
        <f>$D806*TCA!H806/100</f>
        <v>66.67</v>
      </c>
      <c r="I806" s="3">
        <f>$D806*TCA!I806/100</f>
        <v>0</v>
      </c>
      <c r="J806" s="3">
        <f>$D806*TCA!J806/100</f>
        <v>3.33</v>
      </c>
      <c r="K806" s="3">
        <f>$D806*TCA!K806/100</f>
        <v>0</v>
      </c>
      <c r="L806" s="3">
        <f>$D806*TCA!L806/100</f>
        <v>0</v>
      </c>
      <c r="M806" s="3">
        <f>$D806*TCA!M806/100</f>
        <v>0</v>
      </c>
      <c r="N806" s="3">
        <f>$D806*TCA!N806/100</f>
        <v>0</v>
      </c>
      <c r="O806" s="3">
        <f>$D806*TCA!O806/100</f>
        <v>0</v>
      </c>
      <c r="P806" s="3">
        <f t="shared" si="12"/>
        <v>0</v>
      </c>
      <c r="Q806" s="3">
        <f>$D806*TCA!P806/100</f>
        <v>0</v>
      </c>
      <c r="R806" s="3">
        <f>$D806*TCA!Q806/100</f>
        <v>0</v>
      </c>
      <c r="S806" s="3">
        <f>$D806*TCA!R806/100</f>
        <v>200</v>
      </c>
      <c r="T806" s="3">
        <f>$D806*TCA!S806/100</f>
        <v>0</v>
      </c>
      <c r="U806" s="3">
        <f>$D806*TCA!T806/100</f>
        <v>0</v>
      </c>
      <c r="V806" s="3">
        <f>$D806*TCA!U806/100</f>
        <v>0</v>
      </c>
      <c r="W806" s="3">
        <f>$D806*TCA!V806/100</f>
        <v>0</v>
      </c>
      <c r="X806" s="3">
        <f>$D806*TCA!W806/100</f>
        <v>0</v>
      </c>
    </row>
    <row r="807" spans="1:24" x14ac:dyDescent="0.25">
      <c r="A807" s="3" t="s">
        <v>2034</v>
      </c>
      <c r="B807" s="3" t="s">
        <v>1588</v>
      </c>
      <c r="C807" s="3" t="s">
        <v>1589</v>
      </c>
      <c r="D807" s="3">
        <v>100</v>
      </c>
      <c r="E807" s="3">
        <f>$D807*TCA!E807/100</f>
        <v>486.67</v>
      </c>
      <c r="F807" s="3">
        <f>$D807*TCA!F807/100</f>
        <v>10</v>
      </c>
      <c r="G807" s="3">
        <f>$D807*TCA!G807/100</f>
        <v>20</v>
      </c>
      <c r="H807" s="3">
        <f>$D807*TCA!H807/100</f>
        <v>66.67</v>
      </c>
      <c r="I807" s="3">
        <f>$D807*TCA!I807/100</f>
        <v>0</v>
      </c>
      <c r="J807" s="3">
        <f>$D807*TCA!J807/100</f>
        <v>3.33</v>
      </c>
      <c r="K807" s="3">
        <f>$D807*TCA!K807/100</f>
        <v>0</v>
      </c>
      <c r="L807" s="3">
        <f>$D807*TCA!L807/100</f>
        <v>0</v>
      </c>
      <c r="M807" s="3">
        <f>$D807*TCA!M807/100</f>
        <v>0</v>
      </c>
      <c r="N807" s="3">
        <f>$D807*TCA!N807/100</f>
        <v>0</v>
      </c>
      <c r="O807" s="3">
        <f>$D807*TCA!O807/100</f>
        <v>0</v>
      </c>
      <c r="P807" s="3">
        <f t="shared" si="12"/>
        <v>0</v>
      </c>
      <c r="Q807" s="3">
        <f>$D807*TCA!P807/100</f>
        <v>0</v>
      </c>
      <c r="R807" s="3">
        <f>$D807*TCA!Q807/100</f>
        <v>0</v>
      </c>
      <c r="S807" s="3">
        <f>$D807*TCA!R807/100</f>
        <v>200</v>
      </c>
      <c r="T807" s="3">
        <f>$D807*TCA!S807/100</f>
        <v>0</v>
      </c>
      <c r="U807" s="3">
        <f>$D807*TCA!T807/100</f>
        <v>0</v>
      </c>
      <c r="V807" s="3">
        <f>$D807*TCA!U807/100</f>
        <v>0</v>
      </c>
      <c r="W807" s="3">
        <f>$D807*TCA!V807/100</f>
        <v>0</v>
      </c>
      <c r="X807" s="3">
        <f>$D807*TCA!W807/100</f>
        <v>0</v>
      </c>
    </row>
    <row r="808" spans="1:24" x14ac:dyDescent="0.25">
      <c r="A808" s="3" t="s">
        <v>2034</v>
      </c>
      <c r="B808" s="3" t="s">
        <v>1590</v>
      </c>
      <c r="C808" s="3" t="s">
        <v>1591</v>
      </c>
      <c r="D808" s="3">
        <v>100</v>
      </c>
      <c r="E808" s="3">
        <f>$D808*TCA!E808/100</f>
        <v>486.67</v>
      </c>
      <c r="F808" s="3">
        <f>$D808*TCA!F808/100</f>
        <v>10</v>
      </c>
      <c r="G808" s="3">
        <f>$D808*TCA!G808/100</f>
        <v>20</v>
      </c>
      <c r="H808" s="3">
        <f>$D808*TCA!H808/100</f>
        <v>66.67</v>
      </c>
      <c r="I808" s="3">
        <f>$D808*TCA!I808/100</f>
        <v>0</v>
      </c>
      <c r="J808" s="3">
        <f>$D808*TCA!J808/100</f>
        <v>3.33</v>
      </c>
      <c r="K808" s="3">
        <f>$D808*TCA!K808/100</f>
        <v>0</v>
      </c>
      <c r="L808" s="3">
        <f>$D808*TCA!L808/100</f>
        <v>0</v>
      </c>
      <c r="M808" s="3">
        <f>$D808*TCA!M808/100</f>
        <v>0</v>
      </c>
      <c r="N808" s="3">
        <f>$D808*TCA!N808/100</f>
        <v>0</v>
      </c>
      <c r="O808" s="3">
        <f>$D808*TCA!O808/100</f>
        <v>0</v>
      </c>
      <c r="P808" s="3">
        <f t="shared" si="12"/>
        <v>0</v>
      </c>
      <c r="Q808" s="3">
        <f>$D808*TCA!P808/100</f>
        <v>0</v>
      </c>
      <c r="R808" s="3">
        <f>$D808*TCA!Q808/100</f>
        <v>0</v>
      </c>
      <c r="S808" s="3">
        <f>$D808*TCA!R808/100</f>
        <v>200</v>
      </c>
      <c r="T808" s="3">
        <f>$D808*TCA!S808/100</f>
        <v>0</v>
      </c>
      <c r="U808" s="3">
        <f>$D808*TCA!T808/100</f>
        <v>0</v>
      </c>
      <c r="V808" s="3">
        <f>$D808*TCA!U808/100</f>
        <v>0</v>
      </c>
      <c r="W808" s="3">
        <f>$D808*TCA!V808/100</f>
        <v>0</v>
      </c>
      <c r="X808" s="3">
        <f>$D808*TCA!W808/100</f>
        <v>0</v>
      </c>
    </row>
    <row r="809" spans="1:24" x14ac:dyDescent="0.25">
      <c r="A809" s="3" t="s">
        <v>2034</v>
      </c>
      <c r="B809" s="3" t="s">
        <v>1592</v>
      </c>
      <c r="C809" s="3" t="s">
        <v>1593</v>
      </c>
      <c r="D809" s="3">
        <v>100</v>
      </c>
      <c r="E809" s="3">
        <f>$D809*TCA!E809/100</f>
        <v>506.67</v>
      </c>
      <c r="F809" s="3">
        <f>$D809*TCA!F809/100</f>
        <v>6.67</v>
      </c>
      <c r="G809" s="3">
        <f>$D809*TCA!G809/100</f>
        <v>26.67</v>
      </c>
      <c r="H809" s="3">
        <f>$D809*TCA!H809/100</f>
        <v>60</v>
      </c>
      <c r="I809" s="3">
        <f>$D809*TCA!I809/100</f>
        <v>0</v>
      </c>
      <c r="J809" s="3">
        <f>$D809*TCA!J809/100</f>
        <v>10</v>
      </c>
      <c r="K809" s="3">
        <f>$D809*TCA!K809/100</f>
        <v>10</v>
      </c>
      <c r="L809" s="3">
        <f>$D809*TCA!L809/100</f>
        <v>3.33</v>
      </c>
      <c r="M809" s="3">
        <f>$D809*TCA!M809/100</f>
        <v>0</v>
      </c>
      <c r="N809" s="3">
        <f>$D809*TCA!N809/100</f>
        <v>0</v>
      </c>
      <c r="O809" s="3">
        <f>$D809*TCA!O809/100</f>
        <v>0</v>
      </c>
      <c r="P809" s="3">
        <f t="shared" si="12"/>
        <v>0</v>
      </c>
      <c r="Q809" s="3">
        <f>$D809*TCA!P809/100</f>
        <v>0</v>
      </c>
      <c r="R809" s="3">
        <f>$D809*TCA!Q809/100</f>
        <v>0</v>
      </c>
      <c r="S809" s="3">
        <f>$D809*TCA!R809/100</f>
        <v>766.67</v>
      </c>
      <c r="T809" s="3">
        <f>$D809*TCA!S809/100</f>
        <v>0</v>
      </c>
      <c r="U809" s="3">
        <f>$D809*TCA!T809/100</f>
        <v>0</v>
      </c>
      <c r="V809" s="3">
        <f>$D809*TCA!U809/100</f>
        <v>0</v>
      </c>
      <c r="W809" s="3">
        <f>$D809*TCA!V809/100</f>
        <v>0</v>
      </c>
      <c r="X809" s="3">
        <f>$D809*TCA!W809/100</f>
        <v>0</v>
      </c>
    </row>
    <row r="810" spans="1:24" x14ac:dyDescent="0.25">
      <c r="A810" s="3" t="s">
        <v>2034</v>
      </c>
      <c r="B810" s="3" t="s">
        <v>1594</v>
      </c>
      <c r="C810" s="3" t="s">
        <v>1595</v>
      </c>
      <c r="D810" s="3">
        <v>100</v>
      </c>
      <c r="E810" s="3">
        <f>$D810*TCA!E810/100</f>
        <v>470</v>
      </c>
      <c r="F810" s="3">
        <f>$D810*TCA!F810/100</f>
        <v>10</v>
      </c>
      <c r="G810" s="3">
        <f>$D810*TCA!G810/100</f>
        <v>16.670000000000002</v>
      </c>
      <c r="H810" s="3">
        <f>$D810*TCA!H810/100</f>
        <v>70</v>
      </c>
      <c r="I810" s="3">
        <f>$D810*TCA!I810/100</f>
        <v>0</v>
      </c>
      <c r="J810" s="3">
        <f>$D810*TCA!J810/100</f>
        <v>6.67</v>
      </c>
      <c r="K810" s="3">
        <f>$D810*TCA!K810/100</f>
        <v>6.67</v>
      </c>
      <c r="L810" s="3">
        <f>$D810*TCA!L810/100</f>
        <v>3.33</v>
      </c>
      <c r="M810" s="3">
        <f>$D810*TCA!M810/100</f>
        <v>0</v>
      </c>
      <c r="N810" s="3">
        <f>$D810*TCA!N810/100</f>
        <v>0</v>
      </c>
      <c r="O810" s="3">
        <f>$D810*TCA!O810/100</f>
        <v>0</v>
      </c>
      <c r="P810" s="3">
        <f t="shared" si="12"/>
        <v>0</v>
      </c>
      <c r="Q810" s="3">
        <f>$D810*TCA!P810/100</f>
        <v>0</v>
      </c>
      <c r="R810" s="3">
        <f>$D810*TCA!Q810/100</f>
        <v>0</v>
      </c>
      <c r="S810" s="3">
        <f>$D810*TCA!R810/100</f>
        <v>1266.67</v>
      </c>
      <c r="T810" s="3">
        <f>$D810*TCA!S810/100</f>
        <v>0</v>
      </c>
      <c r="U810" s="3">
        <f>$D810*TCA!T810/100</f>
        <v>0</v>
      </c>
      <c r="V810" s="3">
        <f>$D810*TCA!U810/100</f>
        <v>0</v>
      </c>
      <c r="W810" s="3">
        <f>$D810*TCA!V810/100</f>
        <v>0</v>
      </c>
      <c r="X810" s="3">
        <f>$D810*TCA!W810/100</f>
        <v>0</v>
      </c>
    </row>
    <row r="811" spans="1:24" x14ac:dyDescent="0.25">
      <c r="A811" s="3" t="s">
        <v>2034</v>
      </c>
      <c r="B811" s="3" t="s">
        <v>1596</v>
      </c>
      <c r="C811" s="3" t="s">
        <v>1597</v>
      </c>
      <c r="D811" s="3">
        <v>100</v>
      </c>
      <c r="E811" s="3">
        <f>$D811*TCA!E811/100</f>
        <v>426.67</v>
      </c>
      <c r="F811" s="3">
        <f>$D811*TCA!F811/100</f>
        <v>10</v>
      </c>
      <c r="G811" s="3">
        <f>$D811*TCA!G811/100</f>
        <v>13.33</v>
      </c>
      <c r="H811" s="3">
        <f>$D811*TCA!H811/100</f>
        <v>66.67</v>
      </c>
      <c r="I811" s="3">
        <f>$D811*TCA!I811/100</f>
        <v>3.33</v>
      </c>
      <c r="J811" s="3">
        <f>$D811*TCA!J811/100</f>
        <v>1.67</v>
      </c>
      <c r="K811" s="3">
        <f>$D811*TCA!K811/100</f>
        <v>6.67</v>
      </c>
      <c r="L811" s="3">
        <f>$D811*TCA!L811/100</f>
        <v>6.67</v>
      </c>
      <c r="M811" s="3">
        <f>$D811*TCA!M811/100</f>
        <v>0</v>
      </c>
      <c r="N811" s="3">
        <f>$D811*TCA!N811/100</f>
        <v>0</v>
      </c>
      <c r="O811" s="3">
        <f>$D811*TCA!O811/100</f>
        <v>0</v>
      </c>
      <c r="P811" s="3">
        <f t="shared" si="12"/>
        <v>0</v>
      </c>
      <c r="Q811" s="3">
        <f>$D811*TCA!P811/100</f>
        <v>0</v>
      </c>
      <c r="R811" s="3">
        <f>$D811*TCA!Q811/100</f>
        <v>0</v>
      </c>
      <c r="S811" s="3">
        <f>$D811*TCA!R811/100</f>
        <v>416.67</v>
      </c>
      <c r="T811" s="3">
        <f>$D811*TCA!S811/100</f>
        <v>0</v>
      </c>
      <c r="U811" s="3">
        <f>$D811*TCA!T811/100</f>
        <v>0</v>
      </c>
      <c r="V811" s="3">
        <f>$D811*TCA!U811/100</f>
        <v>0</v>
      </c>
      <c r="W811" s="3">
        <f>$D811*TCA!V811/100</f>
        <v>0</v>
      </c>
      <c r="X811" s="3">
        <f>$D811*TCA!W811/100</f>
        <v>0</v>
      </c>
    </row>
    <row r="812" spans="1:24" x14ac:dyDescent="0.25">
      <c r="A812" s="3" t="s">
        <v>2034</v>
      </c>
      <c r="B812" s="3" t="s">
        <v>1598</v>
      </c>
      <c r="C812" s="3" t="s">
        <v>1599</v>
      </c>
      <c r="D812" s="3">
        <v>100</v>
      </c>
      <c r="E812" s="3">
        <f>$D812*TCA!E812/100</f>
        <v>423.33</v>
      </c>
      <c r="F812" s="3">
        <f>$D812*TCA!F812/100</f>
        <v>10</v>
      </c>
      <c r="G812" s="3">
        <f>$D812*TCA!G812/100</f>
        <v>10</v>
      </c>
      <c r="H812" s="3">
        <f>$D812*TCA!H812/100</f>
        <v>73.33</v>
      </c>
      <c r="I812" s="3">
        <f>$D812*TCA!I812/100</f>
        <v>0</v>
      </c>
      <c r="J812" s="3">
        <f>$D812*TCA!J812/100</f>
        <v>8.33</v>
      </c>
      <c r="K812" s="3">
        <f>$D812*TCA!K812/100</f>
        <v>1.67</v>
      </c>
      <c r="L812" s="3">
        <f>$D812*TCA!L812/100</f>
        <v>1.67</v>
      </c>
      <c r="M812" s="3">
        <f>$D812*TCA!M812/100</f>
        <v>0</v>
      </c>
      <c r="N812" s="3">
        <f>$D812*TCA!N812/100</f>
        <v>0</v>
      </c>
      <c r="O812" s="3">
        <f>$D812*TCA!O812/100</f>
        <v>0</v>
      </c>
      <c r="P812" s="3">
        <f t="shared" si="12"/>
        <v>0</v>
      </c>
      <c r="Q812" s="3">
        <f>$D812*TCA!P812/100</f>
        <v>0</v>
      </c>
      <c r="R812" s="3">
        <f>$D812*TCA!Q812/100</f>
        <v>0</v>
      </c>
      <c r="S812" s="3">
        <f>$D812*TCA!R812/100</f>
        <v>33.33</v>
      </c>
      <c r="T812" s="3">
        <f>$D812*TCA!S812/100</f>
        <v>0</v>
      </c>
      <c r="U812" s="3">
        <f>$D812*TCA!T812/100</f>
        <v>0</v>
      </c>
      <c r="V812" s="3">
        <f>$D812*TCA!U812/100</f>
        <v>0</v>
      </c>
      <c r="W812" s="3">
        <f>$D812*TCA!V812/100</f>
        <v>0</v>
      </c>
      <c r="X812" s="3">
        <f>$D812*TCA!W812/100</f>
        <v>0</v>
      </c>
    </row>
    <row r="813" spans="1:24" x14ac:dyDescent="0.25">
      <c r="A813" s="3" t="s">
        <v>2034</v>
      </c>
      <c r="B813" s="3" t="s">
        <v>1600</v>
      </c>
      <c r="C813" s="3" t="s">
        <v>1601</v>
      </c>
      <c r="D813" s="3">
        <v>100</v>
      </c>
      <c r="E813" s="3">
        <f>$D813*TCA!E813/100</f>
        <v>406.67</v>
      </c>
      <c r="F813" s="3">
        <f>$D813*TCA!F813/100</f>
        <v>0</v>
      </c>
      <c r="G813" s="3">
        <f>$D813*TCA!G813/100</f>
        <v>6.67</v>
      </c>
      <c r="H813" s="3">
        <f>$D813*TCA!H813/100</f>
        <v>86.67</v>
      </c>
      <c r="I813" s="3">
        <f>$D813*TCA!I813/100</f>
        <v>0</v>
      </c>
      <c r="J813" s="3">
        <f>$D813*TCA!J813/100</f>
        <v>3.33</v>
      </c>
      <c r="K813" s="3">
        <f>$D813*TCA!K813/100</f>
        <v>3.33</v>
      </c>
      <c r="L813" s="3">
        <f>$D813*TCA!L813/100</f>
        <v>0</v>
      </c>
      <c r="M813" s="3">
        <f>$D813*TCA!M813/100</f>
        <v>0</v>
      </c>
      <c r="N813" s="3">
        <f>$D813*TCA!N813/100</f>
        <v>0</v>
      </c>
      <c r="O813" s="3">
        <f>$D813*TCA!O813/100</f>
        <v>0</v>
      </c>
      <c r="P813" s="3" t="e">
        <f t="shared" si="12"/>
        <v>#DIV/0!</v>
      </c>
      <c r="Q813" s="3">
        <f>$D813*TCA!P813/100</f>
        <v>0</v>
      </c>
      <c r="R813" s="3">
        <f>$D813*TCA!Q813/100</f>
        <v>0</v>
      </c>
      <c r="S813" s="3">
        <f>$D813*TCA!R813/100</f>
        <v>266.67</v>
      </c>
      <c r="T813" s="3">
        <f>$D813*TCA!S813/100</f>
        <v>0</v>
      </c>
      <c r="U813" s="3">
        <f>$D813*TCA!T813/100</f>
        <v>0</v>
      </c>
      <c r="V813" s="3">
        <f>$D813*TCA!U813/100</f>
        <v>0</v>
      </c>
      <c r="W813" s="3">
        <f>$D813*TCA!V813/100</f>
        <v>0</v>
      </c>
      <c r="X813" s="3">
        <f>$D813*TCA!W813/100</f>
        <v>0</v>
      </c>
    </row>
    <row r="814" spans="1:24" x14ac:dyDescent="0.25">
      <c r="A814" s="3" t="s">
        <v>2034</v>
      </c>
      <c r="B814" s="3" t="s">
        <v>1602</v>
      </c>
      <c r="C814" s="3" t="s">
        <v>1603</v>
      </c>
      <c r="D814" s="3">
        <v>100</v>
      </c>
      <c r="E814" s="3">
        <f>$D814*TCA!E814/100</f>
        <v>108.33</v>
      </c>
      <c r="F814" s="3">
        <f>$D814*TCA!F814/100</f>
        <v>10</v>
      </c>
      <c r="G814" s="3">
        <f>$D814*TCA!G814/100</f>
        <v>1.67</v>
      </c>
      <c r="H814" s="3">
        <f>$D814*TCA!H814/100</f>
        <v>13.33</v>
      </c>
      <c r="I814" s="3">
        <f>$D814*TCA!I814/100</f>
        <v>0</v>
      </c>
      <c r="J814" s="3">
        <f>$D814*TCA!J814/100</f>
        <v>0</v>
      </c>
      <c r="K814" s="3">
        <f>$D814*TCA!K814/100</f>
        <v>0</v>
      </c>
      <c r="L814" s="3">
        <f>$D814*TCA!L814/100</f>
        <v>0</v>
      </c>
      <c r="M814" s="3">
        <f>$D814*TCA!M814/100</f>
        <v>0</v>
      </c>
      <c r="N814" s="3">
        <f>$D814*TCA!N814/100</f>
        <v>0</v>
      </c>
      <c r="O814" s="3">
        <f>$D814*TCA!O814/100</f>
        <v>0</v>
      </c>
      <c r="P814" s="3">
        <f t="shared" si="12"/>
        <v>0</v>
      </c>
      <c r="Q814" s="3">
        <f>$D814*TCA!P814/100</f>
        <v>0</v>
      </c>
      <c r="R814" s="3">
        <f>$D814*TCA!Q814/100</f>
        <v>0</v>
      </c>
      <c r="S814" s="3">
        <f>$D814*TCA!R814/100</f>
        <v>50</v>
      </c>
      <c r="T814" s="3">
        <f>$D814*TCA!S814/100</f>
        <v>0</v>
      </c>
      <c r="U814" s="3">
        <f>$D814*TCA!T814/100</f>
        <v>0</v>
      </c>
      <c r="V814" s="3">
        <f>$D814*TCA!U814/100</f>
        <v>0</v>
      </c>
      <c r="W814" s="3">
        <f>$D814*TCA!V814/100</f>
        <v>0</v>
      </c>
      <c r="X814" s="3">
        <f>$D814*TCA!W814/100</f>
        <v>0</v>
      </c>
    </row>
    <row r="815" spans="1:24" x14ac:dyDescent="0.25">
      <c r="A815" s="3" t="s">
        <v>2034</v>
      </c>
      <c r="B815" s="3" t="s">
        <v>1604</v>
      </c>
      <c r="C815" s="3" t="s">
        <v>1605</v>
      </c>
      <c r="D815" s="3">
        <v>100</v>
      </c>
      <c r="E815" s="3">
        <f>$D815*TCA!E815/100</f>
        <v>524.14</v>
      </c>
      <c r="F815" s="3">
        <f>$D815*TCA!F815/100</f>
        <v>6.9</v>
      </c>
      <c r="G815" s="3">
        <f>$D815*TCA!G815/100</f>
        <v>27.59</v>
      </c>
      <c r="H815" s="3">
        <f>$D815*TCA!H815/100</f>
        <v>62.07</v>
      </c>
      <c r="I815" s="3">
        <f>$D815*TCA!I815/100</f>
        <v>0</v>
      </c>
      <c r="J815" s="3">
        <f>$D815*TCA!J815/100</f>
        <v>13.79</v>
      </c>
      <c r="K815" s="3">
        <f>$D815*TCA!K815/100</f>
        <v>10.34</v>
      </c>
      <c r="L815" s="3">
        <f>$D815*TCA!L815/100</f>
        <v>3.45</v>
      </c>
      <c r="M815" s="3">
        <f>$D815*TCA!M815/100</f>
        <v>0</v>
      </c>
      <c r="N815" s="3">
        <f>$D815*TCA!N815/100</f>
        <v>0</v>
      </c>
      <c r="O815" s="3">
        <f>$D815*TCA!O815/100</f>
        <v>0</v>
      </c>
      <c r="P815" s="3">
        <f t="shared" si="12"/>
        <v>0</v>
      </c>
      <c r="Q815" s="3">
        <f>$D815*TCA!P815/100</f>
        <v>0</v>
      </c>
      <c r="R815" s="3">
        <f>$D815*TCA!Q815/100</f>
        <v>0</v>
      </c>
      <c r="S815" s="3">
        <f>$D815*TCA!R815/100</f>
        <v>517.24</v>
      </c>
      <c r="T815" s="3">
        <f>$D815*TCA!S815/100</f>
        <v>0</v>
      </c>
      <c r="U815" s="3">
        <f>$D815*TCA!T815/100</f>
        <v>0</v>
      </c>
      <c r="V815" s="3">
        <f>$D815*TCA!U815/100</f>
        <v>0</v>
      </c>
      <c r="W815" s="3">
        <f>$D815*TCA!V815/100</f>
        <v>0</v>
      </c>
      <c r="X815" s="3">
        <f>$D815*TCA!W815/100</f>
        <v>0</v>
      </c>
    </row>
    <row r="816" spans="1:24" x14ac:dyDescent="0.25">
      <c r="A816" s="3" t="s">
        <v>2034</v>
      </c>
      <c r="B816" s="3" t="s">
        <v>1606</v>
      </c>
      <c r="C816" s="3" t="s">
        <v>1607</v>
      </c>
      <c r="D816" s="3">
        <v>100</v>
      </c>
      <c r="E816" s="3">
        <f>$D816*TCA!E816/100</f>
        <v>506.67</v>
      </c>
      <c r="F816" s="3">
        <f>$D816*TCA!F816/100</f>
        <v>0</v>
      </c>
      <c r="G816" s="3">
        <f>$D816*TCA!G816/100</f>
        <v>26.67</v>
      </c>
      <c r="H816" s="3">
        <f>$D816*TCA!H816/100</f>
        <v>66.67</v>
      </c>
      <c r="I816" s="3">
        <f>$D816*TCA!I816/100</f>
        <v>0</v>
      </c>
      <c r="J816" s="3">
        <f>$D816*TCA!J816/100</f>
        <v>13.33</v>
      </c>
      <c r="K816" s="3">
        <f>$D816*TCA!K816/100</f>
        <v>10</v>
      </c>
      <c r="L816" s="3">
        <f>$D816*TCA!L816/100</f>
        <v>0</v>
      </c>
      <c r="M816" s="3">
        <f>$D816*TCA!M816/100</f>
        <v>0</v>
      </c>
      <c r="N816" s="3">
        <f>$D816*TCA!N816/100</f>
        <v>0</v>
      </c>
      <c r="O816" s="3">
        <f>$D816*TCA!O816/100</f>
        <v>0</v>
      </c>
      <c r="P816" s="3" t="e">
        <f t="shared" si="12"/>
        <v>#DIV/0!</v>
      </c>
      <c r="Q816" s="3">
        <f>$D816*TCA!P816/100</f>
        <v>0</v>
      </c>
      <c r="R816" s="3">
        <f>$D816*TCA!Q816/100</f>
        <v>0</v>
      </c>
      <c r="S816" s="3">
        <f>$D816*TCA!R816/100</f>
        <v>833.33</v>
      </c>
      <c r="T816" s="3">
        <f>$D816*TCA!S816/100</f>
        <v>0</v>
      </c>
      <c r="U816" s="3">
        <f>$D816*TCA!T816/100</f>
        <v>0</v>
      </c>
      <c r="V816" s="3">
        <f>$D816*TCA!U816/100</f>
        <v>0</v>
      </c>
      <c r="W816" s="3">
        <f>$D816*TCA!V816/100</f>
        <v>0</v>
      </c>
      <c r="X816" s="3">
        <f>$D816*TCA!W816/100</f>
        <v>0</v>
      </c>
    </row>
    <row r="817" spans="1:24" x14ac:dyDescent="0.25">
      <c r="A817" s="3" t="s">
        <v>2034</v>
      </c>
      <c r="B817" s="3" t="s">
        <v>1608</v>
      </c>
      <c r="C817" s="3" t="s">
        <v>1609</v>
      </c>
      <c r="D817" s="3">
        <v>100</v>
      </c>
      <c r="E817" s="3">
        <f>$D817*TCA!E817/100</f>
        <v>160</v>
      </c>
      <c r="F817" s="3">
        <f>$D817*TCA!F817/100</f>
        <v>10</v>
      </c>
      <c r="G817" s="3">
        <f>$D817*TCA!G817/100</f>
        <v>13.33</v>
      </c>
      <c r="H817" s="3">
        <f>$D817*TCA!H817/100</f>
        <v>0</v>
      </c>
      <c r="I817" s="3">
        <f>$D817*TCA!I817/100</f>
        <v>0</v>
      </c>
      <c r="J817" s="3">
        <f>$D817*TCA!J817/100</f>
        <v>5</v>
      </c>
      <c r="K817" s="3">
        <f>$D817*TCA!K817/100</f>
        <v>6.67</v>
      </c>
      <c r="L817" s="3">
        <f>$D817*TCA!L817/100</f>
        <v>0</v>
      </c>
      <c r="M817" s="3">
        <f>$D817*TCA!M817/100</f>
        <v>0</v>
      </c>
      <c r="N817" s="3">
        <f>$D817*TCA!N817/100</f>
        <v>0</v>
      </c>
      <c r="O817" s="3">
        <f>$D817*TCA!O817/100</f>
        <v>0</v>
      </c>
      <c r="P817" s="3">
        <f t="shared" si="12"/>
        <v>0</v>
      </c>
      <c r="Q817" s="3">
        <f>$D817*TCA!P817/100</f>
        <v>0</v>
      </c>
      <c r="R817" s="3">
        <f>$D817*TCA!Q817/100</f>
        <v>0</v>
      </c>
      <c r="S817" s="3">
        <f>$D817*TCA!R817/100</f>
        <v>566.66999999999996</v>
      </c>
      <c r="T817" s="3">
        <f>$D817*TCA!S817/100</f>
        <v>0</v>
      </c>
      <c r="U817" s="3">
        <f>$D817*TCA!T817/100</f>
        <v>0</v>
      </c>
      <c r="V817" s="3">
        <f>$D817*TCA!U817/100</f>
        <v>0</v>
      </c>
      <c r="W817" s="3">
        <f>$D817*TCA!V817/100</f>
        <v>0</v>
      </c>
      <c r="X817" s="3">
        <f>$D817*TCA!W817/100</f>
        <v>0</v>
      </c>
    </row>
    <row r="818" spans="1:24" x14ac:dyDescent="0.25">
      <c r="A818" s="3" t="s">
        <v>2034</v>
      </c>
      <c r="B818" s="3" t="s">
        <v>1610</v>
      </c>
      <c r="C818" s="3" t="s">
        <v>1611</v>
      </c>
      <c r="D818" s="3">
        <v>100</v>
      </c>
      <c r="E818" s="3">
        <f>$D818*TCA!E818/100</f>
        <v>533.33000000000004</v>
      </c>
      <c r="F818" s="3">
        <f>$D818*TCA!F818/100</f>
        <v>6.67</v>
      </c>
      <c r="G818" s="3">
        <f>$D818*TCA!G818/100</f>
        <v>26.67</v>
      </c>
      <c r="H818" s="3">
        <f>$D818*TCA!H818/100</f>
        <v>66.67</v>
      </c>
      <c r="I818" s="3">
        <f>$D818*TCA!I818/100</f>
        <v>0</v>
      </c>
      <c r="J818" s="3">
        <f>$D818*TCA!J818/100</f>
        <v>13.33</v>
      </c>
      <c r="K818" s="3">
        <f>$D818*TCA!K818/100</f>
        <v>10</v>
      </c>
      <c r="L818" s="3">
        <f>$D818*TCA!L818/100</f>
        <v>0</v>
      </c>
      <c r="M818" s="3">
        <f>$D818*TCA!M818/100</f>
        <v>0</v>
      </c>
      <c r="N818" s="3">
        <f>$D818*TCA!N818/100</f>
        <v>0</v>
      </c>
      <c r="O818" s="3">
        <f>$D818*TCA!O818/100</f>
        <v>0</v>
      </c>
      <c r="P818" s="3">
        <f t="shared" si="12"/>
        <v>0</v>
      </c>
      <c r="Q818" s="3">
        <f>$D818*TCA!P818/100</f>
        <v>0</v>
      </c>
      <c r="R818" s="3">
        <f>$D818*TCA!Q818/100</f>
        <v>0</v>
      </c>
      <c r="S818" s="3">
        <f>$D818*TCA!R818/100</f>
        <v>866.67</v>
      </c>
      <c r="T818" s="3">
        <f>$D818*TCA!S818/100</f>
        <v>0</v>
      </c>
      <c r="U818" s="3">
        <f>$D818*TCA!T818/100</f>
        <v>0</v>
      </c>
      <c r="V818" s="3">
        <f>$D818*TCA!U818/100</f>
        <v>0</v>
      </c>
      <c r="W818" s="3">
        <f>$D818*TCA!V818/100</f>
        <v>0</v>
      </c>
      <c r="X818" s="3">
        <f>$D818*TCA!W818/100</f>
        <v>0</v>
      </c>
    </row>
    <row r="819" spans="1:24" x14ac:dyDescent="0.25">
      <c r="A819" s="3" t="s">
        <v>2034</v>
      </c>
      <c r="B819" s="3" t="s">
        <v>1612</v>
      </c>
      <c r="C819" s="3" t="s">
        <v>1613</v>
      </c>
      <c r="D819" s="3">
        <v>100</v>
      </c>
      <c r="E819" s="3">
        <f>$D819*TCA!E819/100</f>
        <v>503.33</v>
      </c>
      <c r="F819" s="3">
        <f>$D819*TCA!F819/100</f>
        <v>6.67</v>
      </c>
      <c r="G819" s="3">
        <f>$D819*TCA!G819/100</f>
        <v>23.33</v>
      </c>
      <c r="H819" s="3">
        <f>$D819*TCA!H819/100</f>
        <v>66.67</v>
      </c>
      <c r="I819" s="3">
        <f>$D819*TCA!I819/100</f>
        <v>0</v>
      </c>
      <c r="J819" s="3">
        <f>$D819*TCA!J819/100</f>
        <v>10</v>
      </c>
      <c r="K819" s="3">
        <f>$D819*TCA!K819/100</f>
        <v>10</v>
      </c>
      <c r="L819" s="3">
        <f>$D819*TCA!L819/100</f>
        <v>3.33</v>
      </c>
      <c r="M819" s="3">
        <f>$D819*TCA!M819/100</f>
        <v>0</v>
      </c>
      <c r="N819" s="3">
        <f>$D819*TCA!N819/100</f>
        <v>0</v>
      </c>
      <c r="O819" s="3">
        <f>$D819*TCA!O819/100</f>
        <v>0</v>
      </c>
      <c r="P819" s="3">
        <f t="shared" si="12"/>
        <v>0</v>
      </c>
      <c r="Q819" s="3">
        <f>$D819*TCA!P819/100</f>
        <v>0</v>
      </c>
      <c r="R819" s="3">
        <f>$D819*TCA!Q819/100</f>
        <v>0</v>
      </c>
      <c r="S819" s="3">
        <f>$D819*TCA!R819/100</f>
        <v>733.33</v>
      </c>
      <c r="T819" s="3">
        <f>$D819*TCA!S819/100</f>
        <v>0</v>
      </c>
      <c r="U819" s="3">
        <f>$D819*TCA!T819/100</f>
        <v>0</v>
      </c>
      <c r="V819" s="3">
        <f>$D819*TCA!U819/100</f>
        <v>0</v>
      </c>
      <c r="W819" s="3">
        <f>$D819*TCA!V819/100</f>
        <v>0</v>
      </c>
      <c r="X819" s="3">
        <f>$D819*TCA!W819/100</f>
        <v>0</v>
      </c>
    </row>
    <row r="820" spans="1:24" x14ac:dyDescent="0.25">
      <c r="A820" s="3" t="s">
        <v>2034</v>
      </c>
      <c r="B820" s="3" t="s">
        <v>1614</v>
      </c>
      <c r="C820" s="3" t="s">
        <v>1615</v>
      </c>
      <c r="D820" s="3">
        <v>100</v>
      </c>
      <c r="E820" s="3">
        <f>$D820*TCA!E820/100</f>
        <v>540</v>
      </c>
      <c r="F820" s="3">
        <f>$D820*TCA!F820/100</f>
        <v>4</v>
      </c>
      <c r="G820" s="3">
        <f>$D820*TCA!G820/100</f>
        <v>28</v>
      </c>
      <c r="H820" s="3">
        <f>$D820*TCA!H820/100</f>
        <v>68</v>
      </c>
      <c r="I820" s="3">
        <f>$D820*TCA!I820/100</f>
        <v>0</v>
      </c>
      <c r="J820" s="3">
        <f>$D820*TCA!J820/100</f>
        <v>12</v>
      </c>
      <c r="K820" s="3">
        <f>$D820*TCA!K820/100</f>
        <v>12</v>
      </c>
      <c r="L820" s="3">
        <f>$D820*TCA!L820/100</f>
        <v>4</v>
      </c>
      <c r="M820" s="3">
        <f>$D820*TCA!M820/100</f>
        <v>0</v>
      </c>
      <c r="N820" s="3">
        <f>$D820*TCA!N820/100</f>
        <v>0</v>
      </c>
      <c r="O820" s="3">
        <f>$D820*TCA!O820/100</f>
        <v>0</v>
      </c>
      <c r="P820" s="3">
        <f t="shared" si="12"/>
        <v>0</v>
      </c>
      <c r="Q820" s="3">
        <f>$D820*TCA!P820/100</f>
        <v>0</v>
      </c>
      <c r="R820" s="3">
        <f>$D820*TCA!Q820/100</f>
        <v>0</v>
      </c>
      <c r="S820" s="3">
        <f>$D820*TCA!R820/100</f>
        <v>0</v>
      </c>
      <c r="T820" s="3">
        <f>$D820*TCA!S820/100</f>
        <v>0</v>
      </c>
      <c r="U820" s="3">
        <f>$D820*TCA!T820/100</f>
        <v>0</v>
      </c>
      <c r="V820" s="3">
        <f>$D820*TCA!U820/100</f>
        <v>0</v>
      </c>
      <c r="W820" s="3">
        <f>$D820*TCA!V820/100</f>
        <v>0</v>
      </c>
      <c r="X820" s="3">
        <f>$D820*TCA!W820/100</f>
        <v>0</v>
      </c>
    </row>
    <row r="821" spans="1:24" x14ac:dyDescent="0.25">
      <c r="A821" s="3" t="s">
        <v>2034</v>
      </c>
      <c r="B821" s="3" t="s">
        <v>1616</v>
      </c>
      <c r="C821" s="3" t="s">
        <v>1617</v>
      </c>
      <c r="D821" s="3">
        <v>100</v>
      </c>
      <c r="E821" s="3">
        <f>$D821*TCA!E821/100</f>
        <v>486</v>
      </c>
      <c r="F821" s="3">
        <f>$D821*TCA!F821/100</f>
        <v>6</v>
      </c>
      <c r="G821" s="3">
        <f>$D821*TCA!G821/100</f>
        <v>22</v>
      </c>
      <c r="H821" s="3">
        <f>$D821*TCA!H821/100</f>
        <v>66</v>
      </c>
      <c r="I821" s="3">
        <f>$D821*TCA!I821/100</f>
        <v>0</v>
      </c>
      <c r="J821" s="3">
        <f>$D821*TCA!J821/100</f>
        <v>8</v>
      </c>
      <c r="K821" s="3">
        <f>$D821*TCA!K821/100</f>
        <v>10</v>
      </c>
      <c r="L821" s="3">
        <f>$D821*TCA!L821/100</f>
        <v>4</v>
      </c>
      <c r="M821" s="3">
        <f>$D821*TCA!M821/100</f>
        <v>0</v>
      </c>
      <c r="N821" s="3">
        <f>$D821*TCA!N821/100</f>
        <v>0</v>
      </c>
      <c r="O821" s="3">
        <f>$D821*TCA!O821/100</f>
        <v>0</v>
      </c>
      <c r="P821" s="3">
        <f t="shared" si="12"/>
        <v>0</v>
      </c>
      <c r="Q821" s="3">
        <f>$D821*TCA!P821/100</f>
        <v>0</v>
      </c>
      <c r="R821" s="3">
        <f>$D821*TCA!Q821/100</f>
        <v>0</v>
      </c>
      <c r="S821" s="3">
        <f>$D821*TCA!R821/100</f>
        <v>300</v>
      </c>
      <c r="T821" s="3">
        <f>$D821*TCA!S821/100</f>
        <v>0</v>
      </c>
      <c r="U821" s="3">
        <f>$D821*TCA!T821/100</f>
        <v>0</v>
      </c>
      <c r="V821" s="3">
        <f>$D821*TCA!U821/100</f>
        <v>0</v>
      </c>
      <c r="W821" s="3">
        <f>$D821*TCA!V821/100</f>
        <v>0</v>
      </c>
      <c r="X821" s="3">
        <f>$D821*TCA!W821/100</f>
        <v>0</v>
      </c>
    </row>
    <row r="822" spans="1:24" x14ac:dyDescent="0.25">
      <c r="A822" s="3" t="s">
        <v>2034</v>
      </c>
      <c r="B822" s="3" t="s">
        <v>1618</v>
      </c>
      <c r="C822" s="3" t="s">
        <v>1619</v>
      </c>
      <c r="D822" s="3">
        <v>100</v>
      </c>
      <c r="E822" s="3">
        <f>$D822*TCA!E822/100</f>
        <v>514</v>
      </c>
      <c r="F822" s="3">
        <f>$D822*TCA!F822/100</f>
        <v>6</v>
      </c>
      <c r="G822" s="3">
        <f>$D822*TCA!G822/100</f>
        <v>26</v>
      </c>
      <c r="H822" s="3">
        <f>$D822*TCA!H822/100</f>
        <v>64</v>
      </c>
      <c r="I822" s="3">
        <f>$D822*TCA!I822/100</f>
        <v>0</v>
      </c>
      <c r="J822" s="3">
        <f>$D822*TCA!J822/100</f>
        <v>12</v>
      </c>
      <c r="K822" s="3">
        <f>$D822*TCA!K822/100</f>
        <v>10</v>
      </c>
      <c r="L822" s="3">
        <f>$D822*TCA!L822/100</f>
        <v>4</v>
      </c>
      <c r="M822" s="3">
        <f>$D822*TCA!M822/100</f>
        <v>0</v>
      </c>
      <c r="N822" s="3">
        <f>$D822*TCA!N822/100</f>
        <v>0</v>
      </c>
      <c r="O822" s="3">
        <f>$D822*TCA!O822/100</f>
        <v>0</v>
      </c>
      <c r="P822" s="3">
        <f t="shared" si="12"/>
        <v>0</v>
      </c>
      <c r="Q822" s="3">
        <f>$D822*TCA!P822/100</f>
        <v>0</v>
      </c>
      <c r="R822" s="3">
        <f>$D822*TCA!Q822/100</f>
        <v>0</v>
      </c>
      <c r="S822" s="3">
        <f>$D822*TCA!R822/100</f>
        <v>660</v>
      </c>
      <c r="T822" s="3">
        <f>$D822*TCA!S822/100</f>
        <v>0</v>
      </c>
      <c r="U822" s="3">
        <f>$D822*TCA!T822/100</f>
        <v>0</v>
      </c>
      <c r="V822" s="3">
        <f>$D822*TCA!U822/100</f>
        <v>0</v>
      </c>
      <c r="W822" s="3">
        <f>$D822*TCA!V822/100</f>
        <v>0</v>
      </c>
      <c r="X822" s="3">
        <f>$D822*TCA!W822/100</f>
        <v>0</v>
      </c>
    </row>
    <row r="823" spans="1:24" x14ac:dyDescent="0.25">
      <c r="A823" s="3" t="s">
        <v>2034</v>
      </c>
      <c r="B823" s="3" t="s">
        <v>1620</v>
      </c>
      <c r="C823" s="3" t="s">
        <v>1621</v>
      </c>
      <c r="D823" s="3">
        <v>100</v>
      </c>
      <c r="E823" s="3">
        <f>$D823*TCA!E823/100</f>
        <v>490</v>
      </c>
      <c r="F823" s="3">
        <f>$D823*TCA!F823/100</f>
        <v>6.67</v>
      </c>
      <c r="G823" s="3">
        <f>$D823*TCA!G823/100</f>
        <v>23.33</v>
      </c>
      <c r="H823" s="3">
        <f>$D823*TCA!H823/100</f>
        <v>63.33</v>
      </c>
      <c r="I823" s="3">
        <f>$D823*TCA!I823/100</f>
        <v>0</v>
      </c>
      <c r="J823" s="3">
        <f>$D823*TCA!J823/100</f>
        <v>8.33</v>
      </c>
      <c r="K823" s="3">
        <f>$D823*TCA!K823/100</f>
        <v>10</v>
      </c>
      <c r="L823" s="3">
        <f>$D823*TCA!L823/100</f>
        <v>5</v>
      </c>
      <c r="M823" s="3">
        <f>$D823*TCA!M823/100</f>
        <v>0</v>
      </c>
      <c r="N823" s="3">
        <f>$D823*TCA!N823/100</f>
        <v>0</v>
      </c>
      <c r="O823" s="3">
        <f>$D823*TCA!O823/100</f>
        <v>0</v>
      </c>
      <c r="P823" s="3">
        <f t="shared" si="12"/>
        <v>0</v>
      </c>
      <c r="Q823" s="3">
        <f>$D823*TCA!P823/100</f>
        <v>0</v>
      </c>
      <c r="R823" s="3">
        <f>$D823*TCA!Q823/100</f>
        <v>0</v>
      </c>
      <c r="S823" s="3">
        <f>$D823*TCA!R823/100</f>
        <v>966.67</v>
      </c>
      <c r="T823" s="3">
        <f>$D823*TCA!S823/100</f>
        <v>0</v>
      </c>
      <c r="U823" s="3">
        <f>$D823*TCA!T823/100</f>
        <v>0</v>
      </c>
      <c r="V823" s="3">
        <f>$D823*TCA!U823/100</f>
        <v>0</v>
      </c>
      <c r="W823" s="3">
        <f>$D823*TCA!V823/100</f>
        <v>0</v>
      </c>
      <c r="X823" s="3">
        <f>$D823*TCA!W823/100</f>
        <v>0</v>
      </c>
    </row>
    <row r="824" spans="1:24" x14ac:dyDescent="0.25">
      <c r="A824" s="3" t="s">
        <v>2034</v>
      </c>
      <c r="B824" s="3" t="s">
        <v>1622</v>
      </c>
      <c r="C824" s="3" t="s">
        <v>1623</v>
      </c>
      <c r="D824" s="3">
        <v>100</v>
      </c>
      <c r="E824" s="3">
        <f>$D824*TCA!E824/100</f>
        <v>495</v>
      </c>
      <c r="F824" s="3">
        <f>$D824*TCA!F824/100</f>
        <v>5</v>
      </c>
      <c r="G824" s="3">
        <f>$D824*TCA!G824/100</f>
        <v>25</v>
      </c>
      <c r="H824" s="3">
        <f>$D824*TCA!H824/100</f>
        <v>62.5</v>
      </c>
      <c r="I824" s="3">
        <f>$D824*TCA!I824/100</f>
        <v>0</v>
      </c>
      <c r="J824" s="3">
        <f>$D824*TCA!J824/100</f>
        <v>10</v>
      </c>
      <c r="K824" s="3">
        <f>$D824*TCA!K824/100</f>
        <v>12.5</v>
      </c>
      <c r="L824" s="3">
        <f>$D824*TCA!L824/100</f>
        <v>2.5</v>
      </c>
      <c r="M824" s="3">
        <f>$D824*TCA!M824/100</f>
        <v>0</v>
      </c>
      <c r="N824" s="3">
        <f>$D824*TCA!N824/100</f>
        <v>0</v>
      </c>
      <c r="O824" s="3">
        <f>$D824*TCA!O824/100</f>
        <v>0</v>
      </c>
      <c r="P824" s="3">
        <f t="shared" si="12"/>
        <v>0</v>
      </c>
      <c r="Q824" s="3">
        <f>$D824*TCA!P824/100</f>
        <v>0</v>
      </c>
      <c r="R824" s="3">
        <f>$D824*TCA!Q824/100</f>
        <v>0</v>
      </c>
      <c r="S824" s="3">
        <f>$D824*TCA!R824/100</f>
        <v>1925</v>
      </c>
      <c r="T824" s="3">
        <f>$D824*TCA!S824/100</f>
        <v>0</v>
      </c>
      <c r="U824" s="3">
        <f>$D824*TCA!T824/100</f>
        <v>0</v>
      </c>
      <c r="V824" s="3">
        <f>$D824*TCA!U824/100</f>
        <v>0</v>
      </c>
      <c r="W824" s="3">
        <f>$D824*TCA!V824/100</f>
        <v>0</v>
      </c>
      <c r="X824" s="3">
        <f>$D824*TCA!W824/100</f>
        <v>0</v>
      </c>
    </row>
    <row r="825" spans="1:24" x14ac:dyDescent="0.25">
      <c r="A825" s="3" t="s">
        <v>2034</v>
      </c>
      <c r="B825" s="3" t="s">
        <v>1624</v>
      </c>
      <c r="C825" s="3" t="s">
        <v>1625</v>
      </c>
      <c r="D825" s="3">
        <v>100</v>
      </c>
      <c r="E825" s="3">
        <f>$D825*TCA!E825/100</f>
        <v>503.33</v>
      </c>
      <c r="F825" s="3">
        <f>$D825*TCA!F825/100</f>
        <v>6.67</v>
      </c>
      <c r="G825" s="3">
        <f>$D825*TCA!G825/100</f>
        <v>23.33</v>
      </c>
      <c r="H825" s="3">
        <f>$D825*TCA!H825/100</f>
        <v>66.67</v>
      </c>
      <c r="I825" s="3">
        <f>$D825*TCA!I825/100</f>
        <v>0</v>
      </c>
      <c r="J825" s="3">
        <f>$D825*TCA!J825/100</f>
        <v>10</v>
      </c>
      <c r="K825" s="3">
        <f>$D825*TCA!K825/100</f>
        <v>10</v>
      </c>
      <c r="L825" s="3">
        <f>$D825*TCA!L825/100</f>
        <v>3.33</v>
      </c>
      <c r="M825" s="3">
        <f>$D825*TCA!M825/100</f>
        <v>0</v>
      </c>
      <c r="N825" s="3">
        <f>$D825*TCA!N825/100</f>
        <v>0</v>
      </c>
      <c r="O825" s="3">
        <f>$D825*TCA!O825/100</f>
        <v>0</v>
      </c>
      <c r="P825" s="3">
        <f t="shared" si="12"/>
        <v>0</v>
      </c>
      <c r="Q825" s="3">
        <f>$D825*TCA!P825/100</f>
        <v>0</v>
      </c>
      <c r="R825" s="3">
        <f>$D825*TCA!Q825/100</f>
        <v>0</v>
      </c>
      <c r="S825" s="3">
        <f>$D825*TCA!R825/100</f>
        <v>733.33</v>
      </c>
      <c r="T825" s="3">
        <f>$D825*TCA!S825/100</f>
        <v>0</v>
      </c>
      <c r="U825" s="3">
        <f>$D825*TCA!T825/100</f>
        <v>0</v>
      </c>
      <c r="V825" s="3">
        <f>$D825*TCA!U825/100</f>
        <v>0</v>
      </c>
      <c r="W825" s="3">
        <f>$D825*TCA!V825/100</f>
        <v>0</v>
      </c>
      <c r="X825" s="3">
        <f>$D825*TCA!W825/100</f>
        <v>0</v>
      </c>
    </row>
    <row r="826" spans="1:24" x14ac:dyDescent="0.25">
      <c r="A826" s="3" t="s">
        <v>2034</v>
      </c>
      <c r="B826" s="3" t="s">
        <v>1626</v>
      </c>
      <c r="C826" s="3" t="s">
        <v>1627</v>
      </c>
      <c r="D826" s="3">
        <v>100</v>
      </c>
      <c r="E826" s="3">
        <f>$D826*TCA!E826/100</f>
        <v>493.33</v>
      </c>
      <c r="F826" s="3">
        <f>$D826*TCA!F826/100</f>
        <v>6.67</v>
      </c>
      <c r="G826" s="3">
        <f>$D826*TCA!G826/100</f>
        <v>22.22</v>
      </c>
      <c r="H826" s="3">
        <f>$D826*TCA!H826/100</f>
        <v>66.67</v>
      </c>
      <c r="I826" s="3">
        <f>$D826*TCA!I826/100</f>
        <v>0</v>
      </c>
      <c r="J826" s="3">
        <f>$D826*TCA!J826/100</f>
        <v>8.89</v>
      </c>
      <c r="K826" s="3">
        <f>$D826*TCA!K826/100</f>
        <v>8.89</v>
      </c>
      <c r="L826" s="3">
        <f>$D826*TCA!L826/100</f>
        <v>4.4400000000000004</v>
      </c>
      <c r="M826" s="3">
        <f>$D826*TCA!M826/100</f>
        <v>0</v>
      </c>
      <c r="N826" s="3">
        <f>$D826*TCA!N826/100</f>
        <v>0</v>
      </c>
      <c r="O826" s="3">
        <f>$D826*TCA!O826/100</f>
        <v>0</v>
      </c>
      <c r="P826" s="3">
        <f t="shared" si="12"/>
        <v>0</v>
      </c>
      <c r="Q826" s="3">
        <f>$D826*TCA!P826/100</f>
        <v>0</v>
      </c>
      <c r="R826" s="3">
        <f>$D826*TCA!Q826/100</f>
        <v>0</v>
      </c>
      <c r="S826" s="3">
        <f>$D826*TCA!R826/100</f>
        <v>288.89</v>
      </c>
      <c r="T826" s="3">
        <f>$D826*TCA!S826/100</f>
        <v>0</v>
      </c>
      <c r="U826" s="3">
        <f>$D826*TCA!T826/100</f>
        <v>0</v>
      </c>
      <c r="V826" s="3">
        <f>$D826*TCA!U826/100</f>
        <v>0</v>
      </c>
      <c r="W826" s="3">
        <f>$D826*TCA!V826/100</f>
        <v>0</v>
      </c>
      <c r="X826" s="3">
        <f>$D826*TCA!W826/100</f>
        <v>0</v>
      </c>
    </row>
    <row r="827" spans="1:24" x14ac:dyDescent="0.25">
      <c r="A827" s="3" t="s">
        <v>2034</v>
      </c>
      <c r="B827" s="3" t="s">
        <v>1628</v>
      </c>
      <c r="C827" s="3" t="s">
        <v>1629</v>
      </c>
      <c r="D827" s="3">
        <v>100</v>
      </c>
      <c r="E827" s="3">
        <f>$D827*TCA!E827/100</f>
        <v>504.44</v>
      </c>
      <c r="F827" s="3">
        <f>$D827*TCA!F827/100</f>
        <v>6.67</v>
      </c>
      <c r="G827" s="3">
        <f>$D827*TCA!G827/100</f>
        <v>24.44</v>
      </c>
      <c r="H827" s="3">
        <f>$D827*TCA!H827/100</f>
        <v>64.44</v>
      </c>
      <c r="I827" s="3">
        <f>$D827*TCA!I827/100</f>
        <v>0</v>
      </c>
      <c r="J827" s="3">
        <f>$D827*TCA!J827/100</f>
        <v>8.89</v>
      </c>
      <c r="K827" s="3">
        <f>$D827*TCA!K827/100</f>
        <v>8.89</v>
      </c>
      <c r="L827" s="3">
        <f>$D827*TCA!L827/100</f>
        <v>4.4400000000000004</v>
      </c>
      <c r="M827" s="3">
        <f>$D827*TCA!M827/100</f>
        <v>0</v>
      </c>
      <c r="N827" s="3">
        <f>$D827*TCA!N827/100</f>
        <v>0</v>
      </c>
      <c r="O827" s="3">
        <f>$D827*TCA!O827/100</f>
        <v>0</v>
      </c>
      <c r="P827" s="3">
        <f t="shared" si="12"/>
        <v>0</v>
      </c>
      <c r="Q827" s="3">
        <f>$D827*TCA!P827/100</f>
        <v>0</v>
      </c>
      <c r="R827" s="3">
        <f>$D827*TCA!Q827/100</f>
        <v>0</v>
      </c>
      <c r="S827" s="3">
        <f>$D827*TCA!R827/100</f>
        <v>511.11</v>
      </c>
      <c r="T827" s="3">
        <f>$D827*TCA!S827/100</f>
        <v>0</v>
      </c>
      <c r="U827" s="3">
        <f>$D827*TCA!T827/100</f>
        <v>0</v>
      </c>
      <c r="V827" s="3">
        <f>$D827*TCA!U827/100</f>
        <v>0</v>
      </c>
      <c r="W827" s="3">
        <f>$D827*TCA!V827/100</f>
        <v>0</v>
      </c>
      <c r="X827" s="3">
        <f>$D827*TCA!W827/100</f>
        <v>0</v>
      </c>
    </row>
    <row r="828" spans="1:24" x14ac:dyDescent="0.25">
      <c r="A828" s="3" t="s">
        <v>2034</v>
      </c>
      <c r="B828" s="3" t="s">
        <v>1630</v>
      </c>
      <c r="C828" s="3" t="s">
        <v>1631</v>
      </c>
      <c r="D828" s="3">
        <v>100</v>
      </c>
      <c r="E828" s="3">
        <f>$D828*TCA!E828/100</f>
        <v>483.33</v>
      </c>
      <c r="F828" s="3">
        <f>$D828*TCA!F828/100</f>
        <v>10</v>
      </c>
      <c r="G828" s="3">
        <f>$D828*TCA!G828/100</f>
        <v>16.670000000000002</v>
      </c>
      <c r="H828" s="3">
        <f>$D828*TCA!H828/100</f>
        <v>73.33</v>
      </c>
      <c r="I828" s="3">
        <f>$D828*TCA!I828/100</f>
        <v>0</v>
      </c>
      <c r="J828" s="3">
        <f>$D828*TCA!J828/100</f>
        <v>5</v>
      </c>
      <c r="K828" s="3">
        <f>$D828*TCA!K828/100</f>
        <v>6.67</v>
      </c>
      <c r="L828" s="3">
        <f>$D828*TCA!L828/100</f>
        <v>5</v>
      </c>
      <c r="M828" s="3">
        <f>$D828*TCA!M828/100</f>
        <v>0</v>
      </c>
      <c r="N828" s="3">
        <f>$D828*TCA!N828/100</f>
        <v>0</v>
      </c>
      <c r="O828" s="3">
        <f>$D828*TCA!O828/100</f>
        <v>0</v>
      </c>
      <c r="P828" s="3">
        <f t="shared" si="12"/>
        <v>0</v>
      </c>
      <c r="Q828" s="3">
        <f>$D828*TCA!P828/100</f>
        <v>0</v>
      </c>
      <c r="R828" s="3">
        <f>$D828*TCA!Q828/100</f>
        <v>0</v>
      </c>
      <c r="S828" s="3">
        <f>$D828*TCA!R828/100</f>
        <v>40</v>
      </c>
      <c r="T828" s="3">
        <f>$D828*TCA!S828/100</f>
        <v>0</v>
      </c>
      <c r="U828" s="3">
        <f>$D828*TCA!T828/100</f>
        <v>0</v>
      </c>
      <c r="V828" s="3">
        <f>$D828*TCA!U828/100</f>
        <v>0</v>
      </c>
      <c r="W828" s="3">
        <f>$D828*TCA!V828/100</f>
        <v>0</v>
      </c>
      <c r="X828" s="3">
        <f>$D828*TCA!W828/100</f>
        <v>0</v>
      </c>
    </row>
    <row r="829" spans="1:24" x14ac:dyDescent="0.25">
      <c r="A829" s="3" t="s">
        <v>2034</v>
      </c>
      <c r="B829" s="3" t="s">
        <v>1632</v>
      </c>
      <c r="C829" s="3" t="s">
        <v>1633</v>
      </c>
      <c r="D829" s="3">
        <v>100</v>
      </c>
      <c r="E829" s="3">
        <f>$D829*TCA!E829/100</f>
        <v>476.67</v>
      </c>
      <c r="F829" s="3">
        <f>$D829*TCA!F829/100</f>
        <v>6.67</v>
      </c>
      <c r="G829" s="3">
        <f>$D829*TCA!G829/100</f>
        <v>23.33</v>
      </c>
      <c r="H829" s="3">
        <f>$D829*TCA!H829/100</f>
        <v>60</v>
      </c>
      <c r="I829" s="3">
        <f>$D829*TCA!I829/100</f>
        <v>0</v>
      </c>
      <c r="J829" s="3">
        <f>$D829*TCA!J829/100</f>
        <v>13.33</v>
      </c>
      <c r="K829" s="3">
        <f>$D829*TCA!K829/100</f>
        <v>8.33</v>
      </c>
      <c r="L829" s="3">
        <f>$D829*TCA!L829/100</f>
        <v>1.67</v>
      </c>
      <c r="M829" s="3">
        <f>$D829*TCA!M829/100</f>
        <v>0</v>
      </c>
      <c r="N829" s="3">
        <f>$D829*TCA!N829/100</f>
        <v>0</v>
      </c>
      <c r="O829" s="3">
        <f>$D829*TCA!O829/100</f>
        <v>0</v>
      </c>
      <c r="P829" s="3">
        <f t="shared" si="12"/>
        <v>0</v>
      </c>
      <c r="Q829" s="3">
        <f>$D829*TCA!P829/100</f>
        <v>0</v>
      </c>
      <c r="R829" s="3">
        <f>$D829*TCA!Q829/100</f>
        <v>0</v>
      </c>
      <c r="S829" s="3">
        <f>$D829*TCA!R829/100</f>
        <v>966.67</v>
      </c>
      <c r="T829" s="3">
        <f>$D829*TCA!S829/100</f>
        <v>0</v>
      </c>
      <c r="U829" s="3">
        <f>$D829*TCA!T829/100</f>
        <v>0</v>
      </c>
      <c r="V829" s="3">
        <f>$D829*TCA!U829/100</f>
        <v>0</v>
      </c>
      <c r="W829" s="3">
        <f>$D829*TCA!V829/100</f>
        <v>0</v>
      </c>
      <c r="X829" s="3">
        <f>$D829*TCA!W829/100</f>
        <v>0</v>
      </c>
    </row>
    <row r="830" spans="1:24" x14ac:dyDescent="0.25">
      <c r="A830" s="3" t="s">
        <v>2034</v>
      </c>
      <c r="B830" s="3" t="s">
        <v>1634</v>
      </c>
      <c r="C830" s="3" t="s">
        <v>1635</v>
      </c>
      <c r="D830" s="3">
        <v>100</v>
      </c>
      <c r="E830" s="3">
        <f>$D830*TCA!E830/100</f>
        <v>560</v>
      </c>
      <c r="F830" s="3">
        <f>$D830*TCA!F830/100</f>
        <v>50</v>
      </c>
      <c r="G830" s="3">
        <f>$D830*TCA!G830/100</f>
        <v>40</v>
      </c>
      <c r="H830" s="3">
        <f>$D830*TCA!H830/100</f>
        <v>0</v>
      </c>
      <c r="I830" s="3">
        <f>$D830*TCA!I830/100</f>
        <v>0</v>
      </c>
      <c r="J830" s="3">
        <f>$D830*TCA!J830/100</f>
        <v>16.670000000000002</v>
      </c>
      <c r="K830" s="3">
        <f>$D830*TCA!K830/100</f>
        <v>13.33</v>
      </c>
      <c r="L830" s="3">
        <f>$D830*TCA!L830/100</f>
        <v>10</v>
      </c>
      <c r="M830" s="3">
        <f>$D830*TCA!M830/100</f>
        <v>16.670000000000002</v>
      </c>
      <c r="N830" s="3">
        <f>$D830*TCA!N830/100</f>
        <v>0</v>
      </c>
      <c r="O830" s="3">
        <f>$D830*TCA!O830/100</f>
        <v>0</v>
      </c>
      <c r="P830" s="3">
        <f t="shared" si="12"/>
        <v>0</v>
      </c>
      <c r="Q830" s="3">
        <f>$D830*TCA!P830/100</f>
        <v>0</v>
      </c>
      <c r="R830" s="3">
        <f>$D830*TCA!Q830/100</f>
        <v>0</v>
      </c>
      <c r="S830" s="3">
        <f>$D830*TCA!R830/100</f>
        <v>1966.67</v>
      </c>
      <c r="T830" s="3">
        <f>$D830*TCA!S830/100</f>
        <v>0</v>
      </c>
      <c r="U830" s="3">
        <f>$D830*TCA!T830/100</f>
        <v>0</v>
      </c>
      <c r="V830" s="3">
        <f>$D830*TCA!U830/100</f>
        <v>0</v>
      </c>
      <c r="W830" s="3">
        <f>$D830*TCA!V830/100</f>
        <v>0</v>
      </c>
      <c r="X830" s="3">
        <f>$D830*TCA!W830/100</f>
        <v>0</v>
      </c>
    </row>
    <row r="831" spans="1:24" x14ac:dyDescent="0.25">
      <c r="A831" s="3" t="s">
        <v>2034</v>
      </c>
      <c r="B831" s="3" t="s">
        <v>1636</v>
      </c>
      <c r="C831" s="3" t="s">
        <v>1637</v>
      </c>
      <c r="D831" s="3">
        <v>100</v>
      </c>
      <c r="E831" s="3">
        <f>$D831*TCA!E831/100</f>
        <v>553.33000000000004</v>
      </c>
      <c r="F831" s="3">
        <f>$D831*TCA!F831/100</f>
        <v>63.33</v>
      </c>
      <c r="G831" s="3">
        <f>$D831*TCA!G831/100</f>
        <v>33.33</v>
      </c>
      <c r="H831" s="3">
        <f>$D831*TCA!H831/100</f>
        <v>0</v>
      </c>
      <c r="I831" s="3">
        <f>$D831*TCA!I831/100</f>
        <v>0</v>
      </c>
      <c r="J831" s="3">
        <f>$D831*TCA!J831/100</f>
        <v>13.33</v>
      </c>
      <c r="K831" s="3">
        <f>$D831*TCA!K831/100</f>
        <v>16.670000000000002</v>
      </c>
      <c r="L831" s="3">
        <f>$D831*TCA!L831/100</f>
        <v>3.33</v>
      </c>
      <c r="M831" s="3">
        <f>$D831*TCA!M831/100</f>
        <v>96.67</v>
      </c>
      <c r="N831" s="3">
        <f>$D831*TCA!N831/100</f>
        <v>0</v>
      </c>
      <c r="O831" s="3">
        <f>$D831*TCA!O831/100</f>
        <v>0</v>
      </c>
      <c r="P831" s="3">
        <f t="shared" si="12"/>
        <v>0</v>
      </c>
      <c r="Q831" s="3">
        <f>$D831*TCA!P831/100</f>
        <v>0</v>
      </c>
      <c r="R831" s="3">
        <f>$D831*TCA!Q831/100</f>
        <v>0</v>
      </c>
      <c r="S831" s="3">
        <f>$D831*TCA!R831/100</f>
        <v>1600</v>
      </c>
      <c r="T831" s="3">
        <f>$D831*TCA!S831/100</f>
        <v>0</v>
      </c>
      <c r="U831" s="3">
        <f>$D831*TCA!T831/100</f>
        <v>0</v>
      </c>
      <c r="V831" s="3">
        <f>$D831*TCA!U831/100</f>
        <v>0</v>
      </c>
      <c r="W831" s="3">
        <f>$D831*TCA!V831/100</f>
        <v>0</v>
      </c>
      <c r="X831" s="3">
        <f>$D831*TCA!W831/100</f>
        <v>0</v>
      </c>
    </row>
    <row r="832" spans="1:24" x14ac:dyDescent="0.25">
      <c r="A832" s="3" t="s">
        <v>2034</v>
      </c>
      <c r="B832" s="3" t="s">
        <v>1638</v>
      </c>
      <c r="C832" s="3" t="s">
        <v>1639</v>
      </c>
      <c r="D832" s="3">
        <v>100</v>
      </c>
      <c r="E832" s="3">
        <f>$D832*TCA!E832/100</f>
        <v>540</v>
      </c>
      <c r="F832" s="3">
        <f>$D832*TCA!F832/100</f>
        <v>60</v>
      </c>
      <c r="G832" s="3">
        <f>$D832*TCA!G832/100</f>
        <v>33.33</v>
      </c>
      <c r="H832" s="3">
        <f>$D832*TCA!H832/100</f>
        <v>0</v>
      </c>
      <c r="I832" s="3">
        <f>$D832*TCA!I832/100</f>
        <v>0</v>
      </c>
      <c r="J832" s="3">
        <f>$D832*TCA!J832/100</f>
        <v>13.33</v>
      </c>
      <c r="K832" s="3">
        <f>$D832*TCA!K832/100</f>
        <v>13.33</v>
      </c>
      <c r="L832" s="3">
        <f>$D832*TCA!L832/100</f>
        <v>0</v>
      </c>
      <c r="M832" s="3">
        <f>$D832*TCA!M832/100</f>
        <v>80</v>
      </c>
      <c r="N832" s="3">
        <f>$D832*TCA!N832/100</f>
        <v>0</v>
      </c>
      <c r="O832" s="3">
        <f>$D832*TCA!O832/100</f>
        <v>0</v>
      </c>
      <c r="P832" s="3">
        <f t="shared" si="12"/>
        <v>0</v>
      </c>
      <c r="Q832" s="3">
        <f>$D832*TCA!P832/100</f>
        <v>0</v>
      </c>
      <c r="R832" s="3">
        <f>$D832*TCA!Q832/100</f>
        <v>0</v>
      </c>
      <c r="S832" s="3">
        <f>$D832*TCA!R832/100</f>
        <v>1600</v>
      </c>
      <c r="T832" s="3">
        <f>$D832*TCA!S832/100</f>
        <v>0</v>
      </c>
      <c r="U832" s="3">
        <f>$D832*TCA!T832/100</f>
        <v>0</v>
      </c>
      <c r="V832" s="3">
        <f>$D832*TCA!U832/100</f>
        <v>0</v>
      </c>
      <c r="W832" s="3">
        <f>$D832*TCA!V832/100</f>
        <v>0</v>
      </c>
      <c r="X832" s="3">
        <f>$D832*TCA!W832/100</f>
        <v>0</v>
      </c>
    </row>
    <row r="833" spans="1:24" x14ac:dyDescent="0.25">
      <c r="A833" s="3" t="s">
        <v>2034</v>
      </c>
      <c r="B833" s="3" t="s">
        <v>1640</v>
      </c>
      <c r="C833" s="3" t="s">
        <v>1641</v>
      </c>
      <c r="D833" s="3">
        <v>100</v>
      </c>
      <c r="E833" s="3">
        <f>$D833*TCA!E833/100</f>
        <v>540</v>
      </c>
      <c r="F833" s="3">
        <f>$D833*TCA!F833/100</f>
        <v>60</v>
      </c>
      <c r="G833" s="3">
        <f>$D833*TCA!G833/100</f>
        <v>33.33</v>
      </c>
      <c r="H833" s="3">
        <f>$D833*TCA!H833/100</f>
        <v>0</v>
      </c>
      <c r="I833" s="3">
        <f>$D833*TCA!I833/100</f>
        <v>0</v>
      </c>
      <c r="J833" s="3">
        <f>$D833*TCA!J833/100</f>
        <v>13.33</v>
      </c>
      <c r="K833" s="3">
        <f>$D833*TCA!K833/100</f>
        <v>16.670000000000002</v>
      </c>
      <c r="L833" s="3">
        <f>$D833*TCA!L833/100</f>
        <v>3.33</v>
      </c>
      <c r="M833" s="3">
        <f>$D833*TCA!M833/100</f>
        <v>93.33</v>
      </c>
      <c r="N833" s="3">
        <f>$D833*TCA!N833/100</f>
        <v>0</v>
      </c>
      <c r="O833" s="3">
        <f>$D833*TCA!O833/100</f>
        <v>0</v>
      </c>
      <c r="P833" s="3">
        <f t="shared" si="12"/>
        <v>0</v>
      </c>
      <c r="Q833" s="3">
        <f>$D833*TCA!P833/100</f>
        <v>0</v>
      </c>
      <c r="R833" s="3">
        <f>$D833*TCA!Q833/100</f>
        <v>0</v>
      </c>
      <c r="S833" s="3">
        <f>$D833*TCA!R833/100</f>
        <v>1896.67</v>
      </c>
      <c r="T833" s="3">
        <f>$D833*TCA!S833/100</f>
        <v>0</v>
      </c>
      <c r="U833" s="3">
        <f>$D833*TCA!T833/100</f>
        <v>0</v>
      </c>
      <c r="V833" s="3">
        <f>$D833*TCA!U833/100</f>
        <v>0</v>
      </c>
      <c r="W833" s="3">
        <f>$D833*TCA!V833/100</f>
        <v>0</v>
      </c>
      <c r="X833" s="3">
        <f>$D833*TCA!W833/100</f>
        <v>0</v>
      </c>
    </row>
    <row r="834" spans="1:24" x14ac:dyDescent="0.25">
      <c r="A834" s="3" t="s">
        <v>2034</v>
      </c>
      <c r="B834" s="3" t="s">
        <v>1642</v>
      </c>
      <c r="C834" s="3" t="s">
        <v>1643</v>
      </c>
      <c r="D834" s="3">
        <v>100</v>
      </c>
      <c r="E834" s="3">
        <f>$D834*TCA!E834/100</f>
        <v>540</v>
      </c>
      <c r="F834" s="3">
        <f>$D834*TCA!F834/100</f>
        <v>60</v>
      </c>
      <c r="G834" s="3">
        <f>$D834*TCA!G834/100</f>
        <v>33.33</v>
      </c>
      <c r="H834" s="3">
        <f>$D834*TCA!H834/100</f>
        <v>0</v>
      </c>
      <c r="I834" s="3">
        <f>$D834*TCA!I834/100</f>
        <v>0</v>
      </c>
      <c r="J834" s="3">
        <f>$D834*TCA!J834/100</f>
        <v>16.670000000000002</v>
      </c>
      <c r="K834" s="3">
        <f>$D834*TCA!K834/100</f>
        <v>13.33</v>
      </c>
      <c r="L834" s="3">
        <f>$D834*TCA!L834/100</f>
        <v>3.33</v>
      </c>
      <c r="M834" s="3">
        <f>$D834*TCA!M834/100</f>
        <v>86.67</v>
      </c>
      <c r="N834" s="3">
        <f>$D834*TCA!N834/100</f>
        <v>0</v>
      </c>
      <c r="O834" s="3">
        <f>$D834*TCA!O834/100</f>
        <v>0</v>
      </c>
      <c r="P834" s="3">
        <f t="shared" si="12"/>
        <v>0</v>
      </c>
      <c r="Q834" s="3">
        <f>$D834*TCA!P834/100</f>
        <v>0</v>
      </c>
      <c r="R834" s="3">
        <f>$D834*TCA!Q834/100</f>
        <v>0</v>
      </c>
      <c r="S834" s="3">
        <f>$D834*TCA!R834/100</f>
        <v>1600</v>
      </c>
      <c r="T834" s="3">
        <f>$D834*TCA!S834/100</f>
        <v>0</v>
      </c>
      <c r="U834" s="3">
        <f>$D834*TCA!T834/100</f>
        <v>0</v>
      </c>
      <c r="V834" s="3">
        <f>$D834*TCA!U834/100</f>
        <v>0</v>
      </c>
      <c r="W834" s="3">
        <f>$D834*TCA!V834/100</f>
        <v>0</v>
      </c>
      <c r="X834" s="3">
        <f>$D834*TCA!W834/100</f>
        <v>0</v>
      </c>
    </row>
    <row r="835" spans="1:24" x14ac:dyDescent="0.25">
      <c r="A835" s="3" t="s">
        <v>2034</v>
      </c>
      <c r="B835" s="3" t="s">
        <v>1644</v>
      </c>
      <c r="C835" s="3" t="s">
        <v>1645</v>
      </c>
      <c r="D835" s="3">
        <v>100</v>
      </c>
      <c r="E835" s="3">
        <f>$D835*TCA!E835/100</f>
        <v>548</v>
      </c>
      <c r="F835" s="3">
        <f>$D835*TCA!F835/100</f>
        <v>4</v>
      </c>
      <c r="G835" s="3">
        <f>$D835*TCA!G835/100</f>
        <v>36</v>
      </c>
      <c r="H835" s="3">
        <f>$D835*TCA!H835/100</f>
        <v>52</v>
      </c>
      <c r="I835" s="3">
        <f>$D835*TCA!I835/100</f>
        <v>4</v>
      </c>
      <c r="J835" s="3">
        <f>$D835*TCA!J835/100</f>
        <v>8</v>
      </c>
      <c r="K835" s="3">
        <f>$D835*TCA!K835/100</f>
        <v>0</v>
      </c>
      <c r="L835" s="3">
        <f>$D835*TCA!L835/100</f>
        <v>0</v>
      </c>
      <c r="M835" s="3">
        <f>$D835*TCA!M835/100</f>
        <v>0</v>
      </c>
      <c r="N835" s="3">
        <f>$D835*TCA!N835/100</f>
        <v>0</v>
      </c>
      <c r="O835" s="3">
        <f>$D835*TCA!O835/100</f>
        <v>0</v>
      </c>
      <c r="P835" s="3">
        <f t="shared" si="12"/>
        <v>0</v>
      </c>
      <c r="Q835" s="3">
        <f>$D835*TCA!P835/100</f>
        <v>0</v>
      </c>
      <c r="R835" s="3">
        <f>$D835*TCA!Q835/100</f>
        <v>0</v>
      </c>
      <c r="S835" s="3">
        <f>$D835*TCA!R835/100</f>
        <v>792</v>
      </c>
      <c r="T835" s="3">
        <f>$D835*TCA!S835/100</f>
        <v>0</v>
      </c>
      <c r="U835" s="3">
        <f>$D835*TCA!T835/100</f>
        <v>0</v>
      </c>
      <c r="V835" s="3">
        <f>$D835*TCA!U835/100</f>
        <v>0</v>
      </c>
      <c r="W835" s="3">
        <f>$D835*TCA!V835/100</f>
        <v>0</v>
      </c>
      <c r="X835" s="3">
        <f>$D835*TCA!W835/100</f>
        <v>0</v>
      </c>
    </row>
    <row r="836" spans="1:24" x14ac:dyDescent="0.25">
      <c r="A836" s="3" t="s">
        <v>2034</v>
      </c>
      <c r="B836" s="3" t="s">
        <v>1646</v>
      </c>
      <c r="C836" s="3" t="s">
        <v>1647</v>
      </c>
      <c r="D836" s="3">
        <v>100</v>
      </c>
      <c r="E836" s="3">
        <f>$D836*TCA!E836/100</f>
        <v>536.66999999999996</v>
      </c>
      <c r="F836" s="3">
        <f>$D836*TCA!F836/100</f>
        <v>3.33</v>
      </c>
      <c r="G836" s="3">
        <f>$D836*TCA!G836/100</f>
        <v>30</v>
      </c>
      <c r="H836" s="3">
        <f>$D836*TCA!H836/100</f>
        <v>63.33</v>
      </c>
      <c r="I836" s="3">
        <f>$D836*TCA!I836/100</f>
        <v>0</v>
      </c>
      <c r="J836" s="3">
        <f>$D836*TCA!J836/100</f>
        <v>10</v>
      </c>
      <c r="K836" s="3">
        <f>$D836*TCA!K836/100</f>
        <v>13.33</v>
      </c>
      <c r="L836" s="3">
        <f>$D836*TCA!L836/100</f>
        <v>10</v>
      </c>
      <c r="M836" s="3">
        <f>$D836*TCA!M836/100</f>
        <v>0</v>
      </c>
      <c r="N836" s="3">
        <f>$D836*TCA!N836/100</f>
        <v>0</v>
      </c>
      <c r="O836" s="3">
        <f>$D836*TCA!O836/100</f>
        <v>0</v>
      </c>
      <c r="P836" s="3">
        <f t="shared" ref="P836:P899" si="13">O836/F836</f>
        <v>0</v>
      </c>
      <c r="Q836" s="3">
        <f>$D836*TCA!P836/100</f>
        <v>0</v>
      </c>
      <c r="R836" s="3">
        <f>$D836*TCA!Q836/100</f>
        <v>0</v>
      </c>
      <c r="S836" s="3">
        <f>$D836*TCA!R836/100</f>
        <v>50</v>
      </c>
      <c r="T836" s="3">
        <f>$D836*TCA!S836/100</f>
        <v>0</v>
      </c>
      <c r="U836" s="3">
        <f>$D836*TCA!T836/100</f>
        <v>0</v>
      </c>
      <c r="V836" s="3">
        <f>$D836*TCA!U836/100</f>
        <v>0</v>
      </c>
      <c r="W836" s="3">
        <f>$D836*TCA!V836/100</f>
        <v>0</v>
      </c>
      <c r="X836" s="3">
        <f>$D836*TCA!W836/100</f>
        <v>0</v>
      </c>
    </row>
    <row r="837" spans="1:24" x14ac:dyDescent="0.25">
      <c r="A837" s="3" t="s">
        <v>2034</v>
      </c>
      <c r="B837" s="3" t="s">
        <v>1648</v>
      </c>
      <c r="C837" s="3" t="s">
        <v>1649</v>
      </c>
      <c r="D837" s="3">
        <v>100</v>
      </c>
      <c r="E837" s="3">
        <f>$D837*TCA!E837/100</f>
        <v>515.55999999999995</v>
      </c>
      <c r="F837" s="3">
        <f>$D837*TCA!F837/100</f>
        <v>0</v>
      </c>
      <c r="G837" s="3">
        <f>$D837*TCA!G837/100</f>
        <v>26.67</v>
      </c>
      <c r="H837" s="3">
        <f>$D837*TCA!H837/100</f>
        <v>68.89</v>
      </c>
      <c r="I837" s="3">
        <f>$D837*TCA!I837/100</f>
        <v>0</v>
      </c>
      <c r="J837" s="3">
        <f>$D837*TCA!J837/100</f>
        <v>11.11</v>
      </c>
      <c r="K837" s="3">
        <f>$D837*TCA!K837/100</f>
        <v>11.11</v>
      </c>
      <c r="L837" s="3">
        <f>$D837*TCA!L837/100</f>
        <v>4.4400000000000004</v>
      </c>
      <c r="M837" s="3">
        <f>$D837*TCA!M837/100</f>
        <v>0</v>
      </c>
      <c r="N837" s="3">
        <f>$D837*TCA!N837/100</f>
        <v>0</v>
      </c>
      <c r="O837" s="3">
        <f>$D837*TCA!O837/100</f>
        <v>0</v>
      </c>
      <c r="P837" s="3" t="e">
        <f t="shared" si="13"/>
        <v>#DIV/0!</v>
      </c>
      <c r="Q837" s="3">
        <f>$D837*TCA!P837/100</f>
        <v>0</v>
      </c>
      <c r="R837" s="3">
        <f>$D837*TCA!Q837/100</f>
        <v>0</v>
      </c>
      <c r="S837" s="3">
        <f>$D837*TCA!R837/100</f>
        <v>33.33</v>
      </c>
      <c r="T837" s="3">
        <f>$D837*TCA!S837/100</f>
        <v>0</v>
      </c>
      <c r="U837" s="3">
        <f>$D837*TCA!T837/100</f>
        <v>0</v>
      </c>
      <c r="V837" s="3">
        <f>$D837*TCA!U837/100</f>
        <v>0</v>
      </c>
      <c r="W837" s="3">
        <f>$D837*TCA!V837/100</f>
        <v>0</v>
      </c>
      <c r="X837" s="3">
        <f>$D837*TCA!W837/100</f>
        <v>0</v>
      </c>
    </row>
    <row r="838" spans="1:24" x14ac:dyDescent="0.25">
      <c r="A838" s="3" t="s">
        <v>2034</v>
      </c>
      <c r="B838" s="3" t="s">
        <v>1650</v>
      </c>
      <c r="C838" s="3" t="s">
        <v>1651</v>
      </c>
      <c r="D838" s="3">
        <v>100</v>
      </c>
      <c r="E838" s="3">
        <f>$D838*TCA!E838/100</f>
        <v>451.11</v>
      </c>
      <c r="F838" s="3">
        <f>$D838*TCA!F838/100</f>
        <v>8.89</v>
      </c>
      <c r="G838" s="3">
        <f>$D838*TCA!G838/100</f>
        <v>15.56</v>
      </c>
      <c r="H838" s="3">
        <f>$D838*TCA!H838/100</f>
        <v>68.89</v>
      </c>
      <c r="I838" s="3">
        <f>$D838*TCA!I838/100</f>
        <v>0</v>
      </c>
      <c r="J838" s="3">
        <f>$D838*TCA!J838/100</f>
        <v>5.56</v>
      </c>
      <c r="K838" s="3">
        <f>$D838*TCA!K838/100</f>
        <v>6.67</v>
      </c>
      <c r="L838" s="3">
        <f>$D838*TCA!L838/100</f>
        <v>5.56</v>
      </c>
      <c r="M838" s="3">
        <f>$D838*TCA!M838/100</f>
        <v>0</v>
      </c>
      <c r="N838" s="3">
        <f>$D838*TCA!N838/100</f>
        <v>0</v>
      </c>
      <c r="O838" s="3">
        <f>$D838*TCA!O838/100</f>
        <v>0</v>
      </c>
      <c r="P838" s="3">
        <f t="shared" si="13"/>
        <v>0</v>
      </c>
      <c r="Q838" s="3">
        <f>$D838*TCA!P838/100</f>
        <v>0</v>
      </c>
      <c r="R838" s="3">
        <f>$D838*TCA!Q838/100</f>
        <v>0</v>
      </c>
      <c r="S838" s="3">
        <f>$D838*TCA!R838/100</f>
        <v>600</v>
      </c>
      <c r="T838" s="3">
        <f>$D838*TCA!S838/100</f>
        <v>0</v>
      </c>
      <c r="U838" s="3">
        <f>$D838*TCA!T838/100</f>
        <v>0</v>
      </c>
      <c r="V838" s="3">
        <f>$D838*TCA!U838/100</f>
        <v>0</v>
      </c>
      <c r="W838" s="3">
        <f>$D838*TCA!V838/100</f>
        <v>0</v>
      </c>
      <c r="X838" s="3">
        <f>$D838*TCA!W838/100</f>
        <v>0</v>
      </c>
    </row>
    <row r="839" spans="1:24" x14ac:dyDescent="0.25">
      <c r="A839" s="3" t="s">
        <v>2034</v>
      </c>
      <c r="B839" s="3" t="s">
        <v>1652</v>
      </c>
      <c r="C839" s="3" t="s">
        <v>1653</v>
      </c>
      <c r="D839" s="3">
        <v>100</v>
      </c>
      <c r="E839" s="3">
        <f>$D839*TCA!E839/100</f>
        <v>451.11</v>
      </c>
      <c r="F839" s="3">
        <f>$D839*TCA!F839/100</f>
        <v>8.89</v>
      </c>
      <c r="G839" s="3">
        <f>$D839*TCA!G839/100</f>
        <v>15.56</v>
      </c>
      <c r="H839" s="3">
        <f>$D839*TCA!H839/100</f>
        <v>68.89</v>
      </c>
      <c r="I839" s="3">
        <f>$D839*TCA!I839/100</f>
        <v>0</v>
      </c>
      <c r="J839" s="3">
        <f>$D839*TCA!J839/100</f>
        <v>5.56</v>
      </c>
      <c r="K839" s="3">
        <f>$D839*TCA!K839/100</f>
        <v>6.67</v>
      </c>
      <c r="L839" s="3">
        <f>$D839*TCA!L839/100</f>
        <v>5.56</v>
      </c>
      <c r="M839" s="3">
        <f>$D839*TCA!M839/100</f>
        <v>0</v>
      </c>
      <c r="N839" s="3">
        <f>$D839*TCA!N839/100</f>
        <v>0</v>
      </c>
      <c r="O839" s="3">
        <f>$D839*TCA!O839/100</f>
        <v>0</v>
      </c>
      <c r="P839" s="3">
        <f t="shared" si="13"/>
        <v>0</v>
      </c>
      <c r="Q839" s="3">
        <f>$D839*TCA!P839/100</f>
        <v>0</v>
      </c>
      <c r="R839" s="3">
        <f>$D839*TCA!Q839/100</f>
        <v>0</v>
      </c>
      <c r="S839" s="3">
        <f>$D839*TCA!R839/100</f>
        <v>577.78</v>
      </c>
      <c r="T839" s="3">
        <f>$D839*TCA!S839/100</f>
        <v>0</v>
      </c>
      <c r="U839" s="3">
        <f>$D839*TCA!T839/100</f>
        <v>0</v>
      </c>
      <c r="V839" s="3">
        <f>$D839*TCA!U839/100</f>
        <v>0</v>
      </c>
      <c r="W839" s="3">
        <f>$D839*TCA!V839/100</f>
        <v>0</v>
      </c>
      <c r="X839" s="3">
        <f>$D839*TCA!W839/100</f>
        <v>0</v>
      </c>
    </row>
    <row r="840" spans="1:24" x14ac:dyDescent="0.25">
      <c r="A840" s="3" t="s">
        <v>2034</v>
      </c>
      <c r="B840" s="3" t="s">
        <v>1654</v>
      </c>
      <c r="C840" s="3" t="s">
        <v>1655</v>
      </c>
      <c r="D840" s="3">
        <v>100</v>
      </c>
      <c r="E840" s="3">
        <f>$D840*TCA!E840/100</f>
        <v>207</v>
      </c>
      <c r="F840" s="3">
        <f>$D840*TCA!F840/100</f>
        <v>4</v>
      </c>
      <c r="G840" s="3">
        <f>$D840*TCA!G840/100</f>
        <v>7</v>
      </c>
      <c r="H840" s="3">
        <f>$D840*TCA!H840/100</f>
        <v>32</v>
      </c>
      <c r="I840" s="3">
        <f>$D840*TCA!I840/100</f>
        <v>0</v>
      </c>
      <c r="J840" s="3">
        <f>$D840*TCA!J840/100</f>
        <v>2</v>
      </c>
      <c r="K840" s="3">
        <f>$D840*TCA!K840/100</f>
        <v>1.5</v>
      </c>
      <c r="L840" s="3">
        <f>$D840*TCA!L840/100</f>
        <v>3</v>
      </c>
      <c r="M840" s="3">
        <f>$D840*TCA!M840/100</f>
        <v>0</v>
      </c>
      <c r="N840" s="3">
        <f>$D840*TCA!N840/100</f>
        <v>0</v>
      </c>
      <c r="O840" s="3">
        <f>$D840*TCA!O840/100</f>
        <v>0</v>
      </c>
      <c r="P840" s="3">
        <f t="shared" si="13"/>
        <v>0</v>
      </c>
      <c r="Q840" s="3">
        <f>$D840*TCA!P840/100</f>
        <v>0</v>
      </c>
      <c r="R840" s="3">
        <f>$D840*TCA!Q840/100</f>
        <v>0</v>
      </c>
      <c r="S840" s="3">
        <f>$D840*TCA!R840/100</f>
        <v>240</v>
      </c>
      <c r="T840" s="3">
        <f>$D840*TCA!S840/100</f>
        <v>0</v>
      </c>
      <c r="U840" s="3">
        <f>$D840*TCA!T840/100</f>
        <v>0</v>
      </c>
      <c r="V840" s="3">
        <f>$D840*TCA!U840/100</f>
        <v>0</v>
      </c>
      <c r="W840" s="3">
        <f>$D840*TCA!V840/100</f>
        <v>0</v>
      </c>
      <c r="X840" s="3">
        <f>$D840*TCA!W840/100</f>
        <v>0</v>
      </c>
    </row>
    <row r="841" spans="1:24" x14ac:dyDescent="0.25">
      <c r="A841" s="3" t="s">
        <v>2034</v>
      </c>
      <c r="B841" s="3" t="s">
        <v>1656</v>
      </c>
      <c r="C841" s="3" t="s">
        <v>1657</v>
      </c>
      <c r="D841" s="3">
        <v>100</v>
      </c>
      <c r="E841" s="3">
        <f>$D841*TCA!E841/100</f>
        <v>549.4</v>
      </c>
      <c r="F841" s="3">
        <f>$D841*TCA!F841/100</f>
        <v>8.5</v>
      </c>
      <c r="G841" s="3">
        <f>$D841*TCA!G841/100</f>
        <v>33</v>
      </c>
      <c r="H841" s="3">
        <f>$D841*TCA!H841/100</f>
        <v>54.6</v>
      </c>
      <c r="I841" s="3">
        <f>$D841*TCA!I841/100</f>
        <v>1.6</v>
      </c>
      <c r="J841" s="3">
        <f>$D841*TCA!J841/100</f>
        <v>20.5</v>
      </c>
      <c r="K841" s="3">
        <f>$D841*TCA!K841/100</f>
        <v>10.5</v>
      </c>
      <c r="L841" s="3">
        <f>$D841*TCA!L841/100</f>
        <v>1.4</v>
      </c>
      <c r="M841" s="3">
        <f>$D841*TCA!M841/100</f>
        <v>19.8</v>
      </c>
      <c r="N841" s="3">
        <f>$D841*TCA!N841/100</f>
        <v>0</v>
      </c>
      <c r="O841" s="3">
        <f>$D841*TCA!O841/100</f>
        <v>0</v>
      </c>
      <c r="P841" s="3">
        <f t="shared" si="13"/>
        <v>0</v>
      </c>
      <c r="Q841" s="3">
        <f>$D841*TCA!P841/100</f>
        <v>0</v>
      </c>
      <c r="R841" s="3">
        <f>$D841*TCA!Q841/100</f>
        <v>0</v>
      </c>
      <c r="S841" s="3">
        <f>$D841*TCA!R841/100</f>
        <v>115.3</v>
      </c>
      <c r="T841" s="3">
        <f>$D841*TCA!S841/100</f>
        <v>0</v>
      </c>
      <c r="U841" s="3">
        <f>$D841*TCA!T841/100</f>
        <v>0</v>
      </c>
      <c r="V841" s="3">
        <f>$D841*TCA!U841/100</f>
        <v>0</v>
      </c>
      <c r="W841" s="3">
        <f>$D841*TCA!V841/100</f>
        <v>0</v>
      </c>
      <c r="X841" s="3">
        <f>$D841*TCA!W841/100</f>
        <v>0</v>
      </c>
    </row>
    <row r="842" spans="1:24" x14ac:dyDescent="0.25">
      <c r="A842" s="3" t="s">
        <v>2034</v>
      </c>
      <c r="B842" s="3" t="s">
        <v>1658</v>
      </c>
      <c r="C842" s="3" t="s">
        <v>1659</v>
      </c>
      <c r="D842" s="3">
        <v>100</v>
      </c>
      <c r="E842" s="3">
        <f>$D842*TCA!E842/100</f>
        <v>564.29</v>
      </c>
      <c r="F842" s="3">
        <f>$D842*TCA!F842/100</f>
        <v>10.71</v>
      </c>
      <c r="G842" s="3">
        <f>$D842*TCA!G842/100</f>
        <v>35.71</v>
      </c>
      <c r="H842" s="3">
        <f>$D842*TCA!H842/100</f>
        <v>50</v>
      </c>
      <c r="I842" s="3">
        <f>$D842*TCA!I842/100</f>
        <v>0</v>
      </c>
      <c r="J842" s="3">
        <f>$D842*TCA!J842/100</f>
        <v>17.86</v>
      </c>
      <c r="K842" s="3">
        <f>$D842*TCA!K842/100</f>
        <v>14.29</v>
      </c>
      <c r="L842" s="3">
        <f>$D842*TCA!L842/100</f>
        <v>3.57</v>
      </c>
      <c r="M842" s="3">
        <f>$D842*TCA!M842/100</f>
        <v>21.43</v>
      </c>
      <c r="N842" s="3">
        <f>$D842*TCA!N842/100</f>
        <v>0</v>
      </c>
      <c r="O842" s="3">
        <f>$D842*TCA!O842/100</f>
        <v>0</v>
      </c>
      <c r="P842" s="3">
        <f t="shared" si="13"/>
        <v>0</v>
      </c>
      <c r="Q842" s="3">
        <f>$D842*TCA!P842/100</f>
        <v>0</v>
      </c>
      <c r="R842" s="3">
        <f>$D842*TCA!Q842/100</f>
        <v>0</v>
      </c>
      <c r="S842" s="3">
        <f>$D842*TCA!R842/100</f>
        <v>89.29</v>
      </c>
      <c r="T842" s="3">
        <f>$D842*TCA!S842/100</f>
        <v>0</v>
      </c>
      <c r="U842" s="3">
        <f>$D842*TCA!T842/100</f>
        <v>0</v>
      </c>
      <c r="V842" s="3">
        <f>$D842*TCA!U842/100</f>
        <v>0</v>
      </c>
      <c r="W842" s="3">
        <f>$D842*TCA!V842/100</f>
        <v>0</v>
      </c>
      <c r="X842" s="3">
        <f>$D842*TCA!W842/100</f>
        <v>0</v>
      </c>
    </row>
    <row r="843" spans="1:24" x14ac:dyDescent="0.25">
      <c r="A843" s="3" t="s">
        <v>2034</v>
      </c>
      <c r="B843" s="3" t="s">
        <v>1660</v>
      </c>
      <c r="C843" s="3" t="s">
        <v>1661</v>
      </c>
      <c r="D843" s="3">
        <v>100</v>
      </c>
      <c r="E843" s="3">
        <f>$D843*TCA!E843/100</f>
        <v>588</v>
      </c>
      <c r="F843" s="3">
        <f>$D843*TCA!F843/100</f>
        <v>16</v>
      </c>
      <c r="G843" s="3">
        <f>$D843*TCA!G843/100</f>
        <v>44</v>
      </c>
      <c r="H843" s="3">
        <f>$D843*TCA!H843/100</f>
        <v>32</v>
      </c>
      <c r="I843" s="3">
        <f>$D843*TCA!I843/100</f>
        <v>0</v>
      </c>
      <c r="J843" s="3">
        <f>$D843*TCA!J843/100</f>
        <v>12</v>
      </c>
      <c r="K843" s="3">
        <f>$D843*TCA!K843/100</f>
        <v>8</v>
      </c>
      <c r="L843" s="3">
        <f>$D843*TCA!L843/100</f>
        <v>24</v>
      </c>
      <c r="M843" s="3">
        <f>$D843*TCA!M843/100</f>
        <v>0</v>
      </c>
      <c r="N843" s="3">
        <f>$D843*TCA!N843/100</f>
        <v>0</v>
      </c>
      <c r="O843" s="3">
        <f>$D843*TCA!O843/100</f>
        <v>0</v>
      </c>
      <c r="P843" s="3">
        <f t="shared" si="13"/>
        <v>0</v>
      </c>
      <c r="Q843" s="3">
        <f>$D843*TCA!P843/100</f>
        <v>0</v>
      </c>
      <c r="R843" s="3">
        <f>$D843*TCA!Q843/100</f>
        <v>0</v>
      </c>
      <c r="S843" s="3">
        <f>$D843*TCA!R843/100</f>
        <v>80</v>
      </c>
      <c r="T843" s="3">
        <f>$D843*TCA!S843/100</f>
        <v>0</v>
      </c>
      <c r="U843" s="3">
        <f>$D843*TCA!T843/100</f>
        <v>0</v>
      </c>
      <c r="V843" s="3">
        <f>$D843*TCA!U843/100</f>
        <v>0</v>
      </c>
      <c r="W843" s="3">
        <f>$D843*TCA!V843/100</f>
        <v>0</v>
      </c>
      <c r="X843" s="3">
        <f>$D843*TCA!W843/100</f>
        <v>0</v>
      </c>
    </row>
    <row r="844" spans="1:24" x14ac:dyDescent="0.25">
      <c r="A844" s="3" t="s">
        <v>2034</v>
      </c>
      <c r="B844" s="3" t="s">
        <v>1662</v>
      </c>
      <c r="C844" s="3" t="s">
        <v>1663</v>
      </c>
      <c r="D844" s="3">
        <v>100</v>
      </c>
      <c r="E844" s="3">
        <f>$D844*TCA!E844/100</f>
        <v>426.65</v>
      </c>
      <c r="F844" s="3">
        <f>$D844*TCA!F844/100</f>
        <v>20</v>
      </c>
      <c r="G844" s="3">
        <f>$D844*TCA!G844/100</f>
        <v>13.33</v>
      </c>
      <c r="H844" s="3">
        <f>$D844*TCA!H844/100</f>
        <v>56.67</v>
      </c>
      <c r="I844" s="3">
        <f>$D844*TCA!I844/100</f>
        <v>3.33</v>
      </c>
      <c r="J844" s="3">
        <f>$D844*TCA!J844/100</f>
        <v>3.33</v>
      </c>
      <c r="K844" s="3">
        <f>$D844*TCA!K844/100</f>
        <v>3.33</v>
      </c>
      <c r="L844" s="3">
        <f>$D844*TCA!L844/100</f>
        <v>6.67</v>
      </c>
      <c r="M844" s="3">
        <f>$D844*TCA!M844/100</f>
        <v>0</v>
      </c>
      <c r="N844" s="3">
        <f>$D844*TCA!N844/100</f>
        <v>0</v>
      </c>
      <c r="O844" s="3">
        <f>$D844*TCA!O844/100</f>
        <v>0</v>
      </c>
      <c r="P844" s="3">
        <f t="shared" si="13"/>
        <v>0</v>
      </c>
      <c r="Q844" s="3">
        <f>$D844*TCA!P844/100</f>
        <v>0</v>
      </c>
      <c r="R844" s="3">
        <f>$D844*TCA!Q844/100</f>
        <v>0</v>
      </c>
      <c r="S844" s="3">
        <f>$D844*TCA!R844/100</f>
        <v>316.67</v>
      </c>
      <c r="T844" s="3">
        <f>$D844*TCA!S844/100</f>
        <v>0</v>
      </c>
      <c r="U844" s="3">
        <f>$D844*TCA!T844/100</f>
        <v>0</v>
      </c>
      <c r="V844" s="3">
        <f>$D844*TCA!U844/100</f>
        <v>0</v>
      </c>
      <c r="W844" s="3">
        <f>$D844*TCA!V844/100</f>
        <v>0</v>
      </c>
      <c r="X844" s="3">
        <f>$D844*TCA!W844/100</f>
        <v>0</v>
      </c>
    </row>
    <row r="845" spans="1:24" x14ac:dyDescent="0.25">
      <c r="A845" s="3" t="s">
        <v>2034</v>
      </c>
      <c r="B845" s="3" t="s">
        <v>1664</v>
      </c>
      <c r="C845" s="3" t="s">
        <v>1665</v>
      </c>
      <c r="D845" s="3">
        <v>100</v>
      </c>
      <c r="E845" s="3">
        <f>$D845*TCA!E845/100</f>
        <v>443.35</v>
      </c>
      <c r="F845" s="3">
        <f>$D845*TCA!F845/100</f>
        <v>20</v>
      </c>
      <c r="G845" s="3">
        <f>$D845*TCA!G845/100</f>
        <v>16.670000000000002</v>
      </c>
      <c r="H845" s="3">
        <f>$D845*TCA!H845/100</f>
        <v>53.33</v>
      </c>
      <c r="I845" s="3">
        <f>$D845*TCA!I845/100</f>
        <v>3.33</v>
      </c>
      <c r="J845" s="3">
        <f>$D845*TCA!J845/100</f>
        <v>3.33</v>
      </c>
      <c r="K845" s="3">
        <f>$D845*TCA!K845/100</f>
        <v>6.67</v>
      </c>
      <c r="L845" s="3">
        <f>$D845*TCA!L845/100</f>
        <v>6.67</v>
      </c>
      <c r="M845" s="3">
        <f>$D845*TCA!M845/100</f>
        <v>0</v>
      </c>
      <c r="N845" s="3">
        <f>$D845*TCA!N845/100</f>
        <v>0</v>
      </c>
      <c r="O845" s="3">
        <f>$D845*TCA!O845/100</f>
        <v>0</v>
      </c>
      <c r="P845" s="3">
        <f t="shared" si="13"/>
        <v>0</v>
      </c>
      <c r="Q845" s="3">
        <f>$D845*TCA!P845/100</f>
        <v>0</v>
      </c>
      <c r="R845" s="3">
        <f>$D845*TCA!Q845/100</f>
        <v>0</v>
      </c>
      <c r="S845" s="3">
        <f>$D845*TCA!R845/100</f>
        <v>200</v>
      </c>
      <c r="T845" s="3">
        <f>$D845*TCA!S845/100</f>
        <v>0</v>
      </c>
      <c r="U845" s="3">
        <f>$D845*TCA!T845/100</f>
        <v>0</v>
      </c>
      <c r="V845" s="3">
        <f>$D845*TCA!U845/100</f>
        <v>0</v>
      </c>
      <c r="W845" s="3">
        <f>$D845*TCA!V845/100</f>
        <v>0</v>
      </c>
      <c r="X845" s="3">
        <f>$D845*TCA!W845/100</f>
        <v>0</v>
      </c>
    </row>
    <row r="846" spans="1:24" x14ac:dyDescent="0.25">
      <c r="A846" s="3" t="s">
        <v>2034</v>
      </c>
      <c r="B846" s="3" t="s">
        <v>1666</v>
      </c>
      <c r="C846" s="3" t="s">
        <v>1667</v>
      </c>
      <c r="D846" s="3">
        <v>100</v>
      </c>
      <c r="E846" s="3">
        <f>$D846*TCA!E846/100</f>
        <v>443.35</v>
      </c>
      <c r="F846" s="3">
        <f>$D846*TCA!F846/100</f>
        <v>20</v>
      </c>
      <c r="G846" s="3">
        <f>$D846*TCA!G846/100</f>
        <v>16.670000000000002</v>
      </c>
      <c r="H846" s="3">
        <f>$D846*TCA!H846/100</f>
        <v>53.33</v>
      </c>
      <c r="I846" s="3">
        <f>$D846*TCA!I846/100</f>
        <v>3.33</v>
      </c>
      <c r="J846" s="3">
        <f>$D846*TCA!J846/100</f>
        <v>3.33</v>
      </c>
      <c r="K846" s="3">
        <f>$D846*TCA!K846/100</f>
        <v>6.67</v>
      </c>
      <c r="L846" s="3">
        <f>$D846*TCA!L846/100</f>
        <v>6.67</v>
      </c>
      <c r="M846" s="3">
        <f>$D846*TCA!M846/100</f>
        <v>0</v>
      </c>
      <c r="N846" s="3">
        <f>$D846*TCA!N846/100</f>
        <v>0</v>
      </c>
      <c r="O846" s="3">
        <f>$D846*TCA!O846/100</f>
        <v>0</v>
      </c>
      <c r="P846" s="3">
        <f t="shared" si="13"/>
        <v>0</v>
      </c>
      <c r="Q846" s="3">
        <f>$D846*TCA!P846/100</f>
        <v>0</v>
      </c>
      <c r="R846" s="3">
        <f>$D846*TCA!Q846/100</f>
        <v>0</v>
      </c>
      <c r="S846" s="3">
        <f>$D846*TCA!R846/100</f>
        <v>200</v>
      </c>
      <c r="T846" s="3">
        <f>$D846*TCA!S846/100</f>
        <v>0</v>
      </c>
      <c r="U846" s="3">
        <f>$D846*TCA!T846/100</f>
        <v>0</v>
      </c>
      <c r="V846" s="3">
        <f>$D846*TCA!U846/100</f>
        <v>0</v>
      </c>
      <c r="W846" s="3">
        <f>$D846*TCA!V846/100</f>
        <v>0</v>
      </c>
      <c r="X846" s="3">
        <f>$D846*TCA!W846/100</f>
        <v>0</v>
      </c>
    </row>
    <row r="847" spans="1:24" x14ac:dyDescent="0.25">
      <c r="A847" s="3" t="s">
        <v>2034</v>
      </c>
      <c r="B847" s="3" t="s">
        <v>1668</v>
      </c>
      <c r="C847" s="3" t="s">
        <v>1669</v>
      </c>
      <c r="D847" s="3">
        <v>100</v>
      </c>
      <c r="E847" s="3">
        <f>$D847*TCA!E847/100</f>
        <v>430</v>
      </c>
      <c r="F847" s="3">
        <f>$D847*TCA!F847/100</f>
        <v>25</v>
      </c>
      <c r="G847" s="3">
        <f>$D847*TCA!G847/100</f>
        <v>10</v>
      </c>
      <c r="H847" s="3">
        <f>$D847*TCA!H847/100</f>
        <v>60</v>
      </c>
      <c r="I847" s="3">
        <f>$D847*TCA!I847/100</f>
        <v>0</v>
      </c>
      <c r="J847" s="3">
        <f>$D847*TCA!J847/100</f>
        <v>2.5</v>
      </c>
      <c r="K847" s="3">
        <f>$D847*TCA!K847/100</f>
        <v>2.5</v>
      </c>
      <c r="L847" s="3">
        <f>$D847*TCA!L847/100</f>
        <v>5</v>
      </c>
      <c r="M847" s="3">
        <f>$D847*TCA!M847/100</f>
        <v>0</v>
      </c>
      <c r="N847" s="3">
        <f>$D847*TCA!N847/100</f>
        <v>0</v>
      </c>
      <c r="O847" s="3">
        <f>$D847*TCA!O847/100</f>
        <v>0</v>
      </c>
      <c r="P847" s="3">
        <f t="shared" si="13"/>
        <v>0</v>
      </c>
      <c r="Q847" s="3">
        <f>$D847*TCA!P847/100</f>
        <v>0</v>
      </c>
      <c r="R847" s="3">
        <f>$D847*TCA!Q847/100</f>
        <v>0</v>
      </c>
      <c r="S847" s="3">
        <f>$D847*TCA!R847/100</f>
        <v>400</v>
      </c>
      <c r="T847" s="3">
        <f>$D847*TCA!S847/100</f>
        <v>0</v>
      </c>
      <c r="U847" s="3">
        <f>$D847*TCA!T847/100</f>
        <v>0</v>
      </c>
      <c r="V847" s="3">
        <f>$D847*TCA!U847/100</f>
        <v>0</v>
      </c>
      <c r="W847" s="3">
        <f>$D847*TCA!V847/100</f>
        <v>0</v>
      </c>
      <c r="X847" s="3">
        <f>$D847*TCA!W847/100</f>
        <v>0</v>
      </c>
    </row>
    <row r="848" spans="1:24" x14ac:dyDescent="0.25">
      <c r="A848" s="3" t="s">
        <v>2034</v>
      </c>
      <c r="B848" s="3" t="s">
        <v>1670</v>
      </c>
      <c r="C848" s="3" t="s">
        <v>1671</v>
      </c>
      <c r="D848" s="3">
        <v>100</v>
      </c>
      <c r="E848" s="3">
        <f>$D848*TCA!E848/100</f>
        <v>553.33000000000004</v>
      </c>
      <c r="F848" s="3">
        <f>$D848*TCA!F848/100</f>
        <v>6.67</v>
      </c>
      <c r="G848" s="3">
        <f>$D848*TCA!G848/100</f>
        <v>33.33</v>
      </c>
      <c r="H848" s="3">
        <f>$D848*TCA!H848/100</f>
        <v>56.67</v>
      </c>
      <c r="I848" s="3">
        <f>$D848*TCA!I848/100</f>
        <v>0</v>
      </c>
      <c r="J848" s="3">
        <f>$D848*TCA!J848/100</f>
        <v>13.33</v>
      </c>
      <c r="K848" s="3">
        <f>$D848*TCA!K848/100</f>
        <v>16.670000000000002</v>
      </c>
      <c r="L848" s="3">
        <f>$D848*TCA!L848/100</f>
        <v>5</v>
      </c>
      <c r="M848" s="3">
        <f>$D848*TCA!M848/100</f>
        <v>0</v>
      </c>
      <c r="N848" s="3">
        <f>$D848*TCA!N848/100</f>
        <v>0</v>
      </c>
      <c r="O848" s="3">
        <f>$D848*TCA!O848/100</f>
        <v>0</v>
      </c>
      <c r="P848" s="3">
        <f t="shared" si="13"/>
        <v>0</v>
      </c>
      <c r="Q848" s="3">
        <f>$D848*TCA!P848/100</f>
        <v>0</v>
      </c>
      <c r="R848" s="3">
        <f>$D848*TCA!Q848/100</f>
        <v>0</v>
      </c>
      <c r="S848" s="3">
        <f>$D848*TCA!R848/100</f>
        <v>800</v>
      </c>
      <c r="T848" s="3">
        <f>$D848*TCA!S848/100</f>
        <v>0</v>
      </c>
      <c r="U848" s="3">
        <f>$D848*TCA!T848/100</f>
        <v>0</v>
      </c>
      <c r="V848" s="3">
        <f>$D848*TCA!U848/100</f>
        <v>0</v>
      </c>
      <c r="W848" s="3">
        <f>$D848*TCA!V848/100</f>
        <v>0</v>
      </c>
      <c r="X848" s="3">
        <f>$D848*TCA!W848/100</f>
        <v>0</v>
      </c>
    </row>
    <row r="849" spans="1:24" x14ac:dyDescent="0.25">
      <c r="A849" s="3" t="s">
        <v>2034</v>
      </c>
      <c r="B849" s="3" t="s">
        <v>1672</v>
      </c>
      <c r="C849" s="3" t="s">
        <v>1673</v>
      </c>
      <c r="D849" s="3">
        <v>100</v>
      </c>
      <c r="E849" s="3">
        <f>$D849*TCA!E849/100</f>
        <v>492.86</v>
      </c>
      <c r="F849" s="3">
        <f>$D849*TCA!F849/100</f>
        <v>21.43</v>
      </c>
      <c r="G849" s="3">
        <f>$D849*TCA!G849/100</f>
        <v>21.43</v>
      </c>
      <c r="H849" s="3">
        <f>$D849*TCA!H849/100</f>
        <v>53.57</v>
      </c>
      <c r="I849" s="3">
        <f>$D849*TCA!I849/100</f>
        <v>0</v>
      </c>
      <c r="J849" s="3">
        <f>$D849*TCA!J849/100</f>
        <v>0</v>
      </c>
      <c r="K849" s="3">
        <f>$D849*TCA!K849/100</f>
        <v>14.29</v>
      </c>
      <c r="L849" s="3">
        <f>$D849*TCA!L849/100</f>
        <v>5.36</v>
      </c>
      <c r="M849" s="3">
        <f>$D849*TCA!M849/100</f>
        <v>0</v>
      </c>
      <c r="N849" s="3">
        <f>$D849*TCA!N849/100</f>
        <v>0</v>
      </c>
      <c r="O849" s="3">
        <f>$D849*TCA!O849/100</f>
        <v>0</v>
      </c>
      <c r="P849" s="3">
        <f t="shared" si="13"/>
        <v>0</v>
      </c>
      <c r="Q849" s="3">
        <f>$D849*TCA!P849/100</f>
        <v>0</v>
      </c>
      <c r="R849" s="3">
        <f>$D849*TCA!Q849/100</f>
        <v>0</v>
      </c>
      <c r="S849" s="3">
        <f>$D849*TCA!R849/100</f>
        <v>607.14</v>
      </c>
      <c r="T849" s="3">
        <f>$D849*TCA!S849/100</f>
        <v>0</v>
      </c>
      <c r="U849" s="3">
        <f>$D849*TCA!T849/100</f>
        <v>0</v>
      </c>
      <c r="V849" s="3">
        <f>$D849*TCA!U849/100</f>
        <v>0</v>
      </c>
      <c r="W849" s="3">
        <f>$D849*TCA!V849/100</f>
        <v>0</v>
      </c>
      <c r="X849" s="3">
        <f>$D849*TCA!W849/100</f>
        <v>0</v>
      </c>
    </row>
    <row r="850" spans="1:24" x14ac:dyDescent="0.25">
      <c r="A850" s="3" t="s">
        <v>2034</v>
      </c>
      <c r="B850" s="3" t="s">
        <v>1674</v>
      </c>
      <c r="C850" s="3" t="s">
        <v>1675</v>
      </c>
      <c r="D850" s="3">
        <v>100</v>
      </c>
      <c r="E850" s="3">
        <f>$D850*TCA!E850/100</f>
        <v>523.33000000000004</v>
      </c>
      <c r="F850" s="3">
        <f>$D850*TCA!F850/100</f>
        <v>26.67</v>
      </c>
      <c r="G850" s="3">
        <f>$D850*TCA!G850/100</f>
        <v>30</v>
      </c>
      <c r="H850" s="3">
        <f>$D850*TCA!H850/100</f>
        <v>36.67</v>
      </c>
      <c r="I850" s="3">
        <f>$D850*TCA!I850/100</f>
        <v>0</v>
      </c>
      <c r="J850" s="3">
        <f>$D850*TCA!J850/100</f>
        <v>13.33</v>
      </c>
      <c r="K850" s="3">
        <f>$D850*TCA!K850/100</f>
        <v>13.33</v>
      </c>
      <c r="L850" s="3">
        <f>$D850*TCA!L850/100</f>
        <v>3.33</v>
      </c>
      <c r="M850" s="3">
        <f>$D850*TCA!M850/100</f>
        <v>30</v>
      </c>
      <c r="N850" s="3">
        <f>$D850*TCA!N850/100</f>
        <v>0</v>
      </c>
      <c r="O850" s="3">
        <f>$D850*TCA!O850/100</f>
        <v>0</v>
      </c>
      <c r="P850" s="3">
        <f t="shared" si="13"/>
        <v>0</v>
      </c>
      <c r="Q850" s="3">
        <f>$D850*TCA!P850/100</f>
        <v>0</v>
      </c>
      <c r="R850" s="3">
        <f>$D850*TCA!Q850/100</f>
        <v>0</v>
      </c>
      <c r="S850" s="3">
        <f>$D850*TCA!R850/100</f>
        <v>900</v>
      </c>
      <c r="T850" s="3">
        <f>$D850*TCA!S850/100</f>
        <v>0</v>
      </c>
      <c r="U850" s="3">
        <f>$D850*TCA!T850/100</f>
        <v>0</v>
      </c>
      <c r="V850" s="3">
        <f>$D850*TCA!U850/100</f>
        <v>0</v>
      </c>
      <c r="W850" s="3">
        <f>$D850*TCA!V850/100</f>
        <v>0</v>
      </c>
      <c r="X850" s="3">
        <f>$D850*TCA!W850/100</f>
        <v>0</v>
      </c>
    </row>
    <row r="851" spans="1:24" x14ac:dyDescent="0.25">
      <c r="A851" s="3" t="s">
        <v>2034</v>
      </c>
      <c r="B851" s="3" t="s">
        <v>1676</v>
      </c>
      <c r="C851" s="3" t="s">
        <v>1677</v>
      </c>
      <c r="D851" s="3">
        <v>100</v>
      </c>
      <c r="E851" s="3">
        <f>$D851*TCA!E851/100</f>
        <v>553.33000000000004</v>
      </c>
      <c r="F851" s="3">
        <f>$D851*TCA!F851/100</f>
        <v>10</v>
      </c>
      <c r="G851" s="3">
        <f>$D851*TCA!G851/100</f>
        <v>33.33</v>
      </c>
      <c r="H851" s="3">
        <f>$D851*TCA!H851/100</f>
        <v>53.33</v>
      </c>
      <c r="I851" s="3">
        <f>$D851*TCA!I851/100</f>
        <v>0</v>
      </c>
      <c r="J851" s="3">
        <f>$D851*TCA!J851/100</f>
        <v>13.33</v>
      </c>
      <c r="K851" s="3">
        <f>$D851*TCA!K851/100</f>
        <v>13.33</v>
      </c>
      <c r="L851" s="3">
        <f>$D851*TCA!L851/100</f>
        <v>6.67</v>
      </c>
      <c r="M851" s="3">
        <f>$D851*TCA!M851/100</f>
        <v>0</v>
      </c>
      <c r="N851" s="3">
        <f>$D851*TCA!N851/100</f>
        <v>0</v>
      </c>
      <c r="O851" s="3">
        <f>$D851*TCA!O851/100</f>
        <v>0</v>
      </c>
      <c r="P851" s="3">
        <f t="shared" si="13"/>
        <v>0</v>
      </c>
      <c r="Q851" s="3">
        <f>$D851*TCA!P851/100</f>
        <v>0</v>
      </c>
      <c r="R851" s="3">
        <f>$D851*TCA!Q851/100</f>
        <v>0</v>
      </c>
      <c r="S851" s="3">
        <f>$D851*TCA!R851/100</f>
        <v>233.33</v>
      </c>
      <c r="T851" s="3">
        <f>$D851*TCA!S851/100</f>
        <v>0</v>
      </c>
      <c r="U851" s="3">
        <f>$D851*TCA!T851/100</f>
        <v>0</v>
      </c>
      <c r="V851" s="3">
        <f>$D851*TCA!U851/100</f>
        <v>0</v>
      </c>
      <c r="W851" s="3">
        <f>$D851*TCA!V851/100</f>
        <v>0</v>
      </c>
      <c r="X851" s="3">
        <f>$D851*TCA!W851/100</f>
        <v>0</v>
      </c>
    </row>
    <row r="852" spans="1:24" x14ac:dyDescent="0.25">
      <c r="A852" s="3" t="s">
        <v>2034</v>
      </c>
      <c r="B852" s="3" t="s">
        <v>1678</v>
      </c>
      <c r="C852" s="3" t="s">
        <v>1679</v>
      </c>
      <c r="D852" s="3">
        <v>100</v>
      </c>
      <c r="E852" s="3">
        <f>$D852*TCA!E852/100</f>
        <v>570</v>
      </c>
      <c r="F852" s="3">
        <f>$D852*TCA!F852/100</f>
        <v>33.33</v>
      </c>
      <c r="G852" s="3">
        <f>$D852*TCA!G852/100</f>
        <v>36.67</v>
      </c>
      <c r="H852" s="3">
        <f>$D852*TCA!H852/100</f>
        <v>26.67</v>
      </c>
      <c r="I852" s="3">
        <f>$D852*TCA!I852/100</f>
        <v>1</v>
      </c>
      <c r="J852" s="3">
        <f>$D852*TCA!J852/100</f>
        <v>6.67</v>
      </c>
      <c r="K852" s="3">
        <f>$D852*TCA!K852/100</f>
        <v>0</v>
      </c>
      <c r="L852" s="3">
        <f>$D852*TCA!L852/100</f>
        <v>0</v>
      </c>
      <c r="M852" s="3">
        <f>$D852*TCA!M852/100</f>
        <v>0</v>
      </c>
      <c r="N852" s="3">
        <f>$D852*TCA!N852/100</f>
        <v>0</v>
      </c>
      <c r="O852" s="3">
        <f>$D852*TCA!O852/100</f>
        <v>0</v>
      </c>
      <c r="P852" s="3">
        <f t="shared" si="13"/>
        <v>0</v>
      </c>
      <c r="Q852" s="3">
        <f>$D852*TCA!P852/100</f>
        <v>0</v>
      </c>
      <c r="R852" s="3">
        <f>$D852*TCA!Q852/100</f>
        <v>0</v>
      </c>
      <c r="S852" s="3">
        <f>$D852*TCA!R852/100</f>
        <v>1066.67</v>
      </c>
      <c r="T852" s="3">
        <f>$D852*TCA!S852/100</f>
        <v>0</v>
      </c>
      <c r="U852" s="3">
        <f>$D852*TCA!T852/100</f>
        <v>0</v>
      </c>
      <c r="V852" s="3">
        <f>$D852*TCA!U852/100</f>
        <v>0</v>
      </c>
      <c r="W852" s="3">
        <f>$D852*TCA!V852/100</f>
        <v>0</v>
      </c>
      <c r="X852" s="3">
        <f>$D852*TCA!W852/100</f>
        <v>0</v>
      </c>
    </row>
    <row r="853" spans="1:24" x14ac:dyDescent="0.25">
      <c r="A853" s="3" t="s">
        <v>2034</v>
      </c>
      <c r="B853" s="3" t="s">
        <v>1680</v>
      </c>
      <c r="C853" s="3" t="s">
        <v>1681</v>
      </c>
      <c r="D853" s="3">
        <v>100</v>
      </c>
      <c r="E853" s="3">
        <f>$D853*TCA!E853/100</f>
        <v>526.66999999999996</v>
      </c>
      <c r="F853" s="3">
        <f>$D853*TCA!F853/100</f>
        <v>6.67</v>
      </c>
      <c r="G853" s="3">
        <f>$D853*TCA!G853/100</f>
        <v>28.89</v>
      </c>
      <c r="H853" s="3">
        <f>$D853*TCA!H853/100</f>
        <v>60</v>
      </c>
      <c r="I853" s="3">
        <f>$D853*TCA!I853/100</f>
        <v>0</v>
      </c>
      <c r="J853" s="3">
        <f>$D853*TCA!J853/100</f>
        <v>13.33</v>
      </c>
      <c r="K853" s="3">
        <f>$D853*TCA!K853/100</f>
        <v>11.11</v>
      </c>
      <c r="L853" s="3">
        <f>$D853*TCA!L853/100</f>
        <v>3.33</v>
      </c>
      <c r="M853" s="3">
        <f>$D853*TCA!M853/100</f>
        <v>0</v>
      </c>
      <c r="N853" s="3">
        <f>$D853*TCA!N853/100</f>
        <v>0</v>
      </c>
      <c r="O853" s="3">
        <f>$D853*TCA!O853/100</f>
        <v>0</v>
      </c>
      <c r="P853" s="3">
        <f t="shared" si="13"/>
        <v>0</v>
      </c>
      <c r="Q853" s="3">
        <f>$D853*TCA!P853/100</f>
        <v>0</v>
      </c>
      <c r="R853" s="3">
        <f>$D853*TCA!Q853/100</f>
        <v>0</v>
      </c>
      <c r="S853" s="3">
        <f>$D853*TCA!R853/100</f>
        <v>777.78</v>
      </c>
      <c r="T853" s="3">
        <f>$D853*TCA!S853/100</f>
        <v>0</v>
      </c>
      <c r="U853" s="3">
        <f>$D853*TCA!T853/100</f>
        <v>0</v>
      </c>
      <c r="V853" s="3">
        <f>$D853*TCA!U853/100</f>
        <v>0</v>
      </c>
      <c r="W853" s="3">
        <f>$D853*TCA!V853/100</f>
        <v>0</v>
      </c>
      <c r="X853" s="3">
        <f>$D853*TCA!W853/100</f>
        <v>0</v>
      </c>
    </row>
    <row r="854" spans="1:24" x14ac:dyDescent="0.25">
      <c r="A854" s="3" t="s">
        <v>2034</v>
      </c>
      <c r="B854" s="3" t="s">
        <v>1682</v>
      </c>
      <c r="C854" s="3" t="s">
        <v>1683</v>
      </c>
      <c r="D854" s="3">
        <v>100</v>
      </c>
      <c r="E854" s="3">
        <f>$D854*TCA!E854/100</f>
        <v>455</v>
      </c>
      <c r="F854" s="3">
        <f>$D854*TCA!F854/100</f>
        <v>10</v>
      </c>
      <c r="G854" s="3">
        <f>$D854*TCA!G854/100</f>
        <v>15</v>
      </c>
      <c r="H854" s="3">
        <f>$D854*TCA!H854/100</f>
        <v>70</v>
      </c>
      <c r="I854" s="3">
        <f>$D854*TCA!I854/100</f>
        <v>5</v>
      </c>
      <c r="J854" s="3">
        <f>$D854*TCA!J854/100</f>
        <v>3.75</v>
      </c>
      <c r="K854" s="3">
        <f>$D854*TCA!K854/100</f>
        <v>3.75</v>
      </c>
      <c r="L854" s="3">
        <f>$D854*TCA!L854/100</f>
        <v>7.5</v>
      </c>
      <c r="M854" s="3">
        <f>$D854*TCA!M854/100</f>
        <v>0</v>
      </c>
      <c r="N854" s="3">
        <f>$D854*TCA!N854/100</f>
        <v>0</v>
      </c>
      <c r="O854" s="3">
        <f>$D854*TCA!O854/100</f>
        <v>0</v>
      </c>
      <c r="P854" s="3">
        <f t="shared" si="13"/>
        <v>0</v>
      </c>
      <c r="Q854" s="3">
        <f>$D854*TCA!P854/100</f>
        <v>0</v>
      </c>
      <c r="R854" s="3">
        <f>$D854*TCA!Q854/100</f>
        <v>450</v>
      </c>
      <c r="S854" s="3">
        <f>$D854*TCA!R854/100</f>
        <v>312.5</v>
      </c>
      <c r="T854" s="3">
        <f>$D854*TCA!S854/100</f>
        <v>0</v>
      </c>
      <c r="U854" s="3">
        <f>$D854*TCA!T854/100</f>
        <v>0</v>
      </c>
      <c r="V854" s="3">
        <f>$D854*TCA!U854/100</f>
        <v>0</v>
      </c>
      <c r="W854" s="3">
        <f>$D854*TCA!V854/100</f>
        <v>0</v>
      </c>
      <c r="X854" s="3">
        <f>$D854*TCA!W854/100</f>
        <v>0</v>
      </c>
    </row>
    <row r="855" spans="1:24" x14ac:dyDescent="0.25">
      <c r="A855" s="3" t="s">
        <v>2034</v>
      </c>
      <c r="B855" s="3" t="s">
        <v>1684</v>
      </c>
      <c r="C855" s="3" t="s">
        <v>1685</v>
      </c>
      <c r="D855" s="3">
        <v>100</v>
      </c>
      <c r="E855" s="3">
        <f>$D855*TCA!E855/100</f>
        <v>455</v>
      </c>
      <c r="F855" s="3">
        <f>$D855*TCA!F855/100</f>
        <v>10</v>
      </c>
      <c r="G855" s="3">
        <f>$D855*TCA!G855/100</f>
        <v>15</v>
      </c>
      <c r="H855" s="3">
        <f>$D855*TCA!H855/100</f>
        <v>70</v>
      </c>
      <c r="I855" s="3">
        <f>$D855*TCA!I855/100</f>
        <v>5</v>
      </c>
      <c r="J855" s="3">
        <f>$D855*TCA!J855/100</f>
        <v>3.75</v>
      </c>
      <c r="K855" s="3">
        <f>$D855*TCA!K855/100</f>
        <v>3.75</v>
      </c>
      <c r="L855" s="3">
        <f>$D855*TCA!L855/100</f>
        <v>7.5</v>
      </c>
      <c r="M855" s="3">
        <f>$D855*TCA!M855/100</f>
        <v>0</v>
      </c>
      <c r="N855" s="3">
        <f>$D855*TCA!N855/100</f>
        <v>0</v>
      </c>
      <c r="O855" s="3">
        <f>$D855*TCA!O855/100</f>
        <v>0</v>
      </c>
      <c r="P855" s="3">
        <f t="shared" si="13"/>
        <v>0</v>
      </c>
      <c r="Q855" s="3">
        <f>$D855*TCA!P855/100</f>
        <v>0</v>
      </c>
      <c r="R855" s="3">
        <f>$D855*TCA!Q855/100</f>
        <v>350</v>
      </c>
      <c r="S855" s="3">
        <f>$D855*TCA!R855/100</f>
        <v>450</v>
      </c>
      <c r="T855" s="3">
        <f>$D855*TCA!S855/100</f>
        <v>0</v>
      </c>
      <c r="U855" s="3">
        <f>$D855*TCA!T855/100</f>
        <v>0</v>
      </c>
      <c r="V855" s="3">
        <f>$D855*TCA!U855/100</f>
        <v>0</v>
      </c>
      <c r="W855" s="3">
        <f>$D855*TCA!V855/100</f>
        <v>0</v>
      </c>
      <c r="X855" s="3">
        <f>$D855*TCA!W855/100</f>
        <v>0</v>
      </c>
    </row>
    <row r="856" spans="1:24" x14ac:dyDescent="0.25">
      <c r="A856" s="3" t="s">
        <v>2034</v>
      </c>
      <c r="B856" s="3" t="s">
        <v>1686</v>
      </c>
      <c r="C856" s="3" t="s">
        <v>1687</v>
      </c>
      <c r="D856" s="3">
        <v>100</v>
      </c>
      <c r="E856" s="3">
        <f>$D856*TCA!E856/100</f>
        <v>520</v>
      </c>
      <c r="F856" s="3">
        <f>$D856*TCA!F856/100</f>
        <v>3.33</v>
      </c>
      <c r="G856" s="3">
        <f>$D856*TCA!G856/100</f>
        <v>26.67</v>
      </c>
      <c r="H856" s="3">
        <f>$D856*TCA!H856/100</f>
        <v>66.67</v>
      </c>
      <c r="I856" s="3">
        <f>$D856*TCA!I856/100</f>
        <v>6.67</v>
      </c>
      <c r="J856" s="3">
        <f>$D856*TCA!J856/100</f>
        <v>10</v>
      </c>
      <c r="K856" s="3">
        <f>$D856*TCA!K856/100</f>
        <v>13.33</v>
      </c>
      <c r="L856" s="3">
        <f>$D856*TCA!L856/100</f>
        <v>3.33</v>
      </c>
      <c r="M856" s="3">
        <f>$D856*TCA!M856/100</f>
        <v>0</v>
      </c>
      <c r="N856" s="3">
        <f>$D856*TCA!N856/100</f>
        <v>0</v>
      </c>
      <c r="O856" s="3">
        <f>$D856*TCA!O856/100</f>
        <v>0</v>
      </c>
      <c r="P856" s="3">
        <f t="shared" si="13"/>
        <v>0</v>
      </c>
      <c r="Q856" s="3">
        <f>$D856*TCA!P856/100</f>
        <v>0</v>
      </c>
      <c r="R856" s="3">
        <f>$D856*TCA!Q856/100</f>
        <v>0</v>
      </c>
      <c r="S856" s="3">
        <f>$D856*TCA!R856/100</f>
        <v>233.33</v>
      </c>
      <c r="T856" s="3">
        <f>$D856*TCA!S856/100</f>
        <v>0</v>
      </c>
      <c r="U856" s="3">
        <f>$D856*TCA!T856/100</f>
        <v>0</v>
      </c>
      <c r="V856" s="3">
        <f>$D856*TCA!U856/100</f>
        <v>0</v>
      </c>
      <c r="W856" s="3">
        <f>$D856*TCA!V856/100</f>
        <v>0</v>
      </c>
      <c r="X856" s="3">
        <f>$D856*TCA!W856/100</f>
        <v>0</v>
      </c>
    </row>
    <row r="857" spans="1:24" x14ac:dyDescent="0.25">
      <c r="A857" s="3" t="s">
        <v>2034</v>
      </c>
      <c r="B857" s="3" t="s">
        <v>1688</v>
      </c>
      <c r="C857" s="3" t="s">
        <v>1689</v>
      </c>
      <c r="D857" s="3">
        <v>100</v>
      </c>
      <c r="E857" s="3">
        <f>$D857*TCA!E857/100</f>
        <v>520</v>
      </c>
      <c r="F857" s="3">
        <f>$D857*TCA!F857/100</f>
        <v>6.67</v>
      </c>
      <c r="G857" s="3">
        <f>$D857*TCA!G857/100</f>
        <v>26.67</v>
      </c>
      <c r="H857" s="3">
        <f>$D857*TCA!H857/100</f>
        <v>63.33</v>
      </c>
      <c r="I857" s="3">
        <f>$D857*TCA!I857/100</f>
        <v>0</v>
      </c>
      <c r="J857" s="3">
        <f>$D857*TCA!J857/100</f>
        <v>8.33</v>
      </c>
      <c r="K857" s="3">
        <f>$D857*TCA!K857/100</f>
        <v>13.33</v>
      </c>
      <c r="L857" s="3">
        <f>$D857*TCA!L857/100</f>
        <v>3.33</v>
      </c>
      <c r="M857" s="3">
        <f>$D857*TCA!M857/100</f>
        <v>0</v>
      </c>
      <c r="N857" s="3">
        <f>$D857*TCA!N857/100</f>
        <v>0</v>
      </c>
      <c r="O857" s="3">
        <f>$D857*TCA!O857/100</f>
        <v>0</v>
      </c>
      <c r="P857" s="3">
        <f t="shared" si="13"/>
        <v>0</v>
      </c>
      <c r="Q857" s="3">
        <f>$D857*TCA!P857/100</f>
        <v>0</v>
      </c>
      <c r="R857" s="3">
        <f>$D857*TCA!Q857/100</f>
        <v>0</v>
      </c>
      <c r="S857" s="3">
        <f>$D857*TCA!R857/100</f>
        <v>533.33000000000004</v>
      </c>
      <c r="T857" s="3">
        <f>$D857*TCA!S857/100</f>
        <v>0</v>
      </c>
      <c r="U857" s="3">
        <f>$D857*TCA!T857/100</f>
        <v>0</v>
      </c>
      <c r="V857" s="3">
        <f>$D857*TCA!U857/100</f>
        <v>0</v>
      </c>
      <c r="W857" s="3">
        <f>$D857*TCA!V857/100</f>
        <v>0</v>
      </c>
      <c r="X857" s="3">
        <f>$D857*TCA!W857/100</f>
        <v>0</v>
      </c>
    </row>
    <row r="858" spans="1:24" x14ac:dyDescent="0.25">
      <c r="A858" s="3" t="s">
        <v>2034</v>
      </c>
      <c r="B858" s="3" t="s">
        <v>1690</v>
      </c>
      <c r="C858" s="3" t="s">
        <v>1691</v>
      </c>
      <c r="D858" s="3">
        <v>100</v>
      </c>
      <c r="E858" s="3">
        <f>$D858*TCA!E858/100</f>
        <v>482.22</v>
      </c>
      <c r="F858" s="3">
        <f>$D858*TCA!F858/100</f>
        <v>6.67</v>
      </c>
      <c r="G858" s="3">
        <f>$D858*TCA!G858/100</f>
        <v>20</v>
      </c>
      <c r="H858" s="3">
        <f>$D858*TCA!H858/100</f>
        <v>68.89</v>
      </c>
      <c r="I858" s="3">
        <f>$D858*TCA!I858/100</f>
        <v>0</v>
      </c>
      <c r="J858" s="3">
        <f>$D858*TCA!J858/100</f>
        <v>6.67</v>
      </c>
      <c r="K858" s="3">
        <f>$D858*TCA!K858/100</f>
        <v>8.89</v>
      </c>
      <c r="L858" s="3">
        <f>$D858*TCA!L858/100</f>
        <v>4.4400000000000004</v>
      </c>
      <c r="M858" s="3">
        <f>$D858*TCA!M858/100</f>
        <v>0</v>
      </c>
      <c r="N858" s="3">
        <f>$D858*TCA!N858/100</f>
        <v>0</v>
      </c>
      <c r="O858" s="3">
        <f>$D858*TCA!O858/100</f>
        <v>0</v>
      </c>
      <c r="P858" s="3">
        <f t="shared" si="13"/>
        <v>0</v>
      </c>
      <c r="Q858" s="3">
        <f>$D858*TCA!P858/100</f>
        <v>0</v>
      </c>
      <c r="R858" s="3">
        <f>$D858*TCA!Q858/100</f>
        <v>0</v>
      </c>
      <c r="S858" s="3">
        <f>$D858*TCA!R858/100</f>
        <v>422.22</v>
      </c>
      <c r="T858" s="3">
        <f>$D858*TCA!S858/100</f>
        <v>0</v>
      </c>
      <c r="U858" s="3">
        <f>$D858*TCA!T858/100</f>
        <v>0</v>
      </c>
      <c r="V858" s="3">
        <f>$D858*TCA!U858/100</f>
        <v>0</v>
      </c>
      <c r="W858" s="3">
        <f>$D858*TCA!V858/100</f>
        <v>0</v>
      </c>
      <c r="X858" s="3">
        <f>$D858*TCA!W858/100</f>
        <v>0</v>
      </c>
    </row>
    <row r="859" spans="1:24" x14ac:dyDescent="0.25">
      <c r="A859" s="3" t="s">
        <v>2034</v>
      </c>
      <c r="B859" s="3" t="s">
        <v>1692</v>
      </c>
      <c r="C859" s="3" t="s">
        <v>1693</v>
      </c>
      <c r="D859" s="3">
        <v>100</v>
      </c>
      <c r="E859" s="3">
        <f>$D859*TCA!E859/100</f>
        <v>536.66999999999996</v>
      </c>
      <c r="F859" s="3">
        <f>$D859*TCA!F859/100</f>
        <v>6.67</v>
      </c>
      <c r="G859" s="3">
        <f>$D859*TCA!G859/100</f>
        <v>30</v>
      </c>
      <c r="H859" s="3">
        <f>$D859*TCA!H859/100</f>
        <v>60</v>
      </c>
      <c r="I859" s="3">
        <f>$D859*TCA!I859/100</f>
        <v>0</v>
      </c>
      <c r="J859" s="3">
        <f>$D859*TCA!J859/100</f>
        <v>16.670000000000002</v>
      </c>
      <c r="K859" s="3">
        <f>$D859*TCA!K859/100</f>
        <v>13.33</v>
      </c>
      <c r="L859" s="3">
        <f>$D859*TCA!L859/100</f>
        <v>3.33</v>
      </c>
      <c r="M859" s="3">
        <f>$D859*TCA!M859/100</f>
        <v>0</v>
      </c>
      <c r="N859" s="3">
        <f>$D859*TCA!N859/100</f>
        <v>0</v>
      </c>
      <c r="O859" s="3">
        <f>$D859*TCA!O859/100</f>
        <v>0</v>
      </c>
      <c r="P859" s="3">
        <f t="shared" si="13"/>
        <v>0</v>
      </c>
      <c r="Q859" s="3">
        <f>$D859*TCA!P859/100</f>
        <v>0</v>
      </c>
      <c r="R859" s="3">
        <f>$D859*TCA!Q859/100</f>
        <v>0</v>
      </c>
      <c r="S859" s="3">
        <f>$D859*TCA!R859/100</f>
        <v>866.67</v>
      </c>
      <c r="T859" s="3">
        <f>$D859*TCA!S859/100</f>
        <v>0</v>
      </c>
      <c r="U859" s="3">
        <f>$D859*TCA!T859/100</f>
        <v>0</v>
      </c>
      <c r="V859" s="3">
        <f>$D859*TCA!U859/100</f>
        <v>0</v>
      </c>
      <c r="W859" s="3">
        <f>$D859*TCA!V859/100</f>
        <v>0</v>
      </c>
      <c r="X859" s="3">
        <f>$D859*TCA!W859/100</f>
        <v>0</v>
      </c>
    </row>
    <row r="860" spans="1:24" x14ac:dyDescent="0.25">
      <c r="A860" s="3" t="s">
        <v>2034</v>
      </c>
      <c r="B860" s="3" t="s">
        <v>1694</v>
      </c>
      <c r="C860" s="3" t="s">
        <v>1695</v>
      </c>
      <c r="D860" s="3">
        <v>100</v>
      </c>
      <c r="E860" s="3">
        <f>$D860*TCA!E860/100</f>
        <v>484.38</v>
      </c>
      <c r="F860" s="3">
        <f>$D860*TCA!F860/100</f>
        <v>6.25</v>
      </c>
      <c r="G860" s="3">
        <f>$D860*TCA!G860/100</f>
        <v>21.88</v>
      </c>
      <c r="H860" s="3">
        <f>$D860*TCA!H860/100</f>
        <v>65.63</v>
      </c>
      <c r="I860" s="3">
        <f>$D860*TCA!I860/100</f>
        <v>0</v>
      </c>
      <c r="J860" s="3">
        <f>$D860*TCA!J860/100</f>
        <v>9.3800000000000008</v>
      </c>
      <c r="K860" s="3">
        <f>$D860*TCA!K860/100</f>
        <v>9.3800000000000008</v>
      </c>
      <c r="L860" s="3">
        <f>$D860*TCA!L860/100</f>
        <v>3.13</v>
      </c>
      <c r="M860" s="3">
        <f>$D860*TCA!M860/100</f>
        <v>0</v>
      </c>
      <c r="N860" s="3">
        <f>$D860*TCA!N860/100</f>
        <v>0</v>
      </c>
      <c r="O860" s="3">
        <f>$D860*TCA!O860/100</f>
        <v>0</v>
      </c>
      <c r="P860" s="3">
        <f t="shared" si="13"/>
        <v>0</v>
      </c>
      <c r="Q860" s="3">
        <f>$D860*TCA!P860/100</f>
        <v>0</v>
      </c>
      <c r="R860" s="3">
        <f>$D860*TCA!Q860/100</f>
        <v>0</v>
      </c>
      <c r="S860" s="3">
        <f>$D860*TCA!R860/100</f>
        <v>1031.25</v>
      </c>
      <c r="T860" s="3">
        <f>$D860*TCA!S860/100</f>
        <v>0</v>
      </c>
      <c r="U860" s="3">
        <f>$D860*TCA!T860/100</f>
        <v>0</v>
      </c>
      <c r="V860" s="3">
        <f>$D860*TCA!U860/100</f>
        <v>0</v>
      </c>
      <c r="W860" s="3">
        <f>$D860*TCA!V860/100</f>
        <v>0</v>
      </c>
      <c r="X860" s="3">
        <f>$D860*TCA!W860/100</f>
        <v>0</v>
      </c>
    </row>
    <row r="861" spans="1:24" x14ac:dyDescent="0.25">
      <c r="A861" s="3" t="s">
        <v>2034</v>
      </c>
      <c r="B861" s="3" t="s">
        <v>1696</v>
      </c>
      <c r="C861" s="3" t="s">
        <v>1697</v>
      </c>
      <c r="D861" s="3">
        <v>100</v>
      </c>
      <c r="E861" s="3">
        <f>$D861*TCA!E861/100</f>
        <v>391.67</v>
      </c>
      <c r="F861" s="3">
        <f>$D861*TCA!F861/100</f>
        <v>0</v>
      </c>
      <c r="G861" s="3">
        <f>$D861*TCA!G861/100</f>
        <v>5</v>
      </c>
      <c r="H861" s="3">
        <f>$D861*TCA!H861/100</f>
        <v>86.67</v>
      </c>
      <c r="I861" s="3">
        <f>$D861*TCA!I861/100</f>
        <v>0</v>
      </c>
      <c r="J861" s="3">
        <f>$D861*TCA!J861/100</f>
        <v>1.67</v>
      </c>
      <c r="K861" s="3">
        <f>$D861*TCA!K861/100</f>
        <v>1.67</v>
      </c>
      <c r="L861" s="3">
        <f>$D861*TCA!L861/100</f>
        <v>0</v>
      </c>
      <c r="M861" s="3">
        <f>$D861*TCA!M861/100</f>
        <v>0</v>
      </c>
      <c r="N861" s="3">
        <f>$D861*TCA!N861/100</f>
        <v>0</v>
      </c>
      <c r="O861" s="3">
        <f>$D861*TCA!O861/100</f>
        <v>0</v>
      </c>
      <c r="P861" s="3" t="e">
        <f t="shared" si="13"/>
        <v>#DIV/0!</v>
      </c>
      <c r="Q861" s="3">
        <f>$D861*TCA!P861/100</f>
        <v>0</v>
      </c>
      <c r="R861" s="3">
        <f>$D861*TCA!Q861/100</f>
        <v>0</v>
      </c>
      <c r="S861" s="3">
        <f>$D861*TCA!R861/100</f>
        <v>733.33</v>
      </c>
      <c r="T861" s="3">
        <f>$D861*TCA!S861/100</f>
        <v>0</v>
      </c>
      <c r="U861" s="3">
        <f>$D861*TCA!T861/100</f>
        <v>0</v>
      </c>
      <c r="V861" s="3">
        <f>$D861*TCA!U861/100</f>
        <v>0</v>
      </c>
      <c r="W861" s="3">
        <f>$D861*TCA!V861/100</f>
        <v>0</v>
      </c>
      <c r="X861" s="3">
        <f>$D861*TCA!W861/100</f>
        <v>0</v>
      </c>
    </row>
    <row r="862" spans="1:24" x14ac:dyDescent="0.25">
      <c r="A862" s="3" t="s">
        <v>2034</v>
      </c>
      <c r="B862" s="3" t="s">
        <v>1698</v>
      </c>
      <c r="C862" s="3" t="s">
        <v>1699</v>
      </c>
      <c r="D862" s="3">
        <v>100</v>
      </c>
      <c r="E862" s="3">
        <f>$D862*TCA!E862/100</f>
        <v>505</v>
      </c>
      <c r="F862" s="3">
        <f>$D862*TCA!F862/100</f>
        <v>10</v>
      </c>
      <c r="G862" s="3">
        <f>$D862*TCA!G862/100</f>
        <v>25</v>
      </c>
      <c r="H862" s="3">
        <f>$D862*TCA!H862/100</f>
        <v>60</v>
      </c>
      <c r="I862" s="3">
        <f>$D862*TCA!I862/100</f>
        <v>0</v>
      </c>
      <c r="J862" s="3">
        <f>$D862*TCA!J862/100</f>
        <v>10</v>
      </c>
      <c r="K862" s="3">
        <f>$D862*TCA!K862/100</f>
        <v>12.5</v>
      </c>
      <c r="L862" s="3">
        <f>$D862*TCA!L862/100</f>
        <v>5</v>
      </c>
      <c r="M862" s="3">
        <f>$D862*TCA!M862/100</f>
        <v>0</v>
      </c>
      <c r="N862" s="3">
        <f>$D862*TCA!N862/100</f>
        <v>0</v>
      </c>
      <c r="O862" s="3">
        <f>$D862*TCA!O862/100</f>
        <v>0</v>
      </c>
      <c r="P862" s="3">
        <f t="shared" si="13"/>
        <v>0</v>
      </c>
      <c r="Q862" s="3">
        <f>$D862*TCA!P862/100</f>
        <v>0</v>
      </c>
      <c r="R862" s="3">
        <f>$D862*TCA!Q862/100</f>
        <v>0</v>
      </c>
      <c r="S862" s="3">
        <f>$D862*TCA!R862/100</f>
        <v>750</v>
      </c>
      <c r="T862" s="3">
        <f>$D862*TCA!S862/100</f>
        <v>0</v>
      </c>
      <c r="U862" s="3">
        <f>$D862*TCA!T862/100</f>
        <v>0</v>
      </c>
      <c r="V862" s="3">
        <f>$D862*TCA!U862/100</f>
        <v>0</v>
      </c>
      <c r="W862" s="3">
        <f>$D862*TCA!V862/100</f>
        <v>0</v>
      </c>
      <c r="X862" s="3">
        <f>$D862*TCA!W862/100</f>
        <v>0</v>
      </c>
    </row>
    <row r="863" spans="1:24" x14ac:dyDescent="0.25">
      <c r="A863" s="3" t="s">
        <v>2034</v>
      </c>
      <c r="B863" s="3" t="s">
        <v>1700</v>
      </c>
      <c r="C863" s="3" t="s">
        <v>1701</v>
      </c>
      <c r="D863" s="3">
        <v>100</v>
      </c>
      <c r="E863" s="3">
        <f>$D863*TCA!E863/100</f>
        <v>530</v>
      </c>
      <c r="F863" s="3">
        <f>$D863*TCA!F863/100</f>
        <v>10</v>
      </c>
      <c r="G863" s="3">
        <f>$D863*TCA!G863/100</f>
        <v>30</v>
      </c>
      <c r="H863" s="3">
        <f>$D863*TCA!H863/100</f>
        <v>55</v>
      </c>
      <c r="I863" s="3">
        <f>$D863*TCA!I863/100</f>
        <v>0</v>
      </c>
      <c r="J863" s="3">
        <f>$D863*TCA!J863/100</f>
        <v>12.5</v>
      </c>
      <c r="K863" s="3">
        <f>$D863*TCA!K863/100</f>
        <v>12.5</v>
      </c>
      <c r="L863" s="3">
        <f>$D863*TCA!L863/100</f>
        <v>2.5</v>
      </c>
      <c r="M863" s="3">
        <f>$D863*TCA!M863/100</f>
        <v>40</v>
      </c>
      <c r="N863" s="3">
        <f>$D863*TCA!N863/100</f>
        <v>0</v>
      </c>
      <c r="O863" s="3">
        <f>$D863*TCA!O863/100</f>
        <v>0</v>
      </c>
      <c r="P863" s="3">
        <f t="shared" si="13"/>
        <v>0</v>
      </c>
      <c r="Q863" s="3">
        <f>$D863*TCA!P863/100</f>
        <v>0</v>
      </c>
      <c r="R863" s="3">
        <f>$D863*TCA!Q863/100</f>
        <v>0</v>
      </c>
      <c r="S863" s="3">
        <f>$D863*TCA!R863/100</f>
        <v>900</v>
      </c>
      <c r="T863" s="3">
        <f>$D863*TCA!S863/100</f>
        <v>0</v>
      </c>
      <c r="U863" s="3">
        <f>$D863*TCA!T863/100</f>
        <v>0</v>
      </c>
      <c r="V863" s="3">
        <f>$D863*TCA!U863/100</f>
        <v>0</v>
      </c>
      <c r="W863" s="3">
        <f>$D863*TCA!V863/100</f>
        <v>0</v>
      </c>
      <c r="X863" s="3">
        <f>$D863*TCA!W863/100</f>
        <v>0</v>
      </c>
    </row>
    <row r="864" spans="1:24" x14ac:dyDescent="0.25">
      <c r="A864" s="3" t="s">
        <v>2034</v>
      </c>
      <c r="B864" s="3" t="s">
        <v>1702</v>
      </c>
      <c r="C864" s="3" t="s">
        <v>1703</v>
      </c>
      <c r="D864" s="3">
        <v>100</v>
      </c>
      <c r="E864" s="3">
        <f>$D864*TCA!E864/100</f>
        <v>466.67</v>
      </c>
      <c r="F864" s="3">
        <f>$D864*TCA!F864/100</f>
        <v>7.41</v>
      </c>
      <c r="G864" s="3">
        <f>$D864*TCA!G864/100</f>
        <v>22.22</v>
      </c>
      <c r="H864" s="3">
        <f>$D864*TCA!H864/100</f>
        <v>59.26</v>
      </c>
      <c r="I864" s="3">
        <f>$D864*TCA!I864/100</f>
        <v>11.11</v>
      </c>
      <c r="J864" s="3">
        <f>$D864*TCA!J864/100</f>
        <v>1.85</v>
      </c>
      <c r="K864" s="3">
        <f>$D864*TCA!K864/100</f>
        <v>14.81</v>
      </c>
      <c r="L864" s="3">
        <f>$D864*TCA!L864/100</f>
        <v>9.26</v>
      </c>
      <c r="M864" s="3">
        <f>$D864*TCA!M864/100</f>
        <v>0</v>
      </c>
      <c r="N864" s="3">
        <f>$D864*TCA!N864/100</f>
        <v>0</v>
      </c>
      <c r="O864" s="3">
        <f>$D864*TCA!O864/100</f>
        <v>0</v>
      </c>
      <c r="P864" s="3">
        <f t="shared" si="13"/>
        <v>0</v>
      </c>
      <c r="Q864" s="3">
        <f>$D864*TCA!P864/100</f>
        <v>0</v>
      </c>
      <c r="R864" s="3">
        <f>$D864*TCA!Q864/100</f>
        <v>0</v>
      </c>
      <c r="S864" s="3">
        <f>$D864*TCA!R864/100</f>
        <v>666.67</v>
      </c>
      <c r="T864" s="3">
        <f>$D864*TCA!S864/100</f>
        <v>0</v>
      </c>
      <c r="U864" s="3">
        <f>$D864*TCA!T864/100</f>
        <v>0</v>
      </c>
      <c r="V864" s="3">
        <f>$D864*TCA!U864/100</f>
        <v>0</v>
      </c>
      <c r="W864" s="3">
        <f>$D864*TCA!V864/100</f>
        <v>0</v>
      </c>
      <c r="X864" s="3">
        <f>$D864*TCA!W864/100</f>
        <v>0</v>
      </c>
    </row>
    <row r="865" spans="1:24" x14ac:dyDescent="0.25">
      <c r="A865" s="3" t="s">
        <v>2034</v>
      </c>
      <c r="B865" s="3" t="s">
        <v>1704</v>
      </c>
      <c r="C865" s="3" t="s">
        <v>1705</v>
      </c>
      <c r="D865" s="3">
        <v>100</v>
      </c>
      <c r="E865" s="3">
        <f>$D865*TCA!E865/100</f>
        <v>537.5</v>
      </c>
      <c r="F865" s="3">
        <f>$D865*TCA!F865/100</f>
        <v>9.3800000000000008</v>
      </c>
      <c r="G865" s="3">
        <f>$D865*TCA!G865/100</f>
        <v>25</v>
      </c>
      <c r="H865" s="3">
        <f>$D865*TCA!H865/100</f>
        <v>68.75</v>
      </c>
      <c r="I865" s="3">
        <f>$D865*TCA!I865/100</f>
        <v>9.3800000000000008</v>
      </c>
      <c r="J865" s="3">
        <f>$D865*TCA!J865/100</f>
        <v>3.13</v>
      </c>
      <c r="K865" s="3">
        <f>$D865*TCA!K865/100</f>
        <v>15.63</v>
      </c>
      <c r="L865" s="3">
        <f>$D865*TCA!L865/100</f>
        <v>4.6900000000000004</v>
      </c>
      <c r="M865" s="3">
        <f>$D865*TCA!M865/100</f>
        <v>0</v>
      </c>
      <c r="N865" s="3">
        <f>$D865*TCA!N865/100</f>
        <v>0</v>
      </c>
      <c r="O865" s="3">
        <f>$D865*TCA!O865/100</f>
        <v>0</v>
      </c>
      <c r="P865" s="3">
        <f t="shared" si="13"/>
        <v>0</v>
      </c>
      <c r="Q865" s="3">
        <f>$D865*TCA!P865/100</f>
        <v>0</v>
      </c>
      <c r="R865" s="3">
        <f>$D865*TCA!Q865/100</f>
        <v>0</v>
      </c>
      <c r="S865" s="3">
        <f>$D865*TCA!R865/100</f>
        <v>968.75</v>
      </c>
      <c r="T865" s="3">
        <f>$D865*TCA!S865/100</f>
        <v>0</v>
      </c>
      <c r="U865" s="3">
        <f>$D865*TCA!T865/100</f>
        <v>0</v>
      </c>
      <c r="V865" s="3">
        <f>$D865*TCA!U865/100</f>
        <v>0</v>
      </c>
      <c r="W865" s="3">
        <f>$D865*TCA!V865/100</f>
        <v>0</v>
      </c>
      <c r="X865" s="3">
        <f>$D865*TCA!W865/100</f>
        <v>0</v>
      </c>
    </row>
    <row r="866" spans="1:24" x14ac:dyDescent="0.25">
      <c r="A866" s="3" t="s">
        <v>2034</v>
      </c>
      <c r="B866" s="3" t="s">
        <v>1706</v>
      </c>
      <c r="C866" s="3" t="s">
        <v>1707</v>
      </c>
      <c r="D866" s="3">
        <v>100</v>
      </c>
      <c r="E866" s="3">
        <f>$D866*TCA!E866/100</f>
        <v>481.48</v>
      </c>
      <c r="F866" s="3">
        <f>$D866*TCA!F866/100</f>
        <v>7.41</v>
      </c>
      <c r="G866" s="3">
        <f>$D866*TCA!G866/100</f>
        <v>22.22</v>
      </c>
      <c r="H866" s="3">
        <f>$D866*TCA!H866/100</f>
        <v>62.96</v>
      </c>
      <c r="I866" s="3">
        <f>$D866*TCA!I866/100</f>
        <v>14.81</v>
      </c>
      <c r="J866" s="3">
        <f>$D866*TCA!J866/100</f>
        <v>1.85</v>
      </c>
      <c r="K866" s="3">
        <f>$D866*TCA!K866/100</f>
        <v>11.11</v>
      </c>
      <c r="L866" s="3">
        <f>$D866*TCA!L866/100</f>
        <v>9.26</v>
      </c>
      <c r="M866" s="3">
        <f>$D866*TCA!M866/100</f>
        <v>0</v>
      </c>
      <c r="N866" s="3">
        <f>$D866*TCA!N866/100</f>
        <v>0</v>
      </c>
      <c r="O866" s="3">
        <f>$D866*TCA!O866/100</f>
        <v>0</v>
      </c>
      <c r="P866" s="3">
        <f t="shared" si="13"/>
        <v>0</v>
      </c>
      <c r="Q866" s="3">
        <f>$D866*TCA!P866/100</f>
        <v>0</v>
      </c>
      <c r="R866" s="3">
        <f>$D866*TCA!Q866/100</f>
        <v>0</v>
      </c>
      <c r="S866" s="3">
        <f>$D866*TCA!R866/100</f>
        <v>703.7</v>
      </c>
      <c r="T866" s="3">
        <f>$D866*TCA!S866/100</f>
        <v>0</v>
      </c>
      <c r="U866" s="3">
        <f>$D866*TCA!T866/100</f>
        <v>0</v>
      </c>
      <c r="V866" s="3">
        <f>$D866*TCA!U866/100</f>
        <v>0</v>
      </c>
      <c r="W866" s="3">
        <f>$D866*TCA!V866/100</f>
        <v>0</v>
      </c>
      <c r="X866" s="3">
        <f>$D866*TCA!W866/100</f>
        <v>0</v>
      </c>
    </row>
    <row r="867" spans="1:24" x14ac:dyDescent="0.25">
      <c r="A867" s="3" t="s">
        <v>2034</v>
      </c>
      <c r="B867" s="3" t="s">
        <v>1708</v>
      </c>
      <c r="C867" s="3" t="s">
        <v>1709</v>
      </c>
      <c r="D867" s="3">
        <v>100</v>
      </c>
      <c r="E867" s="3">
        <f>$D867*TCA!E867/100</f>
        <v>540</v>
      </c>
      <c r="F867" s="3">
        <f>$D867*TCA!F867/100</f>
        <v>8</v>
      </c>
      <c r="G867" s="3">
        <f>$D867*TCA!G867/100</f>
        <v>28</v>
      </c>
      <c r="H867" s="3">
        <f>$D867*TCA!H867/100</f>
        <v>64</v>
      </c>
      <c r="I867" s="3">
        <f>$D867*TCA!I867/100</f>
        <v>4</v>
      </c>
      <c r="J867" s="3">
        <f>$D867*TCA!J867/100</f>
        <v>4</v>
      </c>
      <c r="K867" s="3">
        <f>$D867*TCA!K867/100</f>
        <v>20</v>
      </c>
      <c r="L867" s="3">
        <f>$D867*TCA!L867/100</f>
        <v>4</v>
      </c>
      <c r="M867" s="3">
        <f>$D867*TCA!M867/100</f>
        <v>0</v>
      </c>
      <c r="N867" s="3">
        <f>$D867*TCA!N867/100</f>
        <v>0</v>
      </c>
      <c r="O867" s="3">
        <f>$D867*TCA!O867/100</f>
        <v>0</v>
      </c>
      <c r="P867" s="3">
        <f t="shared" si="13"/>
        <v>0</v>
      </c>
      <c r="Q867" s="3">
        <f>$D867*TCA!P867/100</f>
        <v>0</v>
      </c>
      <c r="R867" s="3">
        <f>$D867*TCA!Q867/100</f>
        <v>0</v>
      </c>
      <c r="S867" s="3">
        <f>$D867*TCA!R867/100</f>
        <v>300</v>
      </c>
      <c r="T867" s="3">
        <f>$D867*TCA!S867/100</f>
        <v>0</v>
      </c>
      <c r="U867" s="3">
        <f>$D867*TCA!T867/100</f>
        <v>0</v>
      </c>
      <c r="V867" s="3">
        <f>$D867*TCA!U867/100</f>
        <v>0</v>
      </c>
      <c r="W867" s="3">
        <f>$D867*TCA!V867/100</f>
        <v>0</v>
      </c>
      <c r="X867" s="3">
        <f>$D867*TCA!W867/100</f>
        <v>0</v>
      </c>
    </row>
    <row r="868" spans="1:24" x14ac:dyDescent="0.25">
      <c r="A868" s="3" t="s">
        <v>2034</v>
      </c>
      <c r="B868" s="3" t="s">
        <v>1710</v>
      </c>
      <c r="C868" s="3" t="s">
        <v>1711</v>
      </c>
      <c r="D868" s="3">
        <v>100</v>
      </c>
      <c r="E868" s="3">
        <f>$D868*TCA!E868/100</f>
        <v>512</v>
      </c>
      <c r="F868" s="3">
        <f>$D868*TCA!F868/100</f>
        <v>4</v>
      </c>
      <c r="G868" s="3">
        <f>$D868*TCA!G868/100</f>
        <v>32</v>
      </c>
      <c r="H868" s="3">
        <f>$D868*TCA!H868/100</f>
        <v>52</v>
      </c>
      <c r="I868" s="3">
        <f>$D868*TCA!I868/100</f>
        <v>0</v>
      </c>
      <c r="J868" s="3">
        <f>$D868*TCA!J868/100</f>
        <v>8</v>
      </c>
      <c r="K868" s="3">
        <f>$D868*TCA!K868/100</f>
        <v>0</v>
      </c>
      <c r="L868" s="3">
        <f>$D868*TCA!L868/100</f>
        <v>0</v>
      </c>
      <c r="M868" s="3">
        <f>$D868*TCA!M868/100</f>
        <v>0</v>
      </c>
      <c r="N868" s="3">
        <f>$D868*TCA!N868/100</f>
        <v>0</v>
      </c>
      <c r="O868" s="3">
        <f>$D868*TCA!O868/100</f>
        <v>0</v>
      </c>
      <c r="P868" s="3">
        <f t="shared" si="13"/>
        <v>0</v>
      </c>
      <c r="Q868" s="3">
        <f>$D868*TCA!P868/100</f>
        <v>0</v>
      </c>
      <c r="R868" s="3">
        <f>$D868*TCA!Q868/100</f>
        <v>0</v>
      </c>
      <c r="S868" s="3">
        <f>$D868*TCA!R868/100</f>
        <v>832</v>
      </c>
      <c r="T868" s="3">
        <f>$D868*TCA!S868/100</f>
        <v>0</v>
      </c>
      <c r="U868" s="3">
        <f>$D868*TCA!T868/100</f>
        <v>0</v>
      </c>
      <c r="V868" s="3">
        <f>$D868*TCA!U868/100</f>
        <v>0</v>
      </c>
      <c r="W868" s="3">
        <f>$D868*TCA!V868/100</f>
        <v>0</v>
      </c>
      <c r="X868" s="3">
        <f>$D868*TCA!W868/100</f>
        <v>0</v>
      </c>
    </row>
    <row r="869" spans="1:24" x14ac:dyDescent="0.25">
      <c r="A869" s="3" t="s">
        <v>2034</v>
      </c>
      <c r="B869" s="3" t="s">
        <v>1712</v>
      </c>
      <c r="C869" s="3" t="s">
        <v>1713</v>
      </c>
      <c r="D869" s="3">
        <v>100</v>
      </c>
      <c r="E869" s="3">
        <f>$D869*TCA!E869/100</f>
        <v>550</v>
      </c>
      <c r="F869" s="3">
        <f>$D869*TCA!F869/100</f>
        <v>6.67</v>
      </c>
      <c r="G869" s="3">
        <f>$D869*TCA!G869/100</f>
        <v>30</v>
      </c>
      <c r="H869" s="3">
        <f>$D869*TCA!H869/100</f>
        <v>63.33</v>
      </c>
      <c r="I869" s="3">
        <f>$D869*TCA!I869/100</f>
        <v>0</v>
      </c>
      <c r="J869" s="3">
        <f>$D869*TCA!J869/100</f>
        <v>8.33</v>
      </c>
      <c r="K869" s="3">
        <f>$D869*TCA!K869/100</f>
        <v>8.33</v>
      </c>
      <c r="L869" s="3">
        <f>$D869*TCA!L869/100</f>
        <v>13.33</v>
      </c>
      <c r="M869" s="3">
        <f>$D869*TCA!M869/100</f>
        <v>0</v>
      </c>
      <c r="N869" s="3">
        <f>$D869*TCA!N869/100</f>
        <v>0</v>
      </c>
      <c r="O869" s="3">
        <f>$D869*TCA!O869/100</f>
        <v>0</v>
      </c>
      <c r="P869" s="3">
        <f t="shared" si="13"/>
        <v>0</v>
      </c>
      <c r="Q869" s="3">
        <f>$D869*TCA!P869/100</f>
        <v>0</v>
      </c>
      <c r="R869" s="3">
        <f>$D869*TCA!Q869/100</f>
        <v>0</v>
      </c>
      <c r="S869" s="3">
        <f>$D869*TCA!R869/100</f>
        <v>766.67</v>
      </c>
      <c r="T869" s="3">
        <f>$D869*TCA!S869/100</f>
        <v>0</v>
      </c>
      <c r="U869" s="3">
        <f>$D869*TCA!T869/100</f>
        <v>0</v>
      </c>
      <c r="V869" s="3">
        <f>$D869*TCA!U869/100</f>
        <v>0</v>
      </c>
      <c r="W869" s="3">
        <f>$D869*TCA!V869/100</f>
        <v>0</v>
      </c>
      <c r="X869" s="3">
        <f>$D869*TCA!W869/100</f>
        <v>0</v>
      </c>
    </row>
    <row r="870" spans="1:24" x14ac:dyDescent="0.25">
      <c r="A870" s="3" t="s">
        <v>2034</v>
      </c>
      <c r="B870" s="3" t="s">
        <v>1714</v>
      </c>
      <c r="C870" s="3" t="s">
        <v>1715</v>
      </c>
      <c r="D870" s="3">
        <v>100</v>
      </c>
      <c r="E870" s="3">
        <f>$D870*TCA!E870/100</f>
        <v>536.66999999999996</v>
      </c>
      <c r="F870" s="3">
        <f>$D870*TCA!F870/100</f>
        <v>6.67</v>
      </c>
      <c r="G870" s="3">
        <f>$D870*TCA!G870/100</f>
        <v>30</v>
      </c>
      <c r="H870" s="3">
        <f>$D870*TCA!H870/100</f>
        <v>60</v>
      </c>
      <c r="I870" s="3">
        <f>$D870*TCA!I870/100</f>
        <v>0</v>
      </c>
      <c r="J870" s="3">
        <f>$D870*TCA!J870/100</f>
        <v>16.670000000000002</v>
      </c>
      <c r="K870" s="3">
        <f>$D870*TCA!K870/100</f>
        <v>10</v>
      </c>
      <c r="L870" s="3">
        <f>$D870*TCA!L870/100</f>
        <v>3.33</v>
      </c>
      <c r="M870" s="3">
        <f>$D870*TCA!M870/100</f>
        <v>0</v>
      </c>
      <c r="N870" s="3">
        <f>$D870*TCA!N870/100</f>
        <v>0</v>
      </c>
      <c r="O870" s="3">
        <f>$D870*TCA!O870/100</f>
        <v>0</v>
      </c>
      <c r="P870" s="3">
        <f t="shared" si="13"/>
        <v>0</v>
      </c>
      <c r="Q870" s="3">
        <f>$D870*TCA!P870/100</f>
        <v>0</v>
      </c>
      <c r="R870" s="3">
        <f>$D870*TCA!Q870/100</f>
        <v>0</v>
      </c>
      <c r="S870" s="3">
        <f>$D870*TCA!R870/100</f>
        <v>566.66999999999996</v>
      </c>
      <c r="T870" s="3">
        <f>$D870*TCA!S870/100</f>
        <v>0</v>
      </c>
      <c r="U870" s="3">
        <f>$D870*TCA!T870/100</f>
        <v>0</v>
      </c>
      <c r="V870" s="3">
        <f>$D870*TCA!U870/100</f>
        <v>0</v>
      </c>
      <c r="W870" s="3">
        <f>$D870*TCA!V870/100</f>
        <v>0</v>
      </c>
      <c r="X870" s="3">
        <f>$D870*TCA!W870/100</f>
        <v>0</v>
      </c>
    </row>
    <row r="871" spans="1:24" x14ac:dyDescent="0.25">
      <c r="A871" s="3" t="s">
        <v>2034</v>
      </c>
      <c r="B871" s="3" t="s">
        <v>1716</v>
      </c>
      <c r="C871" s="3" t="s">
        <v>1717</v>
      </c>
      <c r="D871" s="3">
        <v>100</v>
      </c>
      <c r="E871" s="3">
        <f>$D871*TCA!E871/100</f>
        <v>523.33000000000004</v>
      </c>
      <c r="F871" s="3">
        <f>$D871*TCA!F871/100</f>
        <v>6.67</v>
      </c>
      <c r="G871" s="3">
        <f>$D871*TCA!G871/100</f>
        <v>30</v>
      </c>
      <c r="H871" s="3">
        <f>$D871*TCA!H871/100</f>
        <v>56.67</v>
      </c>
      <c r="I871" s="3">
        <f>$D871*TCA!I871/100</f>
        <v>0</v>
      </c>
      <c r="J871" s="3">
        <f>$D871*TCA!J871/100</f>
        <v>13.33</v>
      </c>
      <c r="K871" s="3">
        <f>$D871*TCA!K871/100</f>
        <v>13.33</v>
      </c>
      <c r="L871" s="3">
        <f>$D871*TCA!L871/100</f>
        <v>3.33</v>
      </c>
      <c r="M871" s="3">
        <f>$D871*TCA!M871/100</f>
        <v>0</v>
      </c>
      <c r="N871" s="3">
        <f>$D871*TCA!N871/100</f>
        <v>0</v>
      </c>
      <c r="O871" s="3">
        <f>$D871*TCA!O871/100</f>
        <v>0</v>
      </c>
      <c r="P871" s="3">
        <f t="shared" si="13"/>
        <v>0</v>
      </c>
      <c r="Q871" s="3">
        <f>$D871*TCA!P871/100</f>
        <v>0</v>
      </c>
      <c r="R871" s="3">
        <f>$D871*TCA!Q871/100</f>
        <v>0</v>
      </c>
      <c r="S871" s="3">
        <f>$D871*TCA!R871/100</f>
        <v>600</v>
      </c>
      <c r="T871" s="3">
        <f>$D871*TCA!S871/100</f>
        <v>0</v>
      </c>
      <c r="U871" s="3">
        <f>$D871*TCA!T871/100</f>
        <v>0</v>
      </c>
      <c r="V871" s="3">
        <f>$D871*TCA!U871/100</f>
        <v>0</v>
      </c>
      <c r="W871" s="3">
        <f>$D871*TCA!V871/100</f>
        <v>0</v>
      </c>
      <c r="X871" s="3">
        <f>$D871*TCA!W871/100</f>
        <v>0</v>
      </c>
    </row>
    <row r="872" spans="1:24" x14ac:dyDescent="0.25">
      <c r="A872" s="3" t="s">
        <v>2034</v>
      </c>
      <c r="B872" s="3" t="s">
        <v>1718</v>
      </c>
      <c r="C872" s="3" t="s">
        <v>1719</v>
      </c>
      <c r="D872" s="3">
        <v>100</v>
      </c>
      <c r="E872" s="3">
        <f>$D872*TCA!E872/100</f>
        <v>553.33000000000004</v>
      </c>
      <c r="F872" s="3">
        <f>$D872*TCA!F872/100</f>
        <v>10</v>
      </c>
      <c r="G872" s="3">
        <f>$D872*TCA!G872/100</f>
        <v>33.33</v>
      </c>
      <c r="H872" s="3">
        <f>$D872*TCA!H872/100</f>
        <v>53.33</v>
      </c>
      <c r="I872" s="3">
        <f>$D872*TCA!I872/100</f>
        <v>0</v>
      </c>
      <c r="J872" s="3">
        <f>$D872*TCA!J872/100</f>
        <v>13.33</v>
      </c>
      <c r="K872" s="3">
        <f>$D872*TCA!K872/100</f>
        <v>13.33</v>
      </c>
      <c r="L872" s="3">
        <f>$D872*TCA!L872/100</f>
        <v>3.33</v>
      </c>
      <c r="M872" s="3">
        <f>$D872*TCA!M872/100</f>
        <v>0</v>
      </c>
      <c r="N872" s="3">
        <f>$D872*TCA!N872/100</f>
        <v>0</v>
      </c>
      <c r="O872" s="3">
        <f>$D872*TCA!O872/100</f>
        <v>0</v>
      </c>
      <c r="P872" s="3">
        <f t="shared" si="13"/>
        <v>0</v>
      </c>
      <c r="Q872" s="3">
        <f>$D872*TCA!P872/100</f>
        <v>0</v>
      </c>
      <c r="R872" s="3">
        <f>$D872*TCA!Q872/100</f>
        <v>0</v>
      </c>
      <c r="S872" s="3">
        <f>$D872*TCA!R872/100</f>
        <v>400</v>
      </c>
      <c r="T872" s="3">
        <f>$D872*TCA!S872/100</f>
        <v>0</v>
      </c>
      <c r="U872" s="3">
        <f>$D872*TCA!T872/100</f>
        <v>0</v>
      </c>
      <c r="V872" s="3">
        <f>$D872*TCA!U872/100</f>
        <v>0</v>
      </c>
      <c r="W872" s="3">
        <f>$D872*TCA!V872/100</f>
        <v>0</v>
      </c>
      <c r="X872" s="3">
        <f>$D872*TCA!W872/100</f>
        <v>0</v>
      </c>
    </row>
    <row r="873" spans="1:24" x14ac:dyDescent="0.25">
      <c r="A873" s="3" t="s">
        <v>2034</v>
      </c>
      <c r="B873" s="3" t="s">
        <v>1720</v>
      </c>
      <c r="C873" s="3" t="s">
        <v>1721</v>
      </c>
      <c r="D873" s="3">
        <v>100</v>
      </c>
      <c r="E873" s="3">
        <f>$D873*TCA!E873/100</f>
        <v>531.82000000000005</v>
      </c>
      <c r="F873" s="3">
        <f>$D873*TCA!F873/100</f>
        <v>6.82</v>
      </c>
      <c r="G873" s="3">
        <f>$D873*TCA!G873/100</f>
        <v>31.82</v>
      </c>
      <c r="H873" s="3">
        <f>$D873*TCA!H873/100</f>
        <v>54.55</v>
      </c>
      <c r="I873" s="3">
        <f>$D873*TCA!I873/100</f>
        <v>2.27</v>
      </c>
      <c r="J873" s="3">
        <f>$D873*TCA!J873/100</f>
        <v>15.91</v>
      </c>
      <c r="K873" s="3">
        <f>$D873*TCA!K873/100</f>
        <v>13.64</v>
      </c>
      <c r="L873" s="3">
        <f>$D873*TCA!L873/100</f>
        <v>3.41</v>
      </c>
      <c r="M873" s="3">
        <f>$D873*TCA!M873/100</f>
        <v>0</v>
      </c>
      <c r="N873" s="3">
        <f>$D873*TCA!N873/100</f>
        <v>0</v>
      </c>
      <c r="O873" s="3">
        <f>$D873*TCA!O873/100</f>
        <v>0</v>
      </c>
      <c r="P873" s="3">
        <f t="shared" si="13"/>
        <v>0</v>
      </c>
      <c r="Q873" s="3">
        <f>$D873*TCA!P873/100</f>
        <v>0</v>
      </c>
      <c r="R873" s="3">
        <f>$D873*TCA!Q873/100</f>
        <v>0</v>
      </c>
      <c r="S873" s="3">
        <f>$D873*TCA!R873/100</f>
        <v>704.55</v>
      </c>
      <c r="T873" s="3">
        <f>$D873*TCA!S873/100</f>
        <v>0</v>
      </c>
      <c r="U873" s="3">
        <f>$D873*TCA!T873/100</f>
        <v>0</v>
      </c>
      <c r="V873" s="3">
        <f>$D873*TCA!U873/100</f>
        <v>0</v>
      </c>
      <c r="W873" s="3">
        <f>$D873*TCA!V873/100</f>
        <v>0</v>
      </c>
      <c r="X873" s="3">
        <f>$D873*TCA!W873/100</f>
        <v>0</v>
      </c>
    </row>
    <row r="874" spans="1:24" x14ac:dyDescent="0.25">
      <c r="A874" s="3" t="s">
        <v>2034</v>
      </c>
      <c r="B874" s="3" t="s">
        <v>1722</v>
      </c>
      <c r="C874" s="3" t="s">
        <v>1723</v>
      </c>
      <c r="D874" s="3">
        <v>100</v>
      </c>
      <c r="E874" s="3">
        <f>$D874*TCA!E874/100</f>
        <v>540</v>
      </c>
      <c r="F874" s="3">
        <f>$D874*TCA!F874/100</f>
        <v>5</v>
      </c>
      <c r="G874" s="3">
        <f>$D874*TCA!G874/100</f>
        <v>30</v>
      </c>
      <c r="H874" s="3">
        <f>$D874*TCA!H874/100</f>
        <v>62.5</v>
      </c>
      <c r="I874" s="3">
        <f>$D874*TCA!I874/100</f>
        <v>5</v>
      </c>
      <c r="J874" s="3">
        <f>$D874*TCA!J874/100</f>
        <v>7.5</v>
      </c>
      <c r="K874" s="3">
        <f>$D874*TCA!K874/100</f>
        <v>5</v>
      </c>
      <c r="L874" s="3">
        <f>$D874*TCA!L874/100</f>
        <v>17.5</v>
      </c>
      <c r="M874" s="3">
        <f>$D874*TCA!M874/100</f>
        <v>0</v>
      </c>
      <c r="N874" s="3">
        <f>$D874*TCA!N874/100</f>
        <v>0</v>
      </c>
      <c r="O874" s="3">
        <f>$D874*TCA!O874/100</f>
        <v>0</v>
      </c>
      <c r="P874" s="3">
        <f t="shared" si="13"/>
        <v>0</v>
      </c>
      <c r="Q874" s="3">
        <f>$D874*TCA!P874/100</f>
        <v>0</v>
      </c>
      <c r="R874" s="3">
        <f>$D874*TCA!Q874/100</f>
        <v>0</v>
      </c>
      <c r="S874" s="3">
        <f>$D874*TCA!R874/100</f>
        <v>400</v>
      </c>
      <c r="T874" s="3">
        <f>$D874*TCA!S874/100</f>
        <v>0</v>
      </c>
      <c r="U874" s="3">
        <f>$D874*TCA!T874/100</f>
        <v>0</v>
      </c>
      <c r="V874" s="3">
        <f>$D874*TCA!U874/100</f>
        <v>0</v>
      </c>
      <c r="W874" s="3">
        <f>$D874*TCA!V874/100</f>
        <v>0</v>
      </c>
      <c r="X874" s="3">
        <f>$D874*TCA!W874/100</f>
        <v>0</v>
      </c>
    </row>
    <row r="875" spans="1:24" x14ac:dyDescent="0.25">
      <c r="A875" s="3" t="s">
        <v>2034</v>
      </c>
      <c r="B875" s="3" t="s">
        <v>1724</v>
      </c>
      <c r="C875" s="3" t="s">
        <v>1725</v>
      </c>
      <c r="D875" s="3">
        <v>100</v>
      </c>
      <c r="E875" s="3">
        <f>$D875*TCA!E875/100</f>
        <v>220.79</v>
      </c>
      <c r="F875" s="3">
        <f>$D875*TCA!F875/100</f>
        <v>3.4</v>
      </c>
      <c r="G875" s="3">
        <f>$D875*TCA!G875/100</f>
        <v>10.19</v>
      </c>
      <c r="H875" s="3">
        <f>$D875*TCA!H875/100</f>
        <v>28.87</v>
      </c>
      <c r="I875" s="3">
        <f>$D875*TCA!I875/100</f>
        <v>0</v>
      </c>
      <c r="J875" s="3">
        <f>$D875*TCA!J875/100</f>
        <v>5.0999999999999996</v>
      </c>
      <c r="K875" s="3">
        <f>$D875*TCA!K875/100</f>
        <v>2.5499999999999998</v>
      </c>
      <c r="L875" s="3">
        <f>$D875*TCA!L875/100</f>
        <v>0.85</v>
      </c>
      <c r="M875" s="3">
        <f>$D875*TCA!M875/100</f>
        <v>0</v>
      </c>
      <c r="N875" s="3">
        <f>$D875*TCA!N875/100</f>
        <v>0</v>
      </c>
      <c r="O875" s="3">
        <f>$D875*TCA!O875/100</f>
        <v>0</v>
      </c>
      <c r="P875" s="3">
        <f t="shared" si="13"/>
        <v>0</v>
      </c>
      <c r="Q875" s="3">
        <f>$D875*TCA!P875/100</f>
        <v>0</v>
      </c>
      <c r="R875" s="3">
        <f>$D875*TCA!Q875/100</f>
        <v>0</v>
      </c>
      <c r="S875" s="3">
        <f>$D875*TCA!R875/100</f>
        <v>76.430000000000007</v>
      </c>
      <c r="T875" s="3">
        <f>$D875*TCA!S875/100</f>
        <v>0</v>
      </c>
      <c r="U875" s="3">
        <f>$D875*TCA!T875/100</f>
        <v>0</v>
      </c>
      <c r="V875" s="3">
        <f>$D875*TCA!U875/100</f>
        <v>0</v>
      </c>
      <c r="W875" s="3">
        <f>$D875*TCA!V875/100</f>
        <v>0</v>
      </c>
      <c r="X875" s="3">
        <f>$D875*TCA!W875/100</f>
        <v>0</v>
      </c>
    </row>
    <row r="876" spans="1:24" x14ac:dyDescent="0.25">
      <c r="A876" s="3" t="s">
        <v>2034</v>
      </c>
      <c r="B876" s="3" t="s">
        <v>1726</v>
      </c>
      <c r="C876" s="3" t="s">
        <v>1727</v>
      </c>
      <c r="D876" s="3">
        <v>100</v>
      </c>
      <c r="E876" s="3">
        <f>$D876*TCA!E876/100</f>
        <v>510.71</v>
      </c>
      <c r="F876" s="3">
        <f>$D876*TCA!F876/100</f>
        <v>3.57</v>
      </c>
      <c r="G876" s="3">
        <f>$D876*TCA!G876/100</f>
        <v>25</v>
      </c>
      <c r="H876" s="3">
        <f>$D876*TCA!H876/100</f>
        <v>67.86</v>
      </c>
      <c r="I876" s="3">
        <f>$D876*TCA!I876/100</f>
        <v>10.71</v>
      </c>
      <c r="J876" s="3">
        <f>$D876*TCA!J876/100</f>
        <v>14.29</v>
      </c>
      <c r="K876" s="3">
        <f>$D876*TCA!K876/100</f>
        <v>10.71</v>
      </c>
      <c r="L876" s="3">
        <f>$D876*TCA!L876/100</f>
        <v>1.79</v>
      </c>
      <c r="M876" s="3">
        <f>$D876*TCA!M876/100</f>
        <v>0</v>
      </c>
      <c r="N876" s="3">
        <f>$D876*TCA!N876/100</f>
        <v>32.14</v>
      </c>
      <c r="O876" s="3">
        <f>$D876*TCA!O876/100</f>
        <v>0</v>
      </c>
      <c r="P876" s="3">
        <f t="shared" si="13"/>
        <v>0</v>
      </c>
      <c r="Q876" s="3">
        <f>$D876*TCA!P876/100</f>
        <v>3.57</v>
      </c>
      <c r="R876" s="3">
        <f>$D876*TCA!Q876/100</f>
        <v>535.71</v>
      </c>
      <c r="S876" s="3">
        <f>$D876*TCA!R876/100</f>
        <v>357.14</v>
      </c>
      <c r="T876" s="3">
        <f>$D876*TCA!S876/100</f>
        <v>0</v>
      </c>
      <c r="U876" s="3">
        <f>$D876*TCA!T876/100</f>
        <v>0</v>
      </c>
      <c r="V876" s="3">
        <f>$D876*TCA!U876/100</f>
        <v>0</v>
      </c>
      <c r="W876" s="3">
        <f>$D876*TCA!V876/100</f>
        <v>0</v>
      </c>
      <c r="X876" s="3">
        <f>$D876*TCA!W876/100</f>
        <v>0</v>
      </c>
    </row>
    <row r="877" spans="1:24" x14ac:dyDescent="0.25">
      <c r="A877" s="3" t="s">
        <v>2034</v>
      </c>
      <c r="B877" s="3" t="s">
        <v>1728</v>
      </c>
      <c r="C877" s="3" t="s">
        <v>1729</v>
      </c>
      <c r="D877" s="3">
        <v>100</v>
      </c>
      <c r="E877" s="3">
        <f>$D877*TCA!E877/100</f>
        <v>478.57</v>
      </c>
      <c r="F877" s="3">
        <f>$D877*TCA!F877/100</f>
        <v>3.57</v>
      </c>
      <c r="G877" s="3">
        <f>$D877*TCA!G877/100</f>
        <v>21.43</v>
      </c>
      <c r="H877" s="3">
        <f>$D877*TCA!H877/100</f>
        <v>67.86</v>
      </c>
      <c r="I877" s="3">
        <f>$D877*TCA!I877/100</f>
        <v>10.71</v>
      </c>
      <c r="J877" s="3">
        <f>$D877*TCA!J877/100</f>
        <v>8.93</v>
      </c>
      <c r="K877" s="3">
        <f>$D877*TCA!K877/100</f>
        <v>14.29</v>
      </c>
      <c r="L877" s="3">
        <f>$D877*TCA!L877/100</f>
        <v>3.57</v>
      </c>
      <c r="M877" s="3">
        <f>$D877*TCA!M877/100</f>
        <v>0</v>
      </c>
      <c r="N877" s="3">
        <f>$D877*TCA!N877/100</f>
        <v>32.14</v>
      </c>
      <c r="O877" s="3">
        <f>$D877*TCA!O877/100</f>
        <v>0</v>
      </c>
      <c r="P877" s="3">
        <f t="shared" si="13"/>
        <v>0</v>
      </c>
      <c r="Q877" s="3">
        <f>$D877*TCA!P877/100</f>
        <v>0.71</v>
      </c>
      <c r="R877" s="3">
        <f>$D877*TCA!Q877/100</f>
        <v>857.14</v>
      </c>
      <c r="S877" s="3">
        <f>$D877*TCA!R877/100</f>
        <v>303.57</v>
      </c>
      <c r="T877" s="3">
        <f>$D877*TCA!S877/100</f>
        <v>0</v>
      </c>
      <c r="U877" s="3">
        <f>$D877*TCA!T877/100</f>
        <v>0</v>
      </c>
      <c r="V877" s="3">
        <f>$D877*TCA!U877/100</f>
        <v>0</v>
      </c>
      <c r="W877" s="3">
        <f>$D877*TCA!V877/100</f>
        <v>0</v>
      </c>
      <c r="X877" s="3">
        <f>$D877*TCA!W877/100</f>
        <v>0</v>
      </c>
    </row>
    <row r="878" spans="1:24" x14ac:dyDescent="0.25">
      <c r="A878" s="3" t="s">
        <v>2034</v>
      </c>
      <c r="B878" s="3" t="s">
        <v>1730</v>
      </c>
      <c r="C878" s="3" t="s">
        <v>1731</v>
      </c>
      <c r="D878" s="3">
        <v>100</v>
      </c>
      <c r="E878" s="3">
        <f>$D878*TCA!E878/100</f>
        <v>525</v>
      </c>
      <c r="F878" s="3">
        <f>$D878*TCA!F878/100</f>
        <v>3.57</v>
      </c>
      <c r="G878" s="3">
        <f>$D878*TCA!G878/100</f>
        <v>25</v>
      </c>
      <c r="H878" s="3">
        <f>$D878*TCA!H878/100</f>
        <v>71.430000000000007</v>
      </c>
      <c r="I878" s="3">
        <f>$D878*TCA!I878/100</f>
        <v>10.71</v>
      </c>
      <c r="J878" s="3">
        <f>$D878*TCA!J878/100</f>
        <v>14.29</v>
      </c>
      <c r="K878" s="3">
        <f>$D878*TCA!K878/100</f>
        <v>10.71</v>
      </c>
      <c r="L878" s="3">
        <f>$D878*TCA!L878/100</f>
        <v>0</v>
      </c>
      <c r="M878" s="3">
        <f>$D878*TCA!M878/100</f>
        <v>0</v>
      </c>
      <c r="N878" s="3">
        <f>$D878*TCA!N878/100</f>
        <v>14.29</v>
      </c>
      <c r="O878" s="3">
        <f>$D878*TCA!O878/100</f>
        <v>0</v>
      </c>
      <c r="P878" s="3">
        <f t="shared" si="13"/>
        <v>0</v>
      </c>
      <c r="Q878" s="3">
        <f>$D878*TCA!P878/100</f>
        <v>0</v>
      </c>
      <c r="R878" s="3">
        <f>$D878*TCA!Q878/100</f>
        <v>503.57</v>
      </c>
      <c r="S878" s="3">
        <f>$D878*TCA!R878/100</f>
        <v>142.86000000000001</v>
      </c>
      <c r="T878" s="3">
        <f>$D878*TCA!S878/100</f>
        <v>0</v>
      </c>
      <c r="U878" s="3">
        <f>$D878*TCA!T878/100</f>
        <v>0</v>
      </c>
      <c r="V878" s="3">
        <f>$D878*TCA!U878/100</f>
        <v>0</v>
      </c>
      <c r="W878" s="3">
        <f>$D878*TCA!V878/100</f>
        <v>0</v>
      </c>
      <c r="X878" s="3">
        <f>$D878*TCA!W878/100</f>
        <v>0</v>
      </c>
    </row>
    <row r="879" spans="1:24" x14ac:dyDescent="0.25">
      <c r="A879" s="3" t="s">
        <v>2034</v>
      </c>
      <c r="B879" s="3" t="s">
        <v>1732</v>
      </c>
      <c r="C879" s="3" t="s">
        <v>1733</v>
      </c>
      <c r="D879" s="3">
        <v>100</v>
      </c>
      <c r="E879" s="3">
        <f>$D879*TCA!E879/100</f>
        <v>444</v>
      </c>
      <c r="F879" s="3">
        <f>$D879*TCA!F879/100</f>
        <v>16</v>
      </c>
      <c r="G879" s="3">
        <f>$D879*TCA!G879/100</f>
        <v>12</v>
      </c>
      <c r="H879" s="3">
        <f>$D879*TCA!H879/100</f>
        <v>68</v>
      </c>
      <c r="I879" s="3">
        <f>$D879*TCA!I879/100</f>
        <v>0</v>
      </c>
      <c r="J879" s="3">
        <f>$D879*TCA!J879/100</f>
        <v>8</v>
      </c>
      <c r="K879" s="3">
        <f>$D879*TCA!K879/100</f>
        <v>0</v>
      </c>
      <c r="L879" s="3">
        <f>$D879*TCA!L879/100</f>
        <v>0</v>
      </c>
      <c r="M879" s="3">
        <f>$D879*TCA!M879/100</f>
        <v>0</v>
      </c>
      <c r="N879" s="3">
        <f>$D879*TCA!N879/100</f>
        <v>0</v>
      </c>
      <c r="O879" s="3">
        <f>$D879*TCA!O879/100</f>
        <v>0</v>
      </c>
      <c r="P879" s="3">
        <f t="shared" si="13"/>
        <v>0</v>
      </c>
      <c r="Q879" s="3">
        <f>$D879*TCA!P879/100</f>
        <v>0</v>
      </c>
      <c r="R879" s="3">
        <f>$D879*TCA!Q879/100</f>
        <v>0</v>
      </c>
      <c r="S879" s="3">
        <f>$D879*TCA!R879/100</f>
        <v>1600</v>
      </c>
      <c r="T879" s="3">
        <f>$D879*TCA!S879/100</f>
        <v>0</v>
      </c>
      <c r="U879" s="3">
        <f>$D879*TCA!T879/100</f>
        <v>0</v>
      </c>
      <c r="V879" s="3">
        <f>$D879*TCA!U879/100</f>
        <v>0</v>
      </c>
      <c r="W879" s="3">
        <f>$D879*TCA!V879/100</f>
        <v>0</v>
      </c>
      <c r="X879" s="3">
        <f>$D879*TCA!W879/100</f>
        <v>0</v>
      </c>
    </row>
    <row r="880" spans="1:24" x14ac:dyDescent="0.25">
      <c r="A880" s="3" t="s">
        <v>2034</v>
      </c>
      <c r="B880" s="3" t="s">
        <v>1734</v>
      </c>
      <c r="C880" s="3" t="s">
        <v>1735</v>
      </c>
      <c r="D880" s="3">
        <v>100</v>
      </c>
      <c r="E880" s="3">
        <f>$D880*TCA!E880/100</f>
        <v>493.33</v>
      </c>
      <c r="F880" s="3">
        <f>$D880*TCA!F880/100</f>
        <v>6.67</v>
      </c>
      <c r="G880" s="3">
        <f>$D880*TCA!G880/100</f>
        <v>26.67</v>
      </c>
      <c r="H880" s="3">
        <f>$D880*TCA!H880/100</f>
        <v>56.67</v>
      </c>
      <c r="I880" s="3">
        <f>$D880*TCA!I880/100</f>
        <v>0</v>
      </c>
      <c r="J880" s="3">
        <f>$D880*TCA!J880/100</f>
        <v>3.33</v>
      </c>
      <c r="K880" s="3">
        <f>$D880*TCA!K880/100</f>
        <v>20</v>
      </c>
      <c r="L880" s="3">
        <f>$D880*TCA!L880/100</f>
        <v>3.33</v>
      </c>
      <c r="M880" s="3">
        <f>$D880*TCA!M880/100</f>
        <v>0</v>
      </c>
      <c r="N880" s="3">
        <f>$D880*TCA!N880/100</f>
        <v>0</v>
      </c>
      <c r="O880" s="3">
        <f>$D880*TCA!O880/100</f>
        <v>0</v>
      </c>
      <c r="P880" s="3">
        <f t="shared" si="13"/>
        <v>0</v>
      </c>
      <c r="Q880" s="3">
        <f>$D880*TCA!P880/100</f>
        <v>0</v>
      </c>
      <c r="R880" s="3">
        <f>$D880*TCA!Q880/100</f>
        <v>0</v>
      </c>
      <c r="S880" s="3">
        <f>$D880*TCA!R880/100</f>
        <v>733.33</v>
      </c>
      <c r="T880" s="3">
        <f>$D880*TCA!S880/100</f>
        <v>0</v>
      </c>
      <c r="U880" s="3">
        <f>$D880*TCA!T880/100</f>
        <v>0</v>
      </c>
      <c r="V880" s="3">
        <f>$D880*TCA!U880/100</f>
        <v>0</v>
      </c>
      <c r="W880" s="3">
        <f>$D880*TCA!V880/100</f>
        <v>0</v>
      </c>
      <c r="X880" s="3">
        <f>$D880*TCA!W880/100</f>
        <v>0</v>
      </c>
    </row>
    <row r="881" spans="1:24" x14ac:dyDescent="0.25">
      <c r="A881" s="3" t="s">
        <v>2034</v>
      </c>
      <c r="B881" s="3" t="s">
        <v>1736</v>
      </c>
      <c r="C881" s="3" t="s">
        <v>1736</v>
      </c>
      <c r="D881" s="3">
        <v>100</v>
      </c>
      <c r="E881" s="3">
        <f>$D881*TCA!E881/100</f>
        <v>523.33000000000004</v>
      </c>
      <c r="F881" s="3">
        <f>$D881*TCA!F881/100</f>
        <v>6.67</v>
      </c>
      <c r="G881" s="3">
        <f>$D881*TCA!G881/100</f>
        <v>30</v>
      </c>
      <c r="H881" s="3">
        <f>$D881*TCA!H881/100</f>
        <v>56.67</v>
      </c>
      <c r="I881" s="3">
        <f>$D881*TCA!I881/100</f>
        <v>0</v>
      </c>
      <c r="J881" s="3">
        <f>$D881*TCA!J881/100</f>
        <v>3.33</v>
      </c>
      <c r="K881" s="3">
        <f>$D881*TCA!K881/100</f>
        <v>20</v>
      </c>
      <c r="L881" s="3">
        <f>$D881*TCA!L881/100</f>
        <v>3.33</v>
      </c>
      <c r="M881" s="3">
        <f>$D881*TCA!M881/100</f>
        <v>0</v>
      </c>
      <c r="N881" s="3">
        <f>$D881*TCA!N881/100</f>
        <v>0</v>
      </c>
      <c r="O881" s="3">
        <f>$D881*TCA!O881/100</f>
        <v>0</v>
      </c>
      <c r="P881" s="3">
        <f t="shared" si="13"/>
        <v>0</v>
      </c>
      <c r="Q881" s="3">
        <f>$D881*TCA!P881/100</f>
        <v>0</v>
      </c>
      <c r="R881" s="3">
        <f>$D881*TCA!Q881/100</f>
        <v>0</v>
      </c>
      <c r="S881" s="3">
        <f>$D881*TCA!R881/100</f>
        <v>833.33</v>
      </c>
      <c r="T881" s="3">
        <f>$D881*TCA!S881/100</f>
        <v>0</v>
      </c>
      <c r="U881" s="3">
        <f>$D881*TCA!T881/100</f>
        <v>0</v>
      </c>
      <c r="V881" s="3">
        <f>$D881*TCA!U881/100</f>
        <v>0</v>
      </c>
      <c r="W881" s="3">
        <f>$D881*TCA!V881/100</f>
        <v>0</v>
      </c>
      <c r="X881" s="3">
        <f>$D881*TCA!W881/100</f>
        <v>0</v>
      </c>
    </row>
    <row r="882" spans="1:24" x14ac:dyDescent="0.25">
      <c r="A882" s="3" t="s">
        <v>2034</v>
      </c>
      <c r="B882" s="3" t="s">
        <v>1737</v>
      </c>
      <c r="C882" s="3" t="s">
        <v>1738</v>
      </c>
      <c r="D882" s="3">
        <v>100</v>
      </c>
      <c r="E882" s="3">
        <f>$D882*TCA!E882/100</f>
        <v>460</v>
      </c>
      <c r="F882" s="3">
        <f>$D882*TCA!F882/100</f>
        <v>30</v>
      </c>
      <c r="G882" s="3">
        <f>$D882*TCA!G882/100</f>
        <v>20</v>
      </c>
      <c r="H882" s="3">
        <f>$D882*TCA!H882/100</f>
        <v>40</v>
      </c>
      <c r="I882" s="3">
        <f>$D882*TCA!I882/100</f>
        <v>16.670000000000002</v>
      </c>
      <c r="J882" s="3">
        <f>$D882*TCA!J882/100</f>
        <v>3.33</v>
      </c>
      <c r="K882" s="3">
        <f>$D882*TCA!K882/100</f>
        <v>10</v>
      </c>
      <c r="L882" s="3">
        <f>$D882*TCA!L882/100</f>
        <v>6.67</v>
      </c>
      <c r="M882" s="3">
        <f>$D882*TCA!M882/100</f>
        <v>0</v>
      </c>
      <c r="N882" s="3">
        <f>$D882*TCA!N882/100</f>
        <v>0</v>
      </c>
      <c r="O882" s="3">
        <f>$D882*TCA!O882/100</f>
        <v>0</v>
      </c>
      <c r="P882" s="3">
        <f t="shared" si="13"/>
        <v>0</v>
      </c>
      <c r="Q882" s="3">
        <f>$D882*TCA!P882/100</f>
        <v>0</v>
      </c>
      <c r="R882" s="3">
        <f>$D882*TCA!Q882/100</f>
        <v>0</v>
      </c>
      <c r="S882" s="3">
        <f>$D882*TCA!R882/100</f>
        <v>533.33000000000004</v>
      </c>
      <c r="T882" s="3">
        <f>$D882*TCA!S882/100</f>
        <v>0</v>
      </c>
      <c r="U882" s="3">
        <f>$D882*TCA!T882/100</f>
        <v>0</v>
      </c>
      <c r="V882" s="3">
        <f>$D882*TCA!U882/100</f>
        <v>0</v>
      </c>
      <c r="W882" s="3">
        <f>$D882*TCA!V882/100</f>
        <v>0</v>
      </c>
      <c r="X882" s="3">
        <f>$D882*TCA!W882/100</f>
        <v>0</v>
      </c>
    </row>
    <row r="883" spans="1:24" x14ac:dyDescent="0.25">
      <c r="A883" s="3" t="s">
        <v>2034</v>
      </c>
      <c r="B883" s="3" t="s">
        <v>1739</v>
      </c>
      <c r="C883" s="3" t="s">
        <v>1740</v>
      </c>
      <c r="D883" s="3">
        <v>100</v>
      </c>
      <c r="E883" s="3">
        <f>$D883*TCA!E883/100</f>
        <v>448.57</v>
      </c>
      <c r="F883" s="3">
        <f>$D883*TCA!F883/100</f>
        <v>5.71</v>
      </c>
      <c r="G883" s="3">
        <f>$D883*TCA!G883/100</f>
        <v>14.29</v>
      </c>
      <c r="H883" s="3">
        <f>$D883*TCA!H883/100</f>
        <v>74.290000000000006</v>
      </c>
      <c r="I883" s="3">
        <f>$D883*TCA!I883/100</f>
        <v>0</v>
      </c>
      <c r="J883" s="3">
        <f>$D883*TCA!J883/100</f>
        <v>2.86</v>
      </c>
      <c r="K883" s="3">
        <f>$D883*TCA!K883/100</f>
        <v>8.57</v>
      </c>
      <c r="L883" s="3">
        <f>$D883*TCA!L883/100</f>
        <v>2.86</v>
      </c>
      <c r="M883" s="3">
        <f>$D883*TCA!M883/100</f>
        <v>0</v>
      </c>
      <c r="N883" s="3">
        <f>$D883*TCA!N883/100</f>
        <v>0</v>
      </c>
      <c r="O883" s="3">
        <f>$D883*TCA!O883/100</f>
        <v>0</v>
      </c>
      <c r="P883" s="3">
        <f t="shared" si="13"/>
        <v>0</v>
      </c>
      <c r="Q883" s="3">
        <f>$D883*TCA!P883/100</f>
        <v>0</v>
      </c>
      <c r="R883" s="3">
        <f>$D883*TCA!Q883/100</f>
        <v>0</v>
      </c>
      <c r="S883" s="3">
        <f>$D883*TCA!R883/100</f>
        <v>342.86</v>
      </c>
      <c r="T883" s="3">
        <f>$D883*TCA!S883/100</f>
        <v>0</v>
      </c>
      <c r="U883" s="3">
        <f>$D883*TCA!T883/100</f>
        <v>0</v>
      </c>
      <c r="V883" s="3">
        <f>$D883*TCA!U883/100</f>
        <v>0</v>
      </c>
      <c r="W883" s="3">
        <f>$D883*TCA!V883/100</f>
        <v>0</v>
      </c>
      <c r="X883" s="3">
        <f>$D883*TCA!W883/100</f>
        <v>0</v>
      </c>
    </row>
    <row r="884" spans="1:24" x14ac:dyDescent="0.25">
      <c r="A884" s="3" t="s">
        <v>2034</v>
      </c>
      <c r="B884" s="3" t="s">
        <v>1741</v>
      </c>
      <c r="C884" s="3" t="s">
        <v>1742</v>
      </c>
      <c r="D884" s="3">
        <v>100</v>
      </c>
      <c r="E884" s="3">
        <f>$D884*TCA!E884/100</f>
        <v>531.42999999999995</v>
      </c>
      <c r="F884" s="3">
        <f>$D884*TCA!F884/100</f>
        <v>5.71</v>
      </c>
      <c r="G884" s="3">
        <f>$D884*TCA!G884/100</f>
        <v>28.57</v>
      </c>
      <c r="H884" s="3">
        <f>$D884*TCA!H884/100</f>
        <v>62.86</v>
      </c>
      <c r="I884" s="3">
        <f>$D884*TCA!I884/100</f>
        <v>0</v>
      </c>
      <c r="J884" s="3">
        <f>$D884*TCA!J884/100</f>
        <v>7.14</v>
      </c>
      <c r="K884" s="3">
        <f>$D884*TCA!K884/100</f>
        <v>14.29</v>
      </c>
      <c r="L884" s="3">
        <f>$D884*TCA!L884/100</f>
        <v>5.71</v>
      </c>
      <c r="M884" s="3">
        <f>$D884*TCA!M884/100</f>
        <v>0</v>
      </c>
      <c r="N884" s="3">
        <f>$D884*TCA!N884/100</f>
        <v>0</v>
      </c>
      <c r="O884" s="3">
        <f>$D884*TCA!O884/100</f>
        <v>0</v>
      </c>
      <c r="P884" s="3">
        <f t="shared" si="13"/>
        <v>0</v>
      </c>
      <c r="Q884" s="3">
        <f>$D884*TCA!P884/100</f>
        <v>0</v>
      </c>
      <c r="R884" s="3">
        <f>$D884*TCA!Q884/100</f>
        <v>0</v>
      </c>
      <c r="S884" s="3">
        <f>$D884*TCA!R884/100</f>
        <v>342.86</v>
      </c>
      <c r="T884" s="3">
        <f>$D884*TCA!S884/100</f>
        <v>0</v>
      </c>
      <c r="U884" s="3">
        <f>$D884*TCA!T884/100</f>
        <v>0</v>
      </c>
      <c r="V884" s="3">
        <f>$D884*TCA!U884/100</f>
        <v>0</v>
      </c>
      <c r="W884" s="3">
        <f>$D884*TCA!V884/100</f>
        <v>0</v>
      </c>
      <c r="X884" s="3">
        <f>$D884*TCA!W884/100</f>
        <v>0</v>
      </c>
    </row>
    <row r="885" spans="1:24" x14ac:dyDescent="0.25">
      <c r="A885" s="3" t="s">
        <v>1743</v>
      </c>
      <c r="B885" s="3" t="s">
        <v>1744</v>
      </c>
      <c r="C885" s="3" t="s">
        <v>1745</v>
      </c>
      <c r="D885" s="3">
        <v>100</v>
      </c>
      <c r="E885" s="3">
        <f>$D885*TCA!E885/100</f>
        <v>356</v>
      </c>
      <c r="F885" s="3">
        <f>$D885*TCA!F885/100</f>
        <v>0</v>
      </c>
      <c r="G885" s="3">
        <f>$D885*TCA!G885/100</f>
        <v>0</v>
      </c>
      <c r="H885" s="3">
        <f>$D885*TCA!H885/100</f>
        <v>89</v>
      </c>
      <c r="I885" s="3">
        <f>$D885*TCA!I885/100</f>
        <v>0</v>
      </c>
      <c r="J885" s="3">
        <f>$D885*TCA!J885/100</f>
        <v>0</v>
      </c>
      <c r="K885" s="3">
        <f>$D885*TCA!K885/100</f>
        <v>0</v>
      </c>
      <c r="L885" s="3">
        <f>$D885*TCA!L885/100</f>
        <v>0</v>
      </c>
      <c r="M885" s="3">
        <f>$D885*TCA!M885/100</f>
        <v>0</v>
      </c>
      <c r="N885" s="3">
        <f>$D885*TCA!N885/100</f>
        <v>0</v>
      </c>
      <c r="O885" s="3">
        <f>$D885*TCA!O885/100</f>
        <v>0</v>
      </c>
      <c r="P885" s="3" t="e">
        <f t="shared" si="13"/>
        <v>#DIV/0!</v>
      </c>
      <c r="Q885" s="3">
        <f>$D885*TCA!P885/100</f>
        <v>0</v>
      </c>
      <c r="R885" s="3">
        <f>$D885*TCA!Q885/100</f>
        <v>0</v>
      </c>
      <c r="S885" s="3">
        <f>$D885*TCA!R885/100</f>
        <v>0</v>
      </c>
      <c r="T885" s="3">
        <f>$D885*TCA!S885/100</f>
        <v>0</v>
      </c>
      <c r="U885" s="3">
        <f>$D885*TCA!T885/100</f>
        <v>0</v>
      </c>
      <c r="V885" s="3">
        <f>$D885*TCA!U885/100</f>
        <v>0</v>
      </c>
      <c r="W885" s="3">
        <f>$D885*TCA!V885/100</f>
        <v>0</v>
      </c>
      <c r="X885" s="3">
        <f>$D885*TCA!W885/100</f>
        <v>0</v>
      </c>
    </row>
    <row r="886" spans="1:24" x14ac:dyDescent="0.25">
      <c r="A886" s="3" t="s">
        <v>1743</v>
      </c>
      <c r="B886" s="3" t="s">
        <v>1746</v>
      </c>
      <c r="C886" s="3" t="s">
        <v>1747</v>
      </c>
      <c r="D886" s="3">
        <v>100</v>
      </c>
      <c r="E886" s="3">
        <f>$D886*TCA!E886/100</f>
        <v>0</v>
      </c>
      <c r="F886" s="3">
        <f>$D886*TCA!F886/100</f>
        <v>0</v>
      </c>
      <c r="G886" s="3">
        <f>$D886*TCA!G886/100</f>
        <v>0</v>
      </c>
      <c r="H886" s="3">
        <f>$D886*TCA!H886/100</f>
        <v>0</v>
      </c>
      <c r="I886" s="3">
        <f>$D886*TCA!I886/100</f>
        <v>0</v>
      </c>
      <c r="J886" s="3">
        <f>$D886*TCA!J886/100</f>
        <v>0</v>
      </c>
      <c r="K886" s="3">
        <f>$D886*TCA!K886/100</f>
        <v>0</v>
      </c>
      <c r="L886" s="3">
        <f>$D886*TCA!L886/100</f>
        <v>0</v>
      </c>
      <c r="M886" s="3">
        <f>$D886*TCA!M886/100</f>
        <v>0</v>
      </c>
      <c r="N886" s="3">
        <f>$D886*TCA!N886/100</f>
        <v>0</v>
      </c>
      <c r="O886" s="3">
        <f>$D886*TCA!O886/100</f>
        <v>0</v>
      </c>
      <c r="P886" s="3" t="e">
        <f t="shared" si="13"/>
        <v>#DIV/0!</v>
      </c>
      <c r="Q886" s="3">
        <f>$D886*TCA!P886/100</f>
        <v>0</v>
      </c>
      <c r="R886" s="3">
        <f>$D886*TCA!Q886/100</f>
        <v>0</v>
      </c>
      <c r="S886" s="3">
        <f>$D886*TCA!R886/100</f>
        <v>0</v>
      </c>
      <c r="T886" s="3">
        <f>$D886*TCA!S886/100</f>
        <v>0</v>
      </c>
      <c r="U886" s="3">
        <f>$D886*TCA!T886/100</f>
        <v>0</v>
      </c>
      <c r="V886" s="3">
        <f>$D886*TCA!U886/100</f>
        <v>0</v>
      </c>
      <c r="W886" s="3">
        <f>$D886*TCA!V886/100</f>
        <v>0</v>
      </c>
      <c r="X886" s="3">
        <f>$D886*TCA!W886/100</f>
        <v>0</v>
      </c>
    </row>
    <row r="887" spans="1:24" x14ac:dyDescent="0.25">
      <c r="A887" s="3" t="s">
        <v>1743</v>
      </c>
      <c r="B887" s="3" t="s">
        <v>1748</v>
      </c>
      <c r="C887" s="3" t="s">
        <v>1749</v>
      </c>
      <c r="D887" s="3">
        <v>100</v>
      </c>
      <c r="E887" s="3">
        <f>$D887*TCA!E887/100</f>
        <v>0</v>
      </c>
      <c r="F887" s="3">
        <f>$D887*TCA!F887/100</f>
        <v>0</v>
      </c>
      <c r="G887" s="3">
        <f>$D887*TCA!G887/100</f>
        <v>0</v>
      </c>
      <c r="H887" s="3">
        <f>$D887*TCA!H887/100</f>
        <v>0</v>
      </c>
      <c r="I887" s="3">
        <f>$D887*TCA!I887/100</f>
        <v>0</v>
      </c>
      <c r="J887" s="3">
        <f>$D887*TCA!J887/100</f>
        <v>0</v>
      </c>
      <c r="K887" s="3">
        <f>$D887*TCA!K887/100</f>
        <v>0</v>
      </c>
      <c r="L887" s="3">
        <f>$D887*TCA!L887/100</f>
        <v>0</v>
      </c>
      <c r="M887" s="3">
        <f>$D887*TCA!M887/100</f>
        <v>0</v>
      </c>
      <c r="N887" s="3">
        <f>$D887*TCA!N887/100</f>
        <v>0</v>
      </c>
      <c r="O887" s="3">
        <f>$D887*TCA!O887/100</f>
        <v>0</v>
      </c>
      <c r="P887" s="3" t="e">
        <f t="shared" si="13"/>
        <v>#DIV/0!</v>
      </c>
      <c r="Q887" s="3">
        <f>$D887*TCA!P887/100</f>
        <v>0</v>
      </c>
      <c r="R887" s="3">
        <f>$D887*TCA!Q887/100</f>
        <v>0</v>
      </c>
      <c r="S887" s="3">
        <f>$D887*TCA!R887/100</f>
        <v>2353</v>
      </c>
      <c r="T887" s="3">
        <f>$D887*TCA!S887/100</f>
        <v>0</v>
      </c>
      <c r="U887" s="3">
        <f>$D887*TCA!T887/100</f>
        <v>0</v>
      </c>
      <c r="V887" s="3">
        <f>$D887*TCA!U887/100</f>
        <v>0</v>
      </c>
      <c r="W887" s="3">
        <f>$D887*TCA!V887/100</f>
        <v>0</v>
      </c>
      <c r="X887" s="3">
        <f>$D887*TCA!W887/100</f>
        <v>0</v>
      </c>
    </row>
    <row r="888" spans="1:24" x14ac:dyDescent="0.25">
      <c r="A888" s="3" t="s">
        <v>1743</v>
      </c>
      <c r="B888" s="3" t="s">
        <v>1750</v>
      </c>
      <c r="C888" s="3" t="s">
        <v>1751</v>
      </c>
      <c r="D888" s="3">
        <v>100</v>
      </c>
      <c r="E888" s="3">
        <f>$D888*TCA!E888/100</f>
        <v>333</v>
      </c>
      <c r="F888" s="3">
        <f>$D888*TCA!F888/100</f>
        <v>0</v>
      </c>
      <c r="G888" s="3">
        <f>$D888*TCA!G888/100</f>
        <v>0</v>
      </c>
      <c r="H888" s="3">
        <f>$D888*TCA!H888/100</f>
        <v>83</v>
      </c>
      <c r="I888" s="3">
        <f>$D888*TCA!I888/100</f>
        <v>0</v>
      </c>
      <c r="J888" s="3">
        <f>$D888*TCA!J888/100</f>
        <v>0</v>
      </c>
      <c r="K888" s="3">
        <f>$D888*TCA!K888/100</f>
        <v>0</v>
      </c>
      <c r="L888" s="3">
        <f>$D888*TCA!L888/100</f>
        <v>0</v>
      </c>
      <c r="M888" s="3">
        <f>$D888*TCA!M888/100</f>
        <v>0</v>
      </c>
      <c r="N888" s="3">
        <f>$D888*TCA!N888/100</f>
        <v>0</v>
      </c>
      <c r="O888" s="3">
        <f>$D888*TCA!O888/100</f>
        <v>0</v>
      </c>
      <c r="P888" s="3" t="e">
        <f t="shared" si="13"/>
        <v>#DIV/0!</v>
      </c>
      <c r="Q888" s="3">
        <f>$D888*TCA!P888/100</f>
        <v>0</v>
      </c>
      <c r="R888" s="3">
        <f>$D888*TCA!Q888/100</f>
        <v>0</v>
      </c>
      <c r="S888" s="3">
        <f>$D888*TCA!R888/100</f>
        <v>2083</v>
      </c>
      <c r="T888" s="3">
        <f>$D888*TCA!S888/100</f>
        <v>0</v>
      </c>
      <c r="U888" s="3">
        <f>$D888*TCA!T888/100</f>
        <v>0</v>
      </c>
      <c r="V888" s="3">
        <f>$D888*TCA!U888/100</f>
        <v>0</v>
      </c>
      <c r="W888" s="3">
        <f>$D888*TCA!V888/100</f>
        <v>0</v>
      </c>
      <c r="X888" s="3">
        <f>$D888*TCA!W888/100</f>
        <v>0</v>
      </c>
    </row>
    <row r="889" spans="1:24" x14ac:dyDescent="0.25">
      <c r="A889" s="3" t="s">
        <v>1743</v>
      </c>
      <c r="B889" s="3" t="s">
        <v>1752</v>
      </c>
      <c r="C889" s="3" t="s">
        <v>1753</v>
      </c>
      <c r="D889" s="3">
        <v>100</v>
      </c>
      <c r="E889" s="3">
        <f>$D889*TCA!E889/100</f>
        <v>222</v>
      </c>
      <c r="F889" s="3">
        <f>$D889*TCA!F889/100</f>
        <v>0</v>
      </c>
      <c r="G889" s="3">
        <f>$D889*TCA!G889/100</f>
        <v>0</v>
      </c>
      <c r="H889" s="3">
        <f>$D889*TCA!H889/100</f>
        <v>56</v>
      </c>
      <c r="I889" s="3">
        <f>$D889*TCA!I889/100</f>
        <v>0</v>
      </c>
      <c r="J889" s="3">
        <f>$D889*TCA!J889/100</f>
        <v>0</v>
      </c>
      <c r="K889" s="3">
        <f>$D889*TCA!K889/100</f>
        <v>0</v>
      </c>
      <c r="L889" s="3">
        <f>$D889*TCA!L889/100</f>
        <v>0</v>
      </c>
      <c r="M889" s="3">
        <f>$D889*TCA!M889/100</f>
        <v>0</v>
      </c>
      <c r="N889" s="3">
        <f>$D889*TCA!N889/100</f>
        <v>0</v>
      </c>
      <c r="O889" s="3">
        <f>$D889*TCA!O889/100</f>
        <v>0</v>
      </c>
      <c r="P889" s="3" t="e">
        <f t="shared" si="13"/>
        <v>#DIV/0!</v>
      </c>
      <c r="Q889" s="3">
        <f>$D889*TCA!P889/100</f>
        <v>0</v>
      </c>
      <c r="R889" s="3">
        <f>$D889*TCA!Q889/100</f>
        <v>0</v>
      </c>
      <c r="S889" s="3">
        <f>$D889*TCA!R889/100</f>
        <v>556</v>
      </c>
      <c r="T889" s="3">
        <f>$D889*TCA!S889/100</f>
        <v>0</v>
      </c>
      <c r="U889" s="3">
        <f>$D889*TCA!T889/100</f>
        <v>0</v>
      </c>
      <c r="V889" s="3">
        <f>$D889*TCA!U889/100</f>
        <v>0</v>
      </c>
      <c r="W889" s="3">
        <f>$D889*TCA!V889/100</f>
        <v>0</v>
      </c>
      <c r="X889" s="3">
        <f>$D889*TCA!W889/100</f>
        <v>0</v>
      </c>
    </row>
    <row r="890" spans="1:24" x14ac:dyDescent="0.25">
      <c r="A890" s="3" t="s">
        <v>1743</v>
      </c>
      <c r="B890" s="3" t="s">
        <v>1754</v>
      </c>
      <c r="C890" s="3" t="s">
        <v>1755</v>
      </c>
      <c r="D890" s="3">
        <v>100</v>
      </c>
      <c r="E890" s="3">
        <f>$D890*TCA!E890/100</f>
        <v>343</v>
      </c>
      <c r="F890" s="3">
        <f>$D890*TCA!F890/100</f>
        <v>0</v>
      </c>
      <c r="G890" s="3">
        <f>$D890*TCA!G890/100</f>
        <v>0</v>
      </c>
      <c r="H890" s="3">
        <f>$D890*TCA!H890/100</f>
        <v>85.7</v>
      </c>
      <c r="I890" s="3">
        <f>$D890*TCA!I890/100</f>
        <v>0</v>
      </c>
      <c r="J890" s="3">
        <f>$D890*TCA!J890/100</f>
        <v>0</v>
      </c>
      <c r="K890" s="3">
        <f>$D890*TCA!K890/100</f>
        <v>0</v>
      </c>
      <c r="L890" s="3">
        <f>$D890*TCA!L890/100</f>
        <v>0</v>
      </c>
      <c r="M890" s="3">
        <f>$D890*TCA!M890/100</f>
        <v>0</v>
      </c>
      <c r="N890" s="3">
        <f>$D890*TCA!N890/100</f>
        <v>0</v>
      </c>
      <c r="O890" s="3">
        <f>$D890*TCA!O890/100</f>
        <v>0</v>
      </c>
      <c r="P890" s="3" t="e">
        <f t="shared" si="13"/>
        <v>#DIV/0!</v>
      </c>
      <c r="Q890" s="3">
        <f>$D890*TCA!P890/100</f>
        <v>0</v>
      </c>
      <c r="R890" s="3">
        <f>$D890*TCA!Q890/100</f>
        <v>0</v>
      </c>
      <c r="S890" s="3">
        <f>$D890*TCA!R890/100</f>
        <v>429</v>
      </c>
      <c r="T890" s="3">
        <f>$D890*TCA!S890/100</f>
        <v>0</v>
      </c>
      <c r="U890" s="3">
        <f>$D890*TCA!T890/100</f>
        <v>0</v>
      </c>
      <c r="V890" s="3">
        <f>$D890*TCA!U890/100</f>
        <v>0</v>
      </c>
      <c r="W890" s="3">
        <f>$D890*TCA!V890/100</f>
        <v>0</v>
      </c>
      <c r="X890" s="3">
        <f>$D890*TCA!W890/100</f>
        <v>0</v>
      </c>
    </row>
    <row r="891" spans="1:24" x14ac:dyDescent="0.25">
      <c r="A891" s="3" t="s">
        <v>1743</v>
      </c>
      <c r="B891" s="3" t="s">
        <v>1756</v>
      </c>
      <c r="C891" s="3" t="s">
        <v>1757</v>
      </c>
      <c r="D891" s="3">
        <v>100</v>
      </c>
      <c r="E891" s="3">
        <f>$D891*TCA!E891/100</f>
        <v>395</v>
      </c>
      <c r="F891" s="3">
        <f>$D891*TCA!F891/100</f>
        <v>0</v>
      </c>
      <c r="G891" s="3">
        <f>$D891*TCA!G891/100</f>
        <v>0</v>
      </c>
      <c r="H891" s="3">
        <f>$D891*TCA!H891/100</f>
        <v>99</v>
      </c>
      <c r="I891" s="3">
        <f>$D891*TCA!I891/100</f>
        <v>0</v>
      </c>
      <c r="J891" s="3">
        <f>$D891*TCA!J891/100</f>
        <v>0</v>
      </c>
      <c r="K891" s="3">
        <f>$D891*TCA!K891/100</f>
        <v>0</v>
      </c>
      <c r="L891" s="3">
        <f>$D891*TCA!L891/100</f>
        <v>0</v>
      </c>
      <c r="M891" s="3">
        <f>$D891*TCA!M891/100</f>
        <v>0</v>
      </c>
      <c r="N891" s="3">
        <f>$D891*TCA!N891/100</f>
        <v>0</v>
      </c>
      <c r="O891" s="3">
        <f>$D891*TCA!O891/100</f>
        <v>0</v>
      </c>
      <c r="P891" s="3" t="e">
        <f t="shared" si="13"/>
        <v>#DIV/0!</v>
      </c>
      <c r="Q891" s="3">
        <f>$D891*TCA!P891/100</f>
        <v>0</v>
      </c>
      <c r="R891" s="3">
        <f>$D891*TCA!Q891/100</f>
        <v>0</v>
      </c>
      <c r="S891" s="3">
        <f>$D891*TCA!R891/100</f>
        <v>99</v>
      </c>
      <c r="T891" s="3">
        <f>$D891*TCA!S891/100</f>
        <v>0</v>
      </c>
      <c r="U891" s="3">
        <f>$D891*TCA!T891/100</f>
        <v>0</v>
      </c>
      <c r="V891" s="3">
        <f>$D891*TCA!U891/100</f>
        <v>0</v>
      </c>
      <c r="W891" s="3">
        <f>$D891*TCA!V891/100</f>
        <v>0</v>
      </c>
      <c r="X891" s="3">
        <f>$D891*TCA!W891/100</f>
        <v>0</v>
      </c>
    </row>
    <row r="892" spans="1:24" x14ac:dyDescent="0.25">
      <c r="A892" s="3" t="s">
        <v>1743</v>
      </c>
      <c r="B892" s="3" t="s">
        <v>1758</v>
      </c>
      <c r="C892" s="3" t="s">
        <v>1759</v>
      </c>
      <c r="D892" s="3">
        <v>100</v>
      </c>
      <c r="E892" s="3">
        <f>$D892*TCA!E892/100</f>
        <v>417</v>
      </c>
      <c r="F892" s="3">
        <f>$D892*TCA!F892/100</f>
        <v>0</v>
      </c>
      <c r="G892" s="3">
        <f>$D892*TCA!G892/100</f>
        <v>0</v>
      </c>
      <c r="H892" s="3">
        <f>$D892*TCA!H892/100</f>
        <v>104</v>
      </c>
      <c r="I892" s="3">
        <f>$D892*TCA!I892/100</f>
        <v>0</v>
      </c>
      <c r="J892" s="3">
        <f>$D892*TCA!J892/100</f>
        <v>0</v>
      </c>
      <c r="K892" s="3">
        <f>$D892*TCA!K892/100</f>
        <v>0</v>
      </c>
      <c r="L892" s="3">
        <f>$D892*TCA!L892/100</f>
        <v>0</v>
      </c>
      <c r="M892" s="3">
        <f>$D892*TCA!M892/100</f>
        <v>0</v>
      </c>
      <c r="N892" s="3">
        <f>$D892*TCA!N892/100</f>
        <v>0</v>
      </c>
      <c r="O892" s="3">
        <f>$D892*TCA!O892/100</f>
        <v>0</v>
      </c>
      <c r="P892" s="3" t="e">
        <f t="shared" si="13"/>
        <v>#DIV/0!</v>
      </c>
      <c r="Q892" s="3">
        <f>$D892*TCA!P892/100</f>
        <v>0</v>
      </c>
      <c r="R892" s="3">
        <f>$D892*TCA!Q892/100</f>
        <v>0</v>
      </c>
      <c r="S892" s="3">
        <f>$D892*TCA!R892/100</f>
        <v>208</v>
      </c>
      <c r="T892" s="3">
        <f>$D892*TCA!S892/100</f>
        <v>0</v>
      </c>
      <c r="U892" s="3">
        <f>$D892*TCA!T892/100</f>
        <v>0</v>
      </c>
      <c r="V892" s="3">
        <f>$D892*TCA!U892/100</f>
        <v>0</v>
      </c>
      <c r="W892" s="3">
        <f>$D892*TCA!V892/100</f>
        <v>0</v>
      </c>
      <c r="X892" s="3">
        <f>$D892*TCA!W892/100</f>
        <v>0</v>
      </c>
    </row>
    <row r="893" spans="1:24" x14ac:dyDescent="0.25">
      <c r="A893" s="3" t="s">
        <v>1760</v>
      </c>
      <c r="B893" s="3" t="s">
        <v>1761</v>
      </c>
      <c r="C893" s="3" t="s">
        <v>1762</v>
      </c>
      <c r="D893" s="3">
        <v>100</v>
      </c>
      <c r="E893" s="3">
        <f>$D893*TCA!E893/100</f>
        <v>0</v>
      </c>
      <c r="F893" s="3">
        <f>$D893*TCA!F893/100</f>
        <v>0</v>
      </c>
      <c r="G893" s="3">
        <f>$D893*TCA!G893/100</f>
        <v>0</v>
      </c>
      <c r="H893" s="3">
        <f>$D893*TCA!H893/100</f>
        <v>0</v>
      </c>
      <c r="I893" s="3">
        <f>$D893*TCA!I893/100</f>
        <v>0</v>
      </c>
      <c r="J893" s="3">
        <f>$D893*TCA!J893/100</f>
        <v>0</v>
      </c>
      <c r="K893" s="3">
        <f>$D893*TCA!K893/100</f>
        <v>0</v>
      </c>
      <c r="L893" s="3">
        <f>$D893*TCA!L893/100</f>
        <v>0</v>
      </c>
      <c r="M893" s="3">
        <f>$D893*TCA!M893/100</f>
        <v>0</v>
      </c>
      <c r="N893" s="3">
        <f>$D893*TCA!N893/100</f>
        <v>4</v>
      </c>
      <c r="O893" s="3">
        <f>$D893*TCA!O893/100</f>
        <v>11</v>
      </c>
      <c r="P893" s="3" t="e">
        <f t="shared" si="13"/>
        <v>#DIV/0!</v>
      </c>
      <c r="Q893" s="3">
        <f>$D893*TCA!P893/100</f>
        <v>0</v>
      </c>
      <c r="R893" s="3">
        <f>$D893*TCA!Q893/100</f>
        <v>150</v>
      </c>
      <c r="S893" s="3">
        <f>$D893*TCA!R893/100</f>
        <v>138</v>
      </c>
      <c r="T893" s="3">
        <f>$D893*TCA!S893/100</f>
        <v>0</v>
      </c>
      <c r="U893" s="3">
        <f>$D893*TCA!T893/100</f>
        <v>0</v>
      </c>
      <c r="V893" s="3">
        <f>$D893*TCA!U893/100</f>
        <v>0</v>
      </c>
      <c r="W893" s="3">
        <f>$D893*TCA!V893/100</f>
        <v>0</v>
      </c>
      <c r="X893" s="3">
        <f>$D893*TCA!W893/100</f>
        <v>0</v>
      </c>
    </row>
    <row r="894" spans="1:24" x14ac:dyDescent="0.25">
      <c r="A894" s="3" t="s">
        <v>1760</v>
      </c>
      <c r="B894" s="3" t="s">
        <v>1763</v>
      </c>
      <c r="C894" s="3" t="s">
        <v>1764</v>
      </c>
      <c r="D894" s="3">
        <v>100</v>
      </c>
      <c r="E894" s="3">
        <f>$D894*TCA!E894/100</f>
        <v>28</v>
      </c>
      <c r="F894" s="3">
        <f>$D894*TCA!F894/100</f>
        <v>0</v>
      </c>
      <c r="G894" s="3">
        <f>$D894*TCA!G894/100</f>
        <v>0</v>
      </c>
      <c r="H894" s="3">
        <f>$D894*TCA!H894/100</f>
        <v>6</v>
      </c>
      <c r="I894" s="3">
        <f>$D894*TCA!I894/100</f>
        <v>0</v>
      </c>
      <c r="J894" s="3">
        <f>$D894*TCA!J894/100</f>
        <v>0</v>
      </c>
      <c r="K894" s="3">
        <f>$D894*TCA!K894/100</f>
        <v>0</v>
      </c>
      <c r="L894" s="3">
        <f>$D894*TCA!L894/100</f>
        <v>0</v>
      </c>
      <c r="M894" s="3">
        <f>$D894*TCA!M894/100</f>
        <v>0</v>
      </c>
      <c r="N894" s="3">
        <f>$D894*TCA!N894/100</f>
        <v>22</v>
      </c>
      <c r="O894" s="3">
        <f>$D894*TCA!O894/100</f>
        <v>18</v>
      </c>
      <c r="P894" s="3" t="e">
        <f t="shared" si="13"/>
        <v>#DIV/0!</v>
      </c>
      <c r="Q894" s="3">
        <f>$D894*TCA!P894/100</f>
        <v>2</v>
      </c>
      <c r="R894" s="3">
        <f>$D894*TCA!Q894/100</f>
        <v>0</v>
      </c>
      <c r="S894" s="3">
        <f>$D894*TCA!R894/100</f>
        <v>0</v>
      </c>
      <c r="T894" s="3">
        <f>$D894*TCA!S894/100</f>
        <v>0</v>
      </c>
      <c r="U894" s="3">
        <f>$D894*TCA!T894/100</f>
        <v>2</v>
      </c>
      <c r="V894" s="3">
        <f>$D894*TCA!U894/100</f>
        <v>0</v>
      </c>
      <c r="W894" s="3">
        <f>$D894*TCA!V894/100</f>
        <v>0</v>
      </c>
      <c r="X894" s="3">
        <f>$D894*TCA!W894/100</f>
        <v>0</v>
      </c>
    </row>
    <row r="895" spans="1:24" x14ac:dyDescent="0.25">
      <c r="A895" s="3" t="s">
        <v>1760</v>
      </c>
      <c r="B895" s="3" t="s">
        <v>1765</v>
      </c>
      <c r="C895" s="3" t="s">
        <v>1766</v>
      </c>
      <c r="D895" s="3">
        <v>100</v>
      </c>
      <c r="E895" s="3">
        <f>$D895*TCA!E895/100</f>
        <v>37</v>
      </c>
      <c r="F895" s="3">
        <f>$D895*TCA!F895/100</f>
        <v>0</v>
      </c>
      <c r="G895" s="3">
        <f>$D895*TCA!G895/100</f>
        <v>0</v>
      </c>
      <c r="H895" s="3">
        <f>$D895*TCA!H895/100</f>
        <v>9</v>
      </c>
      <c r="I895" s="3">
        <f>$D895*TCA!I895/100</f>
        <v>0</v>
      </c>
      <c r="J895" s="3">
        <f>$D895*TCA!J895/100</f>
        <v>0</v>
      </c>
      <c r="K895" s="3">
        <f>$D895*TCA!K895/100</f>
        <v>0</v>
      </c>
      <c r="L895" s="3">
        <f>$D895*TCA!L895/100</f>
        <v>0</v>
      </c>
      <c r="M895" s="3">
        <f>$D895*TCA!M895/100</f>
        <v>0</v>
      </c>
      <c r="N895" s="3">
        <f>$D895*TCA!N895/100</f>
        <v>11</v>
      </c>
      <c r="O895" s="3">
        <f>$D895*TCA!O895/100</f>
        <v>14</v>
      </c>
      <c r="P895" s="3" t="e">
        <f t="shared" si="13"/>
        <v>#DIV/0!</v>
      </c>
      <c r="Q895" s="3">
        <f>$D895*TCA!P895/100</f>
        <v>1</v>
      </c>
      <c r="R895" s="3">
        <f>$D895*TCA!Q895/100</f>
        <v>0</v>
      </c>
      <c r="S895" s="3">
        <f>$D895*TCA!R895/100</f>
        <v>0</v>
      </c>
      <c r="T895" s="3">
        <f>$D895*TCA!S895/100</f>
        <v>0</v>
      </c>
      <c r="U895" s="3">
        <f>$D895*TCA!T895/100</f>
        <v>4</v>
      </c>
      <c r="V895" s="3">
        <f>$D895*TCA!U895/100</f>
        <v>0</v>
      </c>
      <c r="W895" s="3">
        <f>$D895*TCA!V895/100</f>
        <v>0</v>
      </c>
      <c r="X895" s="3">
        <f>$D895*TCA!W895/100</f>
        <v>0</v>
      </c>
    </row>
    <row r="896" spans="1:24" x14ac:dyDescent="0.25">
      <c r="A896" s="3" t="s">
        <v>1760</v>
      </c>
      <c r="B896" s="3" t="s">
        <v>1767</v>
      </c>
      <c r="C896" s="3" t="s">
        <v>1768</v>
      </c>
      <c r="D896" s="3">
        <v>100</v>
      </c>
      <c r="E896" s="3">
        <f>$D896*TCA!E896/100</f>
        <v>3</v>
      </c>
      <c r="F896" s="3">
        <f>$D896*TCA!F896/100</f>
        <v>0</v>
      </c>
      <c r="G896" s="3">
        <f>$D896*TCA!G896/100</f>
        <v>0</v>
      </c>
      <c r="H896" s="3">
        <f>$D896*TCA!H896/100</f>
        <v>1</v>
      </c>
      <c r="I896" s="3">
        <f>$D896*TCA!I896/100</f>
        <v>0</v>
      </c>
      <c r="J896" s="3">
        <f>$D896*TCA!J896/100</f>
        <v>0</v>
      </c>
      <c r="K896" s="3">
        <f>$D896*TCA!K896/100</f>
        <v>0</v>
      </c>
      <c r="L896" s="3">
        <f>$D896*TCA!L896/100</f>
        <v>0</v>
      </c>
      <c r="M896" s="3">
        <f>$D896*TCA!M896/100</f>
        <v>0</v>
      </c>
      <c r="N896" s="3">
        <f>$D896*TCA!N896/100</f>
        <v>4</v>
      </c>
      <c r="O896" s="3">
        <f>$D896*TCA!O896/100</f>
        <v>3</v>
      </c>
      <c r="P896" s="3" t="e">
        <f t="shared" si="13"/>
        <v>#DIV/0!</v>
      </c>
      <c r="Q896" s="3">
        <f>$D896*TCA!P896/100</f>
        <v>0</v>
      </c>
      <c r="R896" s="3">
        <f>$D896*TCA!Q896/100</f>
        <v>0</v>
      </c>
      <c r="S896" s="3">
        <f>$D896*TCA!R896/100</f>
        <v>0</v>
      </c>
      <c r="T896" s="3">
        <f>$D896*TCA!S896/100</f>
        <v>0</v>
      </c>
      <c r="U896" s="3">
        <f>$D896*TCA!T896/100</f>
        <v>0</v>
      </c>
      <c r="V896" s="3">
        <f>$D896*TCA!U896/100</f>
        <v>0</v>
      </c>
      <c r="W896" s="3">
        <f>$D896*TCA!V896/100</f>
        <v>0</v>
      </c>
      <c r="X896" s="3">
        <f>$D896*TCA!W896/100</f>
        <v>0</v>
      </c>
    </row>
    <row r="897" spans="1:24" x14ac:dyDescent="0.25">
      <c r="A897" s="3" t="s">
        <v>1769</v>
      </c>
      <c r="B897" s="3" t="s">
        <v>1770</v>
      </c>
      <c r="C897" s="3" t="s">
        <v>1771</v>
      </c>
      <c r="D897" s="3">
        <v>100</v>
      </c>
      <c r="E897" s="3">
        <f>$D897*TCA!E897/100</f>
        <v>53.33</v>
      </c>
      <c r="F897" s="3">
        <f>$D897*TCA!F897/100</f>
        <v>0</v>
      </c>
      <c r="G897" s="3">
        <f>$D897*TCA!G897/100</f>
        <v>0</v>
      </c>
      <c r="H897" s="3">
        <f>$D897*TCA!H897/100</f>
        <v>13.33</v>
      </c>
      <c r="I897" s="3">
        <f>$D897*TCA!I897/100</f>
        <v>0</v>
      </c>
      <c r="J897" s="3">
        <f>$D897*TCA!J897/100</f>
        <v>0</v>
      </c>
      <c r="K897" s="3">
        <f>$D897*TCA!K897/100</f>
        <v>0</v>
      </c>
      <c r="L897" s="3">
        <f>$D897*TCA!L897/100</f>
        <v>0</v>
      </c>
      <c r="M897" s="3">
        <f>$D897*TCA!M897/100</f>
        <v>0</v>
      </c>
      <c r="N897" s="3">
        <f>$D897*TCA!N897/100</f>
        <v>0</v>
      </c>
      <c r="O897" s="3">
        <f>$D897*TCA!O897/100</f>
        <v>0</v>
      </c>
      <c r="P897" s="3" t="e">
        <f t="shared" si="13"/>
        <v>#DIV/0!</v>
      </c>
      <c r="Q897" s="3">
        <f>$D897*TCA!P897/100</f>
        <v>0</v>
      </c>
      <c r="R897" s="3">
        <f>$D897*TCA!Q897/100</f>
        <v>0</v>
      </c>
      <c r="S897" s="3">
        <f>$D897*TCA!R897/100</f>
        <v>533.33000000000004</v>
      </c>
      <c r="T897" s="3">
        <f>$D897*TCA!S897/100</f>
        <v>0</v>
      </c>
      <c r="U897" s="3">
        <f>$D897*TCA!T897/100</f>
        <v>0</v>
      </c>
      <c r="V897" s="3">
        <f>$D897*TCA!U897/100</f>
        <v>0</v>
      </c>
      <c r="W897" s="3">
        <f>$D897*TCA!V897/100</f>
        <v>0</v>
      </c>
      <c r="X897" s="3">
        <f>$D897*TCA!W897/100</f>
        <v>0</v>
      </c>
    </row>
    <row r="898" spans="1:24" x14ac:dyDescent="0.25">
      <c r="A898" s="3" t="s">
        <v>1769</v>
      </c>
      <c r="B898" s="3" t="s">
        <v>1772</v>
      </c>
      <c r="C898" s="3" t="s">
        <v>1773</v>
      </c>
      <c r="D898" s="3">
        <v>100</v>
      </c>
      <c r="E898" s="3">
        <f>$D898*TCA!E898/100</f>
        <v>110.7</v>
      </c>
      <c r="F898" s="3">
        <f>$D898*TCA!F898/100</f>
        <v>1.74</v>
      </c>
      <c r="G898" s="3">
        <f>$D898*TCA!G898/100</f>
        <v>0.38</v>
      </c>
      <c r="H898" s="3">
        <f>$D898*TCA!H898/100</f>
        <v>25.08</v>
      </c>
      <c r="I898" s="3">
        <f>$D898*TCA!I898/100</f>
        <v>0.3</v>
      </c>
      <c r="J898" s="3">
        <f>$D898*TCA!J898/100</f>
        <v>0.05</v>
      </c>
      <c r="K898" s="3">
        <f>$D898*TCA!K898/100</f>
        <v>0.06</v>
      </c>
      <c r="L898" s="3">
        <f>$D898*TCA!L898/100</f>
        <v>0.15</v>
      </c>
      <c r="M898" s="3">
        <f>$D898*TCA!M898/100</f>
        <v>0</v>
      </c>
      <c r="N898" s="3">
        <f>$D898*TCA!N898/100</f>
        <v>18</v>
      </c>
      <c r="O898" s="3">
        <f>$D898*TCA!O898/100</f>
        <v>33</v>
      </c>
      <c r="P898" s="3">
        <f t="shared" si="13"/>
        <v>18.96551724137931</v>
      </c>
      <c r="Q898" s="3">
        <f>$D898*TCA!P898/100</f>
        <v>0.51</v>
      </c>
      <c r="R898" s="3">
        <f>$D898*TCA!Q898/100</f>
        <v>382</v>
      </c>
      <c r="S898" s="3">
        <f>$D898*TCA!R898/100</f>
        <v>1114</v>
      </c>
      <c r="T898" s="3">
        <f>$D898*TCA!S898/100</f>
        <v>0.26</v>
      </c>
      <c r="U898" s="3">
        <f>$D898*TCA!T898/100</f>
        <v>15</v>
      </c>
      <c r="V898" s="3">
        <f>$D898*TCA!U898/100</f>
        <v>47</v>
      </c>
      <c r="W898" s="3">
        <f>$D898*TCA!V898/100</f>
        <v>10</v>
      </c>
      <c r="X898" s="3">
        <f>$D898*TCA!W898/100</f>
        <v>0</v>
      </c>
    </row>
    <row r="899" spans="1:24" x14ac:dyDescent="0.25">
      <c r="A899" s="3" t="s">
        <v>1769</v>
      </c>
      <c r="B899" s="3" t="s">
        <v>1774</v>
      </c>
      <c r="C899" s="3" t="s">
        <v>1775</v>
      </c>
      <c r="D899" s="3">
        <v>100</v>
      </c>
      <c r="E899" s="3">
        <f>$D899*TCA!E899/100</f>
        <v>26.67</v>
      </c>
      <c r="F899" s="3">
        <f>$D899*TCA!F899/100</f>
        <v>0</v>
      </c>
      <c r="G899" s="3">
        <f>$D899*TCA!G899/100</f>
        <v>0</v>
      </c>
      <c r="H899" s="3">
        <f>$D899*TCA!H899/100</f>
        <v>6.67</v>
      </c>
      <c r="I899" s="3">
        <f>$D899*TCA!I899/100</f>
        <v>6.67</v>
      </c>
      <c r="J899" s="3">
        <f>$D899*TCA!J899/100</f>
        <v>0</v>
      </c>
      <c r="K899" s="3">
        <f>$D899*TCA!K899/100</f>
        <v>0</v>
      </c>
      <c r="L899" s="3">
        <f>$D899*TCA!L899/100</f>
        <v>0</v>
      </c>
      <c r="M899" s="3">
        <f>$D899*TCA!M899/100</f>
        <v>0</v>
      </c>
      <c r="N899" s="3">
        <f>$D899*TCA!N899/100</f>
        <v>0</v>
      </c>
      <c r="O899" s="3">
        <f>$D899*TCA!O899/100</f>
        <v>0</v>
      </c>
      <c r="P899" s="3" t="e">
        <f t="shared" si="13"/>
        <v>#DIV/0!</v>
      </c>
      <c r="Q899" s="3">
        <f>$D899*TCA!P899/100</f>
        <v>0</v>
      </c>
      <c r="R899" s="3">
        <f>$D899*TCA!Q899/100</f>
        <v>0</v>
      </c>
      <c r="S899" s="3">
        <f>$D899*TCA!R899/100</f>
        <v>533.33000000000004</v>
      </c>
      <c r="T899" s="3">
        <f>$D899*TCA!S899/100</f>
        <v>0</v>
      </c>
      <c r="U899" s="3">
        <f>$D899*TCA!T899/100</f>
        <v>0</v>
      </c>
      <c r="V899" s="3">
        <f>$D899*TCA!U899/100</f>
        <v>0</v>
      </c>
      <c r="W899" s="3">
        <f>$D899*TCA!V899/100</f>
        <v>0</v>
      </c>
      <c r="X899" s="3">
        <f>$D899*TCA!W899/100</f>
        <v>0</v>
      </c>
    </row>
    <row r="900" spans="1:24" x14ac:dyDescent="0.25">
      <c r="A900" s="3" t="s">
        <v>1769</v>
      </c>
      <c r="B900" s="3" t="s">
        <v>1776</v>
      </c>
      <c r="C900" s="3" t="s">
        <v>1777</v>
      </c>
      <c r="D900" s="3">
        <v>100</v>
      </c>
      <c r="E900" s="3">
        <f>$D900*TCA!E900/100</f>
        <v>635.71</v>
      </c>
      <c r="F900" s="3">
        <f>$D900*TCA!F900/100</f>
        <v>0</v>
      </c>
      <c r="G900" s="3">
        <f>$D900*TCA!G900/100</f>
        <v>64.290000000000006</v>
      </c>
      <c r="H900" s="3">
        <f>$D900*TCA!H900/100</f>
        <v>14.29</v>
      </c>
      <c r="I900" s="3">
        <f>$D900*TCA!I900/100</f>
        <v>0</v>
      </c>
      <c r="J900" s="3">
        <f>$D900*TCA!J900/100</f>
        <v>10.71</v>
      </c>
      <c r="K900" s="3">
        <f>$D900*TCA!K900/100</f>
        <v>17.86</v>
      </c>
      <c r="L900" s="3">
        <f>$D900*TCA!L900/100</f>
        <v>35.71</v>
      </c>
      <c r="M900" s="3">
        <f>$D900*TCA!M900/100</f>
        <v>64.290000000000006</v>
      </c>
      <c r="N900" s="3">
        <f>$D900*TCA!N900/100</f>
        <v>0</v>
      </c>
      <c r="O900" s="3">
        <f>$D900*TCA!O900/100</f>
        <v>0</v>
      </c>
      <c r="P900" s="3" t="e">
        <f t="shared" ref="P900:P963" si="14">O900/F900</f>
        <v>#DIV/0!</v>
      </c>
      <c r="Q900" s="3">
        <f>$D900*TCA!P900/100</f>
        <v>0</v>
      </c>
      <c r="R900" s="3">
        <f>$D900*TCA!Q900/100</f>
        <v>0</v>
      </c>
      <c r="S900" s="3">
        <f>$D900*TCA!R900/100</f>
        <v>785.71</v>
      </c>
      <c r="T900" s="3">
        <f>$D900*TCA!S900/100</f>
        <v>0</v>
      </c>
      <c r="U900" s="3">
        <f>$D900*TCA!T900/100</f>
        <v>0</v>
      </c>
      <c r="V900" s="3">
        <f>$D900*TCA!U900/100</f>
        <v>0</v>
      </c>
      <c r="W900" s="3">
        <f>$D900*TCA!V900/100</f>
        <v>0</v>
      </c>
      <c r="X900" s="3">
        <f>$D900*TCA!W900/100</f>
        <v>0</v>
      </c>
    </row>
    <row r="901" spans="1:24" x14ac:dyDescent="0.25">
      <c r="A901" s="3" t="s">
        <v>1769</v>
      </c>
      <c r="B901" s="3" t="s">
        <v>1778</v>
      </c>
      <c r="C901" s="3" t="s">
        <v>1779</v>
      </c>
      <c r="D901" s="3">
        <v>100</v>
      </c>
      <c r="E901" s="3">
        <f>$D901*TCA!E901/100</f>
        <v>130.30000000000001</v>
      </c>
      <c r="F901" s="3">
        <f>$D901*TCA!F901/100</f>
        <v>1.01</v>
      </c>
      <c r="G901" s="3">
        <f>$D901*TCA!G901/100</f>
        <v>9.09</v>
      </c>
      <c r="H901" s="3">
        <f>$D901*TCA!H901/100</f>
        <v>11.11</v>
      </c>
      <c r="I901" s="3">
        <f>$D901*TCA!I901/100</f>
        <v>0</v>
      </c>
      <c r="J901" s="3">
        <f>$D901*TCA!J901/100</f>
        <v>2.02</v>
      </c>
      <c r="K901" s="3">
        <f>$D901*TCA!K901/100</f>
        <v>3.03</v>
      </c>
      <c r="L901" s="3">
        <f>$D901*TCA!L901/100</f>
        <v>0.51</v>
      </c>
      <c r="M901" s="3">
        <f>$D901*TCA!M901/100</f>
        <v>0</v>
      </c>
      <c r="N901" s="3">
        <f>$D901*TCA!N901/100</f>
        <v>0</v>
      </c>
      <c r="O901" s="3">
        <f>$D901*TCA!O901/100</f>
        <v>0</v>
      </c>
      <c r="P901" s="3">
        <f t="shared" si="14"/>
        <v>0</v>
      </c>
      <c r="Q901" s="3">
        <f>$D901*TCA!P901/100</f>
        <v>0</v>
      </c>
      <c r="R901" s="3">
        <f>$D901*TCA!Q901/100</f>
        <v>0</v>
      </c>
      <c r="S901" s="3">
        <f>$D901*TCA!R901/100</f>
        <v>808.08</v>
      </c>
      <c r="T901" s="3">
        <f>$D901*TCA!S901/100</f>
        <v>0</v>
      </c>
      <c r="U901" s="3">
        <f>$D901*TCA!T901/100</f>
        <v>0</v>
      </c>
      <c r="V901" s="3">
        <f>$D901*TCA!U901/100</f>
        <v>0</v>
      </c>
      <c r="W901" s="3">
        <f>$D901*TCA!V901/100</f>
        <v>0</v>
      </c>
      <c r="X901" s="3">
        <f>$D901*TCA!W901/100</f>
        <v>0</v>
      </c>
    </row>
    <row r="902" spans="1:24" x14ac:dyDescent="0.25">
      <c r="A902" s="3" t="s">
        <v>1769</v>
      </c>
      <c r="B902" s="3" t="s">
        <v>1780</v>
      </c>
      <c r="C902" s="3" t="s">
        <v>1781</v>
      </c>
      <c r="D902" s="3">
        <v>100</v>
      </c>
      <c r="E902" s="3">
        <f>$D902*TCA!E902/100</f>
        <v>300</v>
      </c>
      <c r="F902" s="3">
        <f>$D902*TCA!F902/100</f>
        <v>0</v>
      </c>
      <c r="G902" s="3">
        <f>$D902*TCA!G902/100</f>
        <v>33.33</v>
      </c>
      <c r="H902" s="3">
        <f>$D902*TCA!H902/100</f>
        <v>0</v>
      </c>
      <c r="I902" s="3">
        <f>$D902*TCA!I902/100</f>
        <v>0</v>
      </c>
      <c r="J902" s="3">
        <f>$D902*TCA!J902/100</f>
        <v>10</v>
      </c>
      <c r="K902" s="3">
        <f>$D902*TCA!K902/100</f>
        <v>13.33</v>
      </c>
      <c r="L902" s="3">
        <f>$D902*TCA!L902/100</f>
        <v>10</v>
      </c>
      <c r="M902" s="3">
        <f>$D902*TCA!M902/100</f>
        <v>66.67</v>
      </c>
      <c r="N902" s="3">
        <f>$D902*TCA!N902/100</f>
        <v>0</v>
      </c>
      <c r="O902" s="3">
        <f>$D902*TCA!O902/100</f>
        <v>0</v>
      </c>
      <c r="P902" s="3" t="e">
        <f t="shared" si="14"/>
        <v>#DIV/0!</v>
      </c>
      <c r="Q902" s="3">
        <f>$D902*TCA!P902/100</f>
        <v>0</v>
      </c>
      <c r="R902" s="3">
        <f>$D902*TCA!Q902/100</f>
        <v>0</v>
      </c>
      <c r="S902" s="3">
        <f>$D902*TCA!R902/100</f>
        <v>866.67</v>
      </c>
      <c r="T902" s="3">
        <f>$D902*TCA!S902/100</f>
        <v>0</v>
      </c>
      <c r="U902" s="3">
        <f>$D902*TCA!T902/100</f>
        <v>0</v>
      </c>
      <c r="V902" s="3">
        <f>$D902*TCA!U902/100</f>
        <v>0</v>
      </c>
      <c r="W902" s="3">
        <f>$D902*TCA!V902/100</f>
        <v>0</v>
      </c>
      <c r="X902" s="3">
        <f>$D902*TCA!W902/100</f>
        <v>0</v>
      </c>
    </row>
    <row r="903" spans="1:24" x14ac:dyDescent="0.25">
      <c r="A903" s="3" t="s">
        <v>1769</v>
      </c>
      <c r="B903" s="3" t="s">
        <v>1782</v>
      </c>
      <c r="C903" s="3" t="s">
        <v>1783</v>
      </c>
      <c r="D903" s="3">
        <v>100</v>
      </c>
      <c r="E903" s="3">
        <f>$D903*TCA!E903/100</f>
        <v>240</v>
      </c>
      <c r="F903" s="3">
        <f>$D903*TCA!F903/100</f>
        <v>0</v>
      </c>
      <c r="G903" s="3">
        <f>$D903*TCA!G903/100</f>
        <v>26.67</v>
      </c>
      <c r="H903" s="3">
        <f>$D903*TCA!H903/100</f>
        <v>0</v>
      </c>
      <c r="I903" s="3">
        <f>$D903*TCA!I903/100</f>
        <v>0</v>
      </c>
      <c r="J903" s="3">
        <f>$D903*TCA!J903/100</f>
        <v>3.33</v>
      </c>
      <c r="K903" s="3">
        <f>$D903*TCA!K903/100</f>
        <v>10</v>
      </c>
      <c r="L903" s="3">
        <f>$D903*TCA!L903/100</f>
        <v>13.33</v>
      </c>
      <c r="M903" s="3">
        <f>$D903*TCA!M903/100</f>
        <v>0</v>
      </c>
      <c r="N903" s="3">
        <f>$D903*TCA!N903/100</f>
        <v>0</v>
      </c>
      <c r="O903" s="3">
        <f>$D903*TCA!O903/100</f>
        <v>0</v>
      </c>
      <c r="P903" s="3" t="e">
        <f t="shared" si="14"/>
        <v>#DIV/0!</v>
      </c>
      <c r="Q903" s="3">
        <f>$D903*TCA!P903/100</f>
        <v>0</v>
      </c>
      <c r="R903" s="3">
        <f>$D903*TCA!Q903/100</f>
        <v>0</v>
      </c>
      <c r="S903" s="3">
        <f>$D903*TCA!R903/100</f>
        <v>666.67</v>
      </c>
      <c r="T903" s="3">
        <f>$D903*TCA!S903/100</f>
        <v>0</v>
      </c>
      <c r="U903" s="3">
        <f>$D903*TCA!T903/100</f>
        <v>0</v>
      </c>
      <c r="V903" s="3">
        <f>$D903*TCA!U903/100</f>
        <v>0</v>
      </c>
      <c r="W903" s="3">
        <f>$D903*TCA!V903/100</f>
        <v>0</v>
      </c>
      <c r="X903" s="3">
        <f>$D903*TCA!W903/100</f>
        <v>0</v>
      </c>
    </row>
    <row r="904" spans="1:24" x14ac:dyDescent="0.25">
      <c r="A904" s="14"/>
      <c r="B904" s="14"/>
      <c r="C904" s="14"/>
      <c r="D904" s="3">
        <v>100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 spans="1:24" x14ac:dyDescent="0.25">
      <c r="A905" s="3" t="s">
        <v>2035</v>
      </c>
      <c r="B905" s="3" t="s">
        <v>1784</v>
      </c>
      <c r="C905" s="3" t="s">
        <v>1785</v>
      </c>
      <c r="D905" s="3">
        <v>100</v>
      </c>
      <c r="E905" s="3">
        <f>$D905*TCA!E905/100</f>
        <v>900</v>
      </c>
      <c r="F905" s="3">
        <f>$D905*TCA!F905/100</f>
        <v>0</v>
      </c>
      <c r="G905" s="3">
        <f>$D905*TCA!G905/100</f>
        <v>100</v>
      </c>
      <c r="H905" s="3">
        <f>$D905*TCA!H905/100</f>
        <v>0</v>
      </c>
      <c r="I905" s="3">
        <f>$D905*TCA!I905/100</f>
        <v>0</v>
      </c>
      <c r="J905" s="3">
        <f>$D905*TCA!J905/100</f>
        <v>0</v>
      </c>
      <c r="K905" s="3">
        <f>$D905*TCA!K905/100</f>
        <v>0</v>
      </c>
      <c r="L905" s="3">
        <f>$D905*TCA!L905/100</f>
        <v>0</v>
      </c>
      <c r="M905" s="3">
        <f>$D905*TCA!M905/100</f>
        <v>0</v>
      </c>
      <c r="N905" s="3">
        <f>$D905*TCA!N905/100</f>
        <v>0</v>
      </c>
      <c r="O905" s="3">
        <f>$D905*TCA!O905/100</f>
        <v>0</v>
      </c>
      <c r="P905" s="3" t="e">
        <f t="shared" si="14"/>
        <v>#DIV/0!</v>
      </c>
      <c r="Q905" s="3">
        <f>$D905*TCA!P905/100</f>
        <v>0</v>
      </c>
      <c r="R905" s="3">
        <f>$D905*TCA!Q905/100</f>
        <v>0</v>
      </c>
      <c r="S905" s="3">
        <f>$D905*TCA!R905/100</f>
        <v>0</v>
      </c>
      <c r="T905" s="3">
        <f>$D905*TCA!S905/100</f>
        <v>0</v>
      </c>
      <c r="U905" s="3">
        <f>$D905*TCA!T905/100</f>
        <v>0</v>
      </c>
      <c r="V905" s="3">
        <f>$D905*TCA!U905/100</f>
        <v>0</v>
      </c>
      <c r="W905" s="3">
        <f>$D905*TCA!V905/100</f>
        <v>0</v>
      </c>
      <c r="X905" s="3">
        <f>$D905*TCA!W905/100</f>
        <v>0</v>
      </c>
    </row>
    <row r="906" spans="1:24" x14ac:dyDescent="0.25">
      <c r="A906" s="3" t="s">
        <v>2035</v>
      </c>
      <c r="B906" s="3" t="s">
        <v>1786</v>
      </c>
      <c r="C906" s="3" t="s">
        <v>1787</v>
      </c>
      <c r="D906" s="3">
        <v>100</v>
      </c>
      <c r="E906" s="3">
        <f>$D906*TCA!E906/100</f>
        <v>900</v>
      </c>
      <c r="F906" s="3">
        <f>$D906*TCA!F906/100</f>
        <v>0</v>
      </c>
      <c r="G906" s="3">
        <f>$D906*TCA!G906/100</f>
        <v>100</v>
      </c>
      <c r="H906" s="3">
        <f>$D906*TCA!H906/100</f>
        <v>0</v>
      </c>
      <c r="I906" s="3">
        <f>$D906*TCA!I906/100</f>
        <v>0</v>
      </c>
      <c r="J906" s="3">
        <f>$D906*TCA!J906/100</f>
        <v>28.57</v>
      </c>
      <c r="K906" s="3">
        <f>$D906*TCA!K906/100</f>
        <v>21.42</v>
      </c>
      <c r="L906" s="3">
        <f>$D906*TCA!L906/100</f>
        <v>50</v>
      </c>
      <c r="M906" s="3">
        <f>$D906*TCA!M906/100</f>
        <v>0</v>
      </c>
      <c r="N906" s="3">
        <f>$D906*TCA!N906/100</f>
        <v>0</v>
      </c>
      <c r="O906" s="3">
        <f>$D906*TCA!O906/100</f>
        <v>0</v>
      </c>
      <c r="P906" s="3" t="e">
        <f t="shared" si="14"/>
        <v>#DIV/0!</v>
      </c>
      <c r="Q906" s="3">
        <f>$D906*TCA!P906/100</f>
        <v>0</v>
      </c>
      <c r="R906" s="3">
        <f>$D906*TCA!Q906/100</f>
        <v>0</v>
      </c>
      <c r="S906" s="3">
        <f>$D906*TCA!R906/100</f>
        <v>0</v>
      </c>
      <c r="T906" s="3">
        <f>$D906*TCA!S906/100</f>
        <v>0</v>
      </c>
      <c r="U906" s="3">
        <f>$D906*TCA!T906/100</f>
        <v>0</v>
      </c>
      <c r="V906" s="3">
        <f>$D906*TCA!U906/100</f>
        <v>0</v>
      </c>
      <c r="W906" s="3">
        <f>$D906*TCA!V906/100</f>
        <v>0</v>
      </c>
      <c r="X906" s="3">
        <f>$D906*TCA!W906/100</f>
        <v>0</v>
      </c>
    </row>
    <row r="907" spans="1:24" x14ac:dyDescent="0.25">
      <c r="A907" s="3" t="s">
        <v>2035</v>
      </c>
      <c r="B907" s="3" t="s">
        <v>1788</v>
      </c>
      <c r="C907" s="3" t="s">
        <v>1789</v>
      </c>
      <c r="D907" s="3">
        <v>100</v>
      </c>
      <c r="E907" s="3">
        <f>$D907*TCA!E907/100</f>
        <v>900</v>
      </c>
      <c r="F907" s="3">
        <f>$D907*TCA!F907/100</f>
        <v>0</v>
      </c>
      <c r="G907" s="3">
        <f>$D907*TCA!G907/100</f>
        <v>100</v>
      </c>
      <c r="H907" s="3">
        <f>$D907*TCA!H907/100</f>
        <v>0</v>
      </c>
      <c r="I907" s="3">
        <f>$D907*TCA!I907/100</f>
        <v>0</v>
      </c>
      <c r="J907" s="3">
        <f>$D907*TCA!J907/100</f>
        <v>28.57</v>
      </c>
      <c r="K907" s="3">
        <f>$D907*TCA!K907/100</f>
        <v>21.43</v>
      </c>
      <c r="L907" s="3">
        <f>$D907*TCA!L907/100</f>
        <v>50</v>
      </c>
      <c r="M907" s="3">
        <f>$D907*TCA!M907/100</f>
        <v>0</v>
      </c>
      <c r="N907" s="3">
        <f>$D907*TCA!N907/100</f>
        <v>0</v>
      </c>
      <c r="O907" s="3">
        <f>$D907*TCA!O907/100</f>
        <v>0</v>
      </c>
      <c r="P907" s="3" t="e">
        <f t="shared" si="14"/>
        <v>#DIV/0!</v>
      </c>
      <c r="Q907" s="3">
        <f>$D907*TCA!P907/100</f>
        <v>0</v>
      </c>
      <c r="R907" s="3">
        <f>$D907*TCA!Q907/100</f>
        <v>0</v>
      </c>
      <c r="S907" s="3">
        <f>$D907*TCA!R907/100</f>
        <v>0</v>
      </c>
      <c r="T907" s="3">
        <f>$D907*TCA!S907/100</f>
        <v>0</v>
      </c>
      <c r="U907" s="3">
        <f>$D907*TCA!T907/100</f>
        <v>0</v>
      </c>
      <c r="V907" s="3">
        <f>$D907*TCA!U907/100</f>
        <v>0</v>
      </c>
      <c r="W907" s="3">
        <f>$D907*TCA!V907/100</f>
        <v>0</v>
      </c>
      <c r="X907" s="3">
        <f>$D907*TCA!W907/100</f>
        <v>0</v>
      </c>
    </row>
    <row r="908" spans="1:24" x14ac:dyDescent="0.25">
      <c r="A908" s="3" t="s">
        <v>2035</v>
      </c>
      <c r="B908" s="3" t="s">
        <v>1790</v>
      </c>
      <c r="C908" s="3" t="s">
        <v>1791</v>
      </c>
      <c r="D908" s="3">
        <v>100</v>
      </c>
      <c r="E908" s="3">
        <f>$D908*TCA!E908/100</f>
        <v>22.4</v>
      </c>
      <c r="F908" s="3">
        <f>$D908*TCA!F908/100</f>
        <v>0.4</v>
      </c>
      <c r="G908" s="3">
        <f>$D908*TCA!G908/100</f>
        <v>0</v>
      </c>
      <c r="H908" s="3">
        <f>$D908*TCA!H908/100</f>
        <v>5.2</v>
      </c>
      <c r="I908" s="3">
        <f>$D908*TCA!I908/100</f>
        <v>0</v>
      </c>
      <c r="J908" s="3">
        <f>$D908*TCA!J908/100</f>
        <v>0</v>
      </c>
      <c r="K908" s="3">
        <f>$D908*TCA!K908/100</f>
        <v>0</v>
      </c>
      <c r="L908" s="3">
        <f>$D908*TCA!L908/100</f>
        <v>0</v>
      </c>
      <c r="M908" s="3">
        <f>$D908*TCA!M908/100</f>
        <v>0</v>
      </c>
      <c r="N908" s="3">
        <f>$D908*TCA!N908/100</f>
        <v>0</v>
      </c>
      <c r="O908" s="3">
        <f>$D908*TCA!O908/100</f>
        <v>0</v>
      </c>
      <c r="P908" s="3">
        <f t="shared" si="14"/>
        <v>0</v>
      </c>
      <c r="Q908" s="3">
        <f>$D908*TCA!P908/100</f>
        <v>0</v>
      </c>
      <c r="R908" s="3">
        <f>$D908*TCA!Q908/100</f>
        <v>0</v>
      </c>
      <c r="S908" s="3">
        <f>$D908*TCA!R908/100</f>
        <v>20</v>
      </c>
      <c r="T908" s="3">
        <f>$D908*TCA!S908/100</f>
        <v>0</v>
      </c>
      <c r="U908" s="3">
        <f>$D908*TCA!T908/100</f>
        <v>0</v>
      </c>
      <c r="V908" s="3">
        <f>$D908*TCA!U908/100</f>
        <v>0</v>
      </c>
      <c r="W908" s="3">
        <f>$D908*TCA!V908/100</f>
        <v>0</v>
      </c>
      <c r="X908" s="3">
        <f>$D908*TCA!W908/100</f>
        <v>0</v>
      </c>
    </row>
    <row r="909" spans="1:24" x14ac:dyDescent="0.25">
      <c r="A909" s="3" t="s">
        <v>2035</v>
      </c>
      <c r="B909" s="3" t="s">
        <v>1792</v>
      </c>
      <c r="C909" s="3" t="s">
        <v>1793</v>
      </c>
      <c r="D909" s="3">
        <v>100</v>
      </c>
      <c r="E909" s="3">
        <f>$D909*TCA!E909/100</f>
        <v>31.67</v>
      </c>
      <c r="F909" s="3">
        <f>$D909*TCA!F909/100</f>
        <v>0</v>
      </c>
      <c r="G909" s="3">
        <f>$D909*TCA!G909/100</f>
        <v>0.15</v>
      </c>
      <c r="H909" s="3">
        <f>$D909*TCA!H909/100</f>
        <v>7.58</v>
      </c>
      <c r="I909" s="3">
        <f>$D909*TCA!I909/100</f>
        <v>0</v>
      </c>
      <c r="J909" s="3">
        <f>$D909*TCA!J909/100</f>
        <v>0</v>
      </c>
      <c r="K909" s="3">
        <f>$D909*TCA!K909/100</f>
        <v>0</v>
      </c>
      <c r="L909" s="3">
        <f>$D909*TCA!L909/100</f>
        <v>0</v>
      </c>
      <c r="M909" s="3">
        <f>$D909*TCA!M909/100</f>
        <v>0</v>
      </c>
      <c r="N909" s="3">
        <f>$D909*TCA!N909/100</f>
        <v>0</v>
      </c>
      <c r="O909" s="3">
        <f>$D909*TCA!O909/100</f>
        <v>30.3</v>
      </c>
      <c r="P909" s="3" t="e">
        <f t="shared" si="14"/>
        <v>#DIV/0!</v>
      </c>
      <c r="Q909" s="3">
        <f>$D909*TCA!P909/100</f>
        <v>11.11</v>
      </c>
      <c r="R909" s="3">
        <f>$D909*TCA!Q909/100</f>
        <v>0</v>
      </c>
      <c r="S909" s="3">
        <f>$D909*TCA!R909/100</f>
        <v>7.58</v>
      </c>
      <c r="T909" s="3">
        <f>$D909*TCA!S909/100</f>
        <v>0</v>
      </c>
      <c r="U909" s="3">
        <f>$D909*TCA!T909/100</f>
        <v>0</v>
      </c>
      <c r="V909" s="3">
        <f>$D909*TCA!U909/100</f>
        <v>0</v>
      </c>
      <c r="W909" s="3">
        <f>$D909*TCA!V909/100</f>
        <v>0</v>
      </c>
      <c r="X909" s="3">
        <f>$D909*TCA!W909/100</f>
        <v>0</v>
      </c>
    </row>
    <row r="910" spans="1:24" x14ac:dyDescent="0.25">
      <c r="A910" s="3" t="s">
        <v>2035</v>
      </c>
      <c r="B910" s="3" t="s">
        <v>1794</v>
      </c>
      <c r="C910" s="3" t="s">
        <v>1795</v>
      </c>
      <c r="D910" s="3">
        <v>100</v>
      </c>
      <c r="E910" s="3">
        <f>$D910*TCA!E910/100</f>
        <v>52</v>
      </c>
      <c r="F910" s="3">
        <f>$D910*TCA!F910/100</f>
        <v>0</v>
      </c>
      <c r="G910" s="3">
        <f>$D910*TCA!G910/100</f>
        <v>0</v>
      </c>
      <c r="H910" s="3">
        <f>$D910*TCA!H910/100</f>
        <v>13</v>
      </c>
      <c r="I910" s="3">
        <f>$D910*TCA!I910/100</f>
        <v>0</v>
      </c>
      <c r="J910" s="3">
        <f>$D910*TCA!J910/100</f>
        <v>0</v>
      </c>
      <c r="K910" s="3">
        <f>$D910*TCA!K910/100</f>
        <v>0</v>
      </c>
      <c r="L910" s="3">
        <f>$D910*TCA!L910/100</f>
        <v>0</v>
      </c>
      <c r="M910" s="3">
        <f>$D910*TCA!M910/100</f>
        <v>0</v>
      </c>
      <c r="N910" s="3">
        <f>$D910*TCA!N910/100</f>
        <v>0</v>
      </c>
      <c r="O910" s="3">
        <f>$D910*TCA!O910/100</f>
        <v>0</v>
      </c>
      <c r="P910" s="3" t="e">
        <f t="shared" si="14"/>
        <v>#DIV/0!</v>
      </c>
      <c r="Q910" s="3">
        <f>$D910*TCA!P910/100</f>
        <v>0</v>
      </c>
      <c r="R910" s="3">
        <f>$D910*TCA!Q910/100</f>
        <v>0</v>
      </c>
      <c r="S910" s="3">
        <f>$D910*TCA!R910/100</f>
        <v>21</v>
      </c>
      <c r="T910" s="3">
        <f>$D910*TCA!S910/100</f>
        <v>0</v>
      </c>
      <c r="U910" s="3">
        <f>$D910*TCA!T910/100</f>
        <v>0</v>
      </c>
      <c r="V910" s="3">
        <f>$D910*TCA!U910/100</f>
        <v>0</v>
      </c>
      <c r="W910" s="3">
        <f>$D910*TCA!V910/100</f>
        <v>0</v>
      </c>
      <c r="X910" s="3">
        <f>$D910*TCA!W910/100</f>
        <v>0</v>
      </c>
    </row>
    <row r="911" spans="1:24" x14ac:dyDescent="0.25">
      <c r="A911" s="3" t="s">
        <v>2035</v>
      </c>
      <c r="B911" s="3" t="s">
        <v>1796</v>
      </c>
      <c r="C911" s="3" t="s">
        <v>1797</v>
      </c>
      <c r="D911" s="3">
        <v>100</v>
      </c>
      <c r="E911" s="3">
        <f>$D911*TCA!E911/100</f>
        <v>44</v>
      </c>
      <c r="F911" s="3">
        <f>$D911*TCA!F911/100</f>
        <v>0</v>
      </c>
      <c r="G911" s="3">
        <f>$D911*TCA!G911/100</f>
        <v>0</v>
      </c>
      <c r="H911" s="3">
        <f>$D911*TCA!H911/100</f>
        <v>11</v>
      </c>
      <c r="I911" s="3">
        <f>$D911*TCA!I911/100</f>
        <v>0</v>
      </c>
      <c r="J911" s="3">
        <f>$D911*TCA!J911/100</f>
        <v>0</v>
      </c>
      <c r="K911" s="3">
        <f>$D911*TCA!K911/100</f>
        <v>0</v>
      </c>
      <c r="L911" s="3">
        <f>$D911*TCA!L911/100</f>
        <v>0</v>
      </c>
      <c r="M911" s="3">
        <f>$D911*TCA!M911/100</f>
        <v>0</v>
      </c>
      <c r="N911" s="3">
        <f>$D911*TCA!N911/100</f>
        <v>0</v>
      </c>
      <c r="O911" s="3">
        <f>$D911*TCA!O911/100</f>
        <v>0</v>
      </c>
      <c r="P911" s="3" t="e">
        <f t="shared" si="14"/>
        <v>#DIV/0!</v>
      </c>
      <c r="Q911" s="3">
        <f>$D911*TCA!P911/100</f>
        <v>0</v>
      </c>
      <c r="R911" s="3">
        <f>$D911*TCA!Q911/100</f>
        <v>0</v>
      </c>
      <c r="S911" s="3">
        <f>$D911*TCA!R911/100</f>
        <v>40</v>
      </c>
      <c r="T911" s="3">
        <f>$D911*TCA!S911/100</f>
        <v>0</v>
      </c>
      <c r="U911" s="3">
        <f>$D911*TCA!T911/100</f>
        <v>0</v>
      </c>
      <c r="V911" s="3">
        <f>$D911*TCA!U911/100</f>
        <v>0</v>
      </c>
      <c r="W911" s="3">
        <f>$D911*TCA!V911/100</f>
        <v>0</v>
      </c>
      <c r="X911" s="3">
        <f>$D911*TCA!W911/100</f>
        <v>0</v>
      </c>
    </row>
    <row r="912" spans="1:24" x14ac:dyDescent="0.25">
      <c r="A912" s="3" t="s">
        <v>2035</v>
      </c>
      <c r="B912" s="3" t="s">
        <v>1798</v>
      </c>
      <c r="C912" s="3" t="s">
        <v>1799</v>
      </c>
      <c r="D912" s="3">
        <v>100</v>
      </c>
      <c r="E912" s="3">
        <f>$D912*TCA!E912/100</f>
        <v>51.67</v>
      </c>
      <c r="F912" s="3">
        <f>$D912*TCA!F912/100</f>
        <v>0</v>
      </c>
      <c r="G912" s="3">
        <f>$D912*TCA!G912/100</f>
        <v>0</v>
      </c>
      <c r="H912" s="3">
        <f>$D912*TCA!H912/100</f>
        <v>12.92</v>
      </c>
      <c r="I912" s="3">
        <f>$D912*TCA!I912/100</f>
        <v>0</v>
      </c>
      <c r="J912" s="3">
        <f>$D912*TCA!J912/100</f>
        <v>0</v>
      </c>
      <c r="K912" s="3">
        <f>$D912*TCA!K912/100</f>
        <v>0</v>
      </c>
      <c r="L912" s="3">
        <f>$D912*TCA!L912/100</f>
        <v>0</v>
      </c>
      <c r="M912" s="3">
        <f>$D912*TCA!M912/100</f>
        <v>0</v>
      </c>
      <c r="N912" s="3">
        <f>$D912*TCA!N912/100</f>
        <v>0</v>
      </c>
      <c r="O912" s="3">
        <f>$D912*TCA!O912/100</f>
        <v>0</v>
      </c>
      <c r="P912" s="3" t="e">
        <f t="shared" si="14"/>
        <v>#DIV/0!</v>
      </c>
      <c r="Q912" s="3">
        <f>$D912*TCA!P912/100</f>
        <v>0</v>
      </c>
      <c r="R912" s="3">
        <f>$D912*TCA!Q912/100</f>
        <v>0</v>
      </c>
      <c r="S912" s="3">
        <f>$D912*TCA!R912/100</f>
        <v>12.5</v>
      </c>
      <c r="T912" s="3">
        <f>$D912*TCA!S912/100</f>
        <v>0</v>
      </c>
      <c r="U912" s="3">
        <f>$D912*TCA!T912/100</f>
        <v>0</v>
      </c>
      <c r="V912" s="3">
        <f>$D912*TCA!U912/100</f>
        <v>0</v>
      </c>
      <c r="W912" s="3">
        <f>$D912*TCA!V912/100</f>
        <v>0</v>
      </c>
      <c r="X912" s="3">
        <f>$D912*TCA!W912/100</f>
        <v>0</v>
      </c>
    </row>
    <row r="913" spans="1:24" x14ac:dyDescent="0.25">
      <c r="A913" s="3" t="s">
        <v>2035</v>
      </c>
      <c r="B913" s="3" t="s">
        <v>1800</v>
      </c>
      <c r="C913" s="3" t="s">
        <v>1801</v>
      </c>
      <c r="D913" s="3">
        <v>100</v>
      </c>
      <c r="E913" s="3">
        <f>$D913*TCA!E913/100</f>
        <v>21.33</v>
      </c>
      <c r="F913" s="3">
        <f>$D913*TCA!F913/100</f>
        <v>0</v>
      </c>
      <c r="G913" s="3">
        <f>$D913*TCA!G913/100</f>
        <v>0</v>
      </c>
      <c r="H913" s="3">
        <f>$D913*TCA!H913/100</f>
        <v>5.33</v>
      </c>
      <c r="I913" s="3">
        <f>$D913*TCA!I913/100</f>
        <v>0</v>
      </c>
      <c r="J913" s="3">
        <f>$D913*TCA!J913/100</f>
        <v>0</v>
      </c>
      <c r="K913" s="3">
        <f>$D913*TCA!K913/100</f>
        <v>0</v>
      </c>
      <c r="L913" s="3">
        <f>$D913*TCA!L913/100</f>
        <v>0</v>
      </c>
      <c r="M913" s="3">
        <f>$D913*TCA!M913/100</f>
        <v>0</v>
      </c>
      <c r="N913" s="3">
        <f>$D913*TCA!N913/100</f>
        <v>0</v>
      </c>
      <c r="O913" s="3">
        <f>$D913*TCA!O913/100</f>
        <v>0</v>
      </c>
      <c r="P913" s="3" t="e">
        <f t="shared" si="14"/>
        <v>#DIV/0!</v>
      </c>
      <c r="Q913" s="3">
        <f>$D913*TCA!P913/100</f>
        <v>0</v>
      </c>
      <c r="R913" s="3">
        <f>$D913*TCA!Q913/100</f>
        <v>0</v>
      </c>
      <c r="S913" s="3">
        <f>$D913*TCA!R913/100</f>
        <v>43.33</v>
      </c>
      <c r="T913" s="3">
        <f>$D913*TCA!S913/100</f>
        <v>0</v>
      </c>
      <c r="U913" s="3">
        <f>$D913*TCA!T913/100</f>
        <v>0</v>
      </c>
      <c r="V913" s="3">
        <f>$D913*TCA!U913/100</f>
        <v>0</v>
      </c>
      <c r="W913" s="3">
        <f>$D913*TCA!V913/100</f>
        <v>0</v>
      </c>
      <c r="X913" s="3">
        <f>$D913*TCA!W913/100</f>
        <v>0</v>
      </c>
    </row>
    <row r="914" spans="1:24" x14ac:dyDescent="0.25">
      <c r="A914" s="3" t="s">
        <v>2035</v>
      </c>
      <c r="B914" s="3" t="s">
        <v>1802</v>
      </c>
      <c r="C914" s="3" t="s">
        <v>1803</v>
      </c>
      <c r="D914" s="3">
        <v>100</v>
      </c>
      <c r="E914" s="3">
        <f>$D914*TCA!E914/100</f>
        <v>48</v>
      </c>
      <c r="F914" s="3">
        <f>$D914*TCA!F914/100</f>
        <v>0</v>
      </c>
      <c r="G914" s="3">
        <f>$D914*TCA!G914/100</f>
        <v>0</v>
      </c>
      <c r="H914" s="3">
        <f>$D914*TCA!H914/100</f>
        <v>12</v>
      </c>
      <c r="I914" s="3">
        <f>$D914*TCA!I914/100</f>
        <v>0</v>
      </c>
      <c r="J914" s="3">
        <f>$D914*TCA!J914/100</f>
        <v>0</v>
      </c>
      <c r="K914" s="3">
        <f>$D914*TCA!K914/100</f>
        <v>0</v>
      </c>
      <c r="L914" s="3">
        <f>$D914*TCA!L914/100</f>
        <v>0</v>
      </c>
      <c r="M914" s="3">
        <f>$D914*TCA!M914/100</f>
        <v>0</v>
      </c>
      <c r="N914" s="3">
        <f>$D914*TCA!N914/100</f>
        <v>0</v>
      </c>
      <c r="O914" s="3">
        <f>$D914*TCA!O914/100</f>
        <v>0</v>
      </c>
      <c r="P914" s="3" t="e">
        <f t="shared" si="14"/>
        <v>#DIV/0!</v>
      </c>
      <c r="Q914" s="3">
        <f>$D914*TCA!P914/100</f>
        <v>0</v>
      </c>
      <c r="R914" s="3">
        <f>$D914*TCA!Q914/100</f>
        <v>0</v>
      </c>
      <c r="S914" s="3">
        <f>$D914*TCA!R914/100</f>
        <v>0</v>
      </c>
      <c r="T914" s="3">
        <f>$D914*TCA!S914/100</f>
        <v>0</v>
      </c>
      <c r="U914" s="3">
        <f>$D914*TCA!T914/100</f>
        <v>0</v>
      </c>
      <c r="V914" s="3">
        <f>$D914*TCA!U914/100</f>
        <v>0</v>
      </c>
      <c r="W914" s="3">
        <f>$D914*TCA!V914/100</f>
        <v>0</v>
      </c>
      <c r="X914" s="3">
        <f>$D914*TCA!W914/100</f>
        <v>0</v>
      </c>
    </row>
    <row r="915" spans="1:24" x14ac:dyDescent="0.25">
      <c r="A915" s="3" t="s">
        <v>2035</v>
      </c>
      <c r="B915" s="3" t="s">
        <v>1804</v>
      </c>
      <c r="C915" s="3" t="s">
        <v>1805</v>
      </c>
      <c r="D915" s="3">
        <v>100</v>
      </c>
      <c r="E915" s="3">
        <f>$D915*TCA!E915/100</f>
        <v>1.67</v>
      </c>
      <c r="F915" s="3">
        <f>$D915*TCA!F915/100</f>
        <v>0</v>
      </c>
      <c r="G915" s="3">
        <f>$D915*TCA!G915/100</f>
        <v>0</v>
      </c>
      <c r="H915" s="3">
        <f>$D915*TCA!H915/100</f>
        <v>0.42</v>
      </c>
      <c r="I915" s="3">
        <f>$D915*TCA!I915/100</f>
        <v>0</v>
      </c>
      <c r="J915" s="3">
        <f>$D915*TCA!J915/100</f>
        <v>0</v>
      </c>
      <c r="K915" s="3">
        <f>$D915*TCA!K915/100</f>
        <v>0</v>
      </c>
      <c r="L915" s="3">
        <f>$D915*TCA!L915/100</f>
        <v>0</v>
      </c>
      <c r="M915" s="3">
        <f>$D915*TCA!M915/100</f>
        <v>0</v>
      </c>
      <c r="N915" s="3">
        <f>$D915*TCA!N915/100</f>
        <v>0</v>
      </c>
      <c r="O915" s="3">
        <f>$D915*TCA!O915/100</f>
        <v>0</v>
      </c>
      <c r="P915" s="3" t="e">
        <f t="shared" si="14"/>
        <v>#DIV/0!</v>
      </c>
      <c r="Q915" s="3">
        <f>$D915*TCA!P915/100</f>
        <v>0</v>
      </c>
      <c r="R915" s="3">
        <f>$D915*TCA!Q915/100</f>
        <v>0</v>
      </c>
      <c r="S915" s="3">
        <f>$D915*TCA!R915/100</f>
        <v>0</v>
      </c>
      <c r="T915" s="3">
        <f>$D915*TCA!S915/100</f>
        <v>0</v>
      </c>
      <c r="U915" s="3">
        <f>$D915*TCA!T915/100</f>
        <v>0</v>
      </c>
      <c r="V915" s="3">
        <f>$D915*TCA!U915/100</f>
        <v>0</v>
      </c>
      <c r="W915" s="3">
        <f>$D915*TCA!V915/100</f>
        <v>0</v>
      </c>
      <c r="X915" s="3">
        <f>$D915*TCA!W915/100</f>
        <v>0</v>
      </c>
    </row>
    <row r="916" spans="1:24" x14ac:dyDescent="0.25">
      <c r="A916" s="3" t="s">
        <v>2035</v>
      </c>
      <c r="B916" s="3" t="s">
        <v>1806</v>
      </c>
      <c r="C916" s="3" t="s">
        <v>1807</v>
      </c>
      <c r="D916" s="3">
        <v>100</v>
      </c>
      <c r="E916" s="3">
        <f>$D916*TCA!E916/100</f>
        <v>0</v>
      </c>
      <c r="F916" s="3">
        <f>$D916*TCA!F916/100</f>
        <v>0</v>
      </c>
      <c r="G916" s="3">
        <f>$D916*TCA!G916/100</f>
        <v>0</v>
      </c>
      <c r="H916" s="3">
        <f>$D916*TCA!H916/100</f>
        <v>0</v>
      </c>
      <c r="I916" s="3">
        <f>$D916*TCA!I916/100</f>
        <v>0</v>
      </c>
      <c r="J916" s="3">
        <f>$D916*TCA!J916/100</f>
        <v>0</v>
      </c>
      <c r="K916" s="3">
        <f>$D916*TCA!K916/100</f>
        <v>0</v>
      </c>
      <c r="L916" s="3">
        <f>$D916*TCA!L916/100</f>
        <v>0</v>
      </c>
      <c r="M916" s="3">
        <f>$D916*TCA!M916/100</f>
        <v>0</v>
      </c>
      <c r="N916" s="3">
        <f>$D916*TCA!N916/100</f>
        <v>0</v>
      </c>
      <c r="O916" s="3">
        <f>$D916*TCA!O916/100</f>
        <v>0</v>
      </c>
      <c r="P916" s="3" t="e">
        <f t="shared" si="14"/>
        <v>#DIV/0!</v>
      </c>
      <c r="Q916" s="3">
        <f>$D916*TCA!P916/100</f>
        <v>0</v>
      </c>
      <c r="R916" s="3">
        <f>$D916*TCA!Q916/100</f>
        <v>0</v>
      </c>
      <c r="S916" s="3">
        <f>$D916*TCA!R916/100</f>
        <v>5.71</v>
      </c>
      <c r="T916" s="3">
        <f>$D916*TCA!S916/100</f>
        <v>0</v>
      </c>
      <c r="U916" s="3">
        <f>$D916*TCA!T916/100</f>
        <v>0</v>
      </c>
      <c r="V916" s="3">
        <f>$D916*TCA!U916/100</f>
        <v>0</v>
      </c>
      <c r="W916" s="3">
        <f>$D916*TCA!V916/100</f>
        <v>0</v>
      </c>
      <c r="X916" s="3">
        <f>$D916*TCA!W916/100</f>
        <v>0</v>
      </c>
    </row>
    <row r="917" spans="1:24" x14ac:dyDescent="0.25">
      <c r="A917" s="3" t="s">
        <v>2035</v>
      </c>
      <c r="B917" s="3" t="s">
        <v>1808</v>
      </c>
      <c r="C917" s="3" t="s">
        <v>1809</v>
      </c>
      <c r="D917" s="3">
        <v>100</v>
      </c>
      <c r="E917" s="3">
        <f>$D917*TCA!E917/100</f>
        <v>41.14</v>
      </c>
      <c r="F917" s="3">
        <f>$D917*TCA!F917/100</f>
        <v>0</v>
      </c>
      <c r="G917" s="3">
        <f>$D917*TCA!G917/100</f>
        <v>0</v>
      </c>
      <c r="H917" s="3">
        <f>$D917*TCA!H917/100</f>
        <v>10.29</v>
      </c>
      <c r="I917" s="3">
        <f>$D917*TCA!I917/100</f>
        <v>0</v>
      </c>
      <c r="J917" s="3">
        <f>$D917*TCA!J917/100</f>
        <v>0</v>
      </c>
      <c r="K917" s="3">
        <f>$D917*TCA!K917/100</f>
        <v>0</v>
      </c>
      <c r="L917" s="3">
        <f>$D917*TCA!L917/100</f>
        <v>0</v>
      </c>
      <c r="M917" s="3">
        <f>$D917*TCA!M917/100</f>
        <v>0</v>
      </c>
      <c r="N917" s="3">
        <f>$D917*TCA!N917/100</f>
        <v>0</v>
      </c>
      <c r="O917" s="3">
        <f>$D917*TCA!O917/100</f>
        <v>0</v>
      </c>
      <c r="P917" s="3" t="e">
        <f t="shared" si="14"/>
        <v>#DIV/0!</v>
      </c>
      <c r="Q917" s="3">
        <f>$D917*TCA!P917/100</f>
        <v>0</v>
      </c>
      <c r="R917" s="3">
        <f>$D917*TCA!Q917/100</f>
        <v>0</v>
      </c>
      <c r="S917" s="3">
        <f>$D917*TCA!R917/100</f>
        <v>5.71</v>
      </c>
      <c r="T917" s="3">
        <f>$D917*TCA!S917/100</f>
        <v>0</v>
      </c>
      <c r="U917" s="3">
        <f>$D917*TCA!T917/100</f>
        <v>0</v>
      </c>
      <c r="V917" s="3">
        <f>$D917*TCA!U917/100</f>
        <v>0</v>
      </c>
      <c r="W917" s="3">
        <f>$D917*TCA!V917/100</f>
        <v>0</v>
      </c>
      <c r="X917" s="3">
        <f>$D917*TCA!W917/100</f>
        <v>0</v>
      </c>
    </row>
    <row r="918" spans="1:24" x14ac:dyDescent="0.25">
      <c r="A918" s="3" t="s">
        <v>2035</v>
      </c>
      <c r="B918" s="3" t="s">
        <v>1810</v>
      </c>
      <c r="C918" s="3" t="s">
        <v>1811</v>
      </c>
      <c r="D918" s="3">
        <v>100</v>
      </c>
      <c r="E918" s="3">
        <f>$D918*TCA!E918/100</f>
        <v>18.329999999999998</v>
      </c>
      <c r="F918" s="3">
        <f>$D918*TCA!F918/100</f>
        <v>0</v>
      </c>
      <c r="G918" s="3">
        <f>$D918*TCA!G918/100</f>
        <v>0</v>
      </c>
      <c r="H918" s="3">
        <f>$D918*TCA!H918/100</f>
        <v>4.58</v>
      </c>
      <c r="I918" s="3">
        <f>$D918*TCA!I918/100</f>
        <v>0</v>
      </c>
      <c r="J918" s="3">
        <f>$D918*TCA!J918/100</f>
        <v>0</v>
      </c>
      <c r="K918" s="3">
        <f>$D918*TCA!K918/100</f>
        <v>0</v>
      </c>
      <c r="L918" s="3">
        <f>$D918*TCA!L918/100</f>
        <v>0</v>
      </c>
      <c r="M918" s="3">
        <f>$D918*TCA!M918/100</f>
        <v>0</v>
      </c>
      <c r="N918" s="3">
        <f>$D918*TCA!N918/100</f>
        <v>0</v>
      </c>
      <c r="O918" s="3">
        <f>$D918*TCA!O918/100</f>
        <v>125</v>
      </c>
      <c r="P918" s="3" t="e">
        <f t="shared" si="14"/>
        <v>#DIV/0!</v>
      </c>
      <c r="Q918" s="3">
        <f>$D918*TCA!P918/100</f>
        <v>45.83</v>
      </c>
      <c r="R918" s="3">
        <f>$D918*TCA!Q918/100</f>
        <v>0</v>
      </c>
      <c r="S918" s="3">
        <f>$D918*TCA!R918/100</f>
        <v>18.75</v>
      </c>
      <c r="T918" s="3">
        <f>$D918*TCA!S918/100</f>
        <v>0</v>
      </c>
      <c r="U918" s="3">
        <f>$D918*TCA!T918/100</f>
        <v>0</v>
      </c>
      <c r="V918" s="3">
        <f>$D918*TCA!U918/100</f>
        <v>0</v>
      </c>
      <c r="W918" s="3">
        <f>$D918*TCA!V918/100</f>
        <v>0</v>
      </c>
      <c r="X918" s="3">
        <f>$D918*TCA!W918/100</f>
        <v>0</v>
      </c>
    </row>
    <row r="919" spans="1:24" x14ac:dyDescent="0.25">
      <c r="A919" s="3" t="s">
        <v>2035</v>
      </c>
      <c r="B919" s="3" t="s">
        <v>1812</v>
      </c>
      <c r="C919" s="3" t="s">
        <v>1813</v>
      </c>
      <c r="D919" s="3">
        <v>100</v>
      </c>
      <c r="E919" s="3">
        <f>$D919*TCA!E919/100</f>
        <v>18.329999999999998</v>
      </c>
      <c r="F919" s="3">
        <f>$D919*TCA!F919/100</f>
        <v>0</v>
      </c>
      <c r="G919" s="3">
        <f>$D919*TCA!G919/100</f>
        <v>0</v>
      </c>
      <c r="H919" s="3">
        <f>$D919*TCA!H919/100</f>
        <v>4.58</v>
      </c>
      <c r="I919" s="3">
        <f>$D919*TCA!I919/100</f>
        <v>0</v>
      </c>
      <c r="J919" s="3">
        <f>$D919*TCA!J919/100</f>
        <v>0</v>
      </c>
      <c r="K919" s="3">
        <f>$D919*TCA!K919/100</f>
        <v>0</v>
      </c>
      <c r="L919" s="3">
        <f>$D919*TCA!L919/100</f>
        <v>0</v>
      </c>
      <c r="M919" s="3">
        <f>$D919*TCA!M919/100</f>
        <v>0</v>
      </c>
      <c r="N919" s="3">
        <f>$D919*TCA!N919/100</f>
        <v>0</v>
      </c>
      <c r="O919" s="3">
        <f>$D919*TCA!O919/100</f>
        <v>0</v>
      </c>
      <c r="P919" s="3" t="e">
        <f t="shared" si="14"/>
        <v>#DIV/0!</v>
      </c>
      <c r="Q919" s="3">
        <f>$D919*TCA!P919/100</f>
        <v>0</v>
      </c>
      <c r="R919" s="3">
        <f>$D919*TCA!Q919/100</f>
        <v>0</v>
      </c>
      <c r="S919" s="3">
        <f>$D919*TCA!R919/100</f>
        <v>18.75</v>
      </c>
      <c r="T919" s="3">
        <f>$D919*TCA!S919/100</f>
        <v>0</v>
      </c>
      <c r="U919" s="3">
        <f>$D919*TCA!T919/100</f>
        <v>0</v>
      </c>
      <c r="V919" s="3">
        <f>$D919*TCA!U919/100</f>
        <v>0</v>
      </c>
      <c r="W919" s="3">
        <f>$D919*TCA!V919/100</f>
        <v>0</v>
      </c>
      <c r="X919" s="3">
        <f>$D919*TCA!W919/100</f>
        <v>0</v>
      </c>
    </row>
    <row r="920" spans="1:24" x14ac:dyDescent="0.25">
      <c r="A920" s="3" t="s">
        <v>2035</v>
      </c>
      <c r="B920" s="3" t="s">
        <v>1814</v>
      </c>
      <c r="C920" s="3" t="s">
        <v>1815</v>
      </c>
      <c r="D920" s="3">
        <v>100</v>
      </c>
      <c r="E920" s="3">
        <f>$D920*TCA!E920/100</f>
        <v>0</v>
      </c>
      <c r="F920" s="3">
        <f>$D920*TCA!F920/100</f>
        <v>0</v>
      </c>
      <c r="G920" s="3">
        <f>$D920*TCA!G920/100</f>
        <v>0</v>
      </c>
      <c r="H920" s="3">
        <f>$D920*TCA!H920/100</f>
        <v>0</v>
      </c>
      <c r="I920" s="3">
        <f>$D920*TCA!I920/100</f>
        <v>0</v>
      </c>
      <c r="J920" s="3">
        <f>$D920*TCA!J920/100</f>
        <v>0</v>
      </c>
      <c r="K920" s="3">
        <f>$D920*TCA!K920/100</f>
        <v>0</v>
      </c>
      <c r="L920" s="3">
        <f>$D920*TCA!L920/100</f>
        <v>0</v>
      </c>
      <c r="M920" s="3">
        <f>$D920*TCA!M920/100</f>
        <v>0</v>
      </c>
      <c r="N920" s="3">
        <f>$D920*TCA!N920/100</f>
        <v>0</v>
      </c>
      <c r="O920" s="3">
        <f>$D920*TCA!O920/100</f>
        <v>0</v>
      </c>
      <c r="P920" s="3" t="e">
        <f t="shared" si="14"/>
        <v>#DIV/0!</v>
      </c>
      <c r="Q920" s="3">
        <f>$D920*TCA!P920/100</f>
        <v>0</v>
      </c>
      <c r="R920" s="3">
        <f>$D920*TCA!Q920/100</f>
        <v>0</v>
      </c>
      <c r="S920" s="3">
        <f>$D920*TCA!R920/100</f>
        <v>12.5</v>
      </c>
      <c r="T920" s="3">
        <f>$D920*TCA!S920/100</f>
        <v>0</v>
      </c>
      <c r="U920" s="3">
        <f>$D920*TCA!T920/100</f>
        <v>0</v>
      </c>
      <c r="V920" s="3">
        <f>$D920*TCA!U920/100</f>
        <v>0</v>
      </c>
      <c r="W920" s="3">
        <f>$D920*TCA!V920/100</f>
        <v>0</v>
      </c>
      <c r="X920" s="3">
        <f>$D920*TCA!W920/100</f>
        <v>0</v>
      </c>
    </row>
    <row r="921" spans="1:24" x14ac:dyDescent="0.25">
      <c r="A921" s="3" t="s">
        <v>2035</v>
      </c>
      <c r="B921" s="3" t="s">
        <v>1816</v>
      </c>
      <c r="C921" s="3" t="s">
        <v>1817</v>
      </c>
      <c r="D921" s="3">
        <v>100</v>
      </c>
      <c r="E921" s="3">
        <f>$D921*TCA!E921/100</f>
        <v>30</v>
      </c>
      <c r="F921" s="3">
        <f>$D921*TCA!F921/100</f>
        <v>0</v>
      </c>
      <c r="G921" s="3">
        <f>$D921*TCA!G921/100</f>
        <v>0</v>
      </c>
      <c r="H921" s="3">
        <f>$D921*TCA!H921/100</f>
        <v>7.5</v>
      </c>
      <c r="I921" s="3">
        <f>$D921*TCA!I921/100</f>
        <v>0</v>
      </c>
      <c r="J921" s="3">
        <f>$D921*TCA!J921/100</f>
        <v>0</v>
      </c>
      <c r="K921" s="3">
        <f>$D921*TCA!K921/100</f>
        <v>0</v>
      </c>
      <c r="L921" s="3">
        <f>$D921*TCA!L921/100</f>
        <v>0</v>
      </c>
      <c r="M921" s="3">
        <f>$D921*TCA!M921/100</f>
        <v>0</v>
      </c>
      <c r="N921" s="3">
        <f>$D921*TCA!N921/100</f>
        <v>0</v>
      </c>
      <c r="O921" s="3">
        <f>$D921*TCA!O921/100</f>
        <v>0</v>
      </c>
      <c r="P921" s="3" t="e">
        <f t="shared" si="14"/>
        <v>#DIV/0!</v>
      </c>
      <c r="Q921" s="3">
        <f>$D921*TCA!P921/100</f>
        <v>0</v>
      </c>
      <c r="R921" s="3">
        <f>$D921*TCA!Q921/100</f>
        <v>0</v>
      </c>
      <c r="S921" s="3">
        <f>$D921*TCA!R921/100</f>
        <v>6.25</v>
      </c>
      <c r="T921" s="3">
        <f>$D921*TCA!S921/100</f>
        <v>0</v>
      </c>
      <c r="U921" s="3">
        <f>$D921*TCA!T921/100</f>
        <v>0</v>
      </c>
      <c r="V921" s="3">
        <f>$D921*TCA!U921/100</f>
        <v>0</v>
      </c>
      <c r="W921" s="3">
        <f>$D921*TCA!V921/100</f>
        <v>0</v>
      </c>
      <c r="X921" s="3">
        <f>$D921*TCA!W921/100</f>
        <v>0</v>
      </c>
    </row>
    <row r="922" spans="1:24" x14ac:dyDescent="0.25">
      <c r="A922" s="3" t="s">
        <v>2035</v>
      </c>
      <c r="B922" s="3" t="s">
        <v>1818</v>
      </c>
      <c r="C922" s="3" t="s">
        <v>1819</v>
      </c>
      <c r="D922" s="3">
        <v>100</v>
      </c>
      <c r="E922" s="3">
        <f>$D922*TCA!E922/100</f>
        <v>20</v>
      </c>
      <c r="F922" s="3">
        <f>$D922*TCA!F922/100</f>
        <v>0</v>
      </c>
      <c r="G922" s="3">
        <f>$D922*TCA!G922/100</f>
        <v>0</v>
      </c>
      <c r="H922" s="3">
        <f>$D922*TCA!H922/100</f>
        <v>5</v>
      </c>
      <c r="I922" s="3">
        <f>$D922*TCA!I922/100</f>
        <v>0</v>
      </c>
      <c r="J922" s="3">
        <f>$D922*TCA!J922/100</f>
        <v>0</v>
      </c>
      <c r="K922" s="3">
        <f>$D922*TCA!K922/100</f>
        <v>0</v>
      </c>
      <c r="L922" s="3">
        <f>$D922*TCA!L922/100</f>
        <v>0</v>
      </c>
      <c r="M922" s="3">
        <f>$D922*TCA!M922/100</f>
        <v>0</v>
      </c>
      <c r="N922" s="3">
        <f>$D922*TCA!N922/100</f>
        <v>0</v>
      </c>
      <c r="O922" s="3">
        <f>$D922*TCA!O922/100</f>
        <v>0</v>
      </c>
      <c r="P922" s="3" t="e">
        <f t="shared" si="14"/>
        <v>#DIV/0!</v>
      </c>
      <c r="Q922" s="3">
        <f>$D922*TCA!P922/100</f>
        <v>0</v>
      </c>
      <c r="R922" s="3">
        <f>$D922*TCA!Q922/100</f>
        <v>0</v>
      </c>
      <c r="S922" s="3">
        <f>$D922*TCA!R922/100</f>
        <v>8.33</v>
      </c>
      <c r="T922" s="3">
        <f>$D922*TCA!S922/100</f>
        <v>0</v>
      </c>
      <c r="U922" s="3">
        <f>$D922*TCA!T922/100</f>
        <v>0</v>
      </c>
      <c r="V922" s="3">
        <f>$D922*TCA!U922/100</f>
        <v>0</v>
      </c>
      <c r="W922" s="3">
        <f>$D922*TCA!V922/100</f>
        <v>0</v>
      </c>
      <c r="X922" s="3">
        <f>$D922*TCA!W922/100</f>
        <v>0</v>
      </c>
    </row>
    <row r="923" spans="1:24" x14ac:dyDescent="0.25">
      <c r="A923" s="3" t="s">
        <v>2035</v>
      </c>
      <c r="B923" s="3" t="s">
        <v>1820</v>
      </c>
      <c r="C923" s="3" t="s">
        <v>1821</v>
      </c>
      <c r="D923" s="3">
        <v>100</v>
      </c>
      <c r="E923" s="3">
        <f>$D923*TCA!E923/100</f>
        <v>45.57</v>
      </c>
      <c r="F923" s="3">
        <f>$D923*TCA!F923/100</f>
        <v>0</v>
      </c>
      <c r="G923" s="3">
        <f>$D923*TCA!G923/100</f>
        <v>0</v>
      </c>
      <c r="H923" s="3">
        <f>$D923*TCA!H923/100</f>
        <v>11.39</v>
      </c>
      <c r="I923" s="3">
        <f>$D923*TCA!I923/100</f>
        <v>0</v>
      </c>
      <c r="J923" s="3">
        <f>$D923*TCA!J923/100</f>
        <v>0</v>
      </c>
      <c r="K923" s="3">
        <f>$D923*TCA!K923/100</f>
        <v>0</v>
      </c>
      <c r="L923" s="3">
        <f>$D923*TCA!L923/100</f>
        <v>0</v>
      </c>
      <c r="M923" s="3">
        <f>$D923*TCA!M923/100</f>
        <v>0</v>
      </c>
      <c r="N923" s="3">
        <f>$D923*TCA!N923/100</f>
        <v>0</v>
      </c>
      <c r="O923" s="3">
        <f>$D923*TCA!O923/100</f>
        <v>0</v>
      </c>
      <c r="P923" s="3" t="e">
        <f t="shared" si="14"/>
        <v>#DIV/0!</v>
      </c>
      <c r="Q923" s="3">
        <f>$D923*TCA!P923/100</f>
        <v>0</v>
      </c>
      <c r="R923" s="3">
        <f>$D923*TCA!Q923/100</f>
        <v>0</v>
      </c>
      <c r="S923" s="3">
        <f>$D923*TCA!R923/100</f>
        <v>4.22</v>
      </c>
      <c r="T923" s="3">
        <f>$D923*TCA!S923/100</f>
        <v>0</v>
      </c>
      <c r="U923" s="3">
        <f>$D923*TCA!T923/100</f>
        <v>0</v>
      </c>
      <c r="V923" s="3">
        <f>$D923*TCA!U923/100</f>
        <v>0</v>
      </c>
      <c r="W923" s="3">
        <f>$D923*TCA!V923/100</f>
        <v>0</v>
      </c>
      <c r="X923" s="3">
        <f>$D923*TCA!W923/100</f>
        <v>0</v>
      </c>
    </row>
    <row r="924" spans="1:24" x14ac:dyDescent="0.25">
      <c r="A924" s="3" t="s">
        <v>2035</v>
      </c>
      <c r="B924" s="3" t="s">
        <v>1822</v>
      </c>
      <c r="C924" s="3" t="s">
        <v>1823</v>
      </c>
      <c r="D924" s="3">
        <v>100</v>
      </c>
      <c r="E924" s="3">
        <f>$D924*TCA!E924/100</f>
        <v>10</v>
      </c>
      <c r="F924" s="3">
        <f>$D924*TCA!F924/100</f>
        <v>0</v>
      </c>
      <c r="G924" s="3">
        <f>$D924*TCA!G924/100</f>
        <v>0</v>
      </c>
      <c r="H924" s="3">
        <f>$D924*TCA!H924/100</f>
        <v>2.5</v>
      </c>
      <c r="I924" s="3">
        <f>$D924*TCA!I924/100</f>
        <v>0</v>
      </c>
      <c r="J924" s="3">
        <f>$D924*TCA!J924/100</f>
        <v>0</v>
      </c>
      <c r="K924" s="3">
        <f>$D924*TCA!K924/100</f>
        <v>0</v>
      </c>
      <c r="L924" s="3">
        <f>$D924*TCA!L924/100</f>
        <v>0</v>
      </c>
      <c r="M924" s="3">
        <f>$D924*TCA!M924/100</f>
        <v>0</v>
      </c>
      <c r="N924" s="3">
        <f>$D924*TCA!N924/100</f>
        <v>0</v>
      </c>
      <c r="O924" s="3">
        <f>$D924*TCA!O924/100</f>
        <v>0</v>
      </c>
      <c r="P924" s="3" t="e">
        <f t="shared" si="14"/>
        <v>#DIV/0!</v>
      </c>
      <c r="Q924" s="3">
        <f>$D924*TCA!P924/100</f>
        <v>0</v>
      </c>
      <c r="R924" s="3">
        <f>$D924*TCA!Q924/100</f>
        <v>0</v>
      </c>
      <c r="S924" s="3">
        <f>$D924*TCA!R924/100</f>
        <v>6.25</v>
      </c>
      <c r="T924" s="3">
        <f>$D924*TCA!S924/100</f>
        <v>0</v>
      </c>
      <c r="U924" s="3">
        <f>$D924*TCA!T924/100</f>
        <v>0</v>
      </c>
      <c r="V924" s="3">
        <f>$D924*TCA!U924/100</f>
        <v>0</v>
      </c>
      <c r="W924" s="3">
        <f>$D924*TCA!V924/100</f>
        <v>0</v>
      </c>
      <c r="X924" s="3">
        <f>$D924*TCA!W924/100</f>
        <v>0</v>
      </c>
    </row>
    <row r="925" spans="1:24" x14ac:dyDescent="0.25">
      <c r="A925" s="3" t="s">
        <v>2035</v>
      </c>
      <c r="B925" s="3" t="s">
        <v>1824</v>
      </c>
      <c r="C925" s="3" t="s">
        <v>1825</v>
      </c>
      <c r="D925" s="3">
        <v>100</v>
      </c>
      <c r="E925" s="3">
        <f>$D925*TCA!E925/100</f>
        <v>31.67</v>
      </c>
      <c r="F925" s="3">
        <f>$D925*TCA!F925/100</f>
        <v>0</v>
      </c>
      <c r="G925" s="3">
        <f>$D925*TCA!G925/100</f>
        <v>0</v>
      </c>
      <c r="H925" s="3">
        <f>$D925*TCA!H925/100</f>
        <v>7.92</v>
      </c>
      <c r="I925" s="3">
        <f>$D925*TCA!I925/100</f>
        <v>0</v>
      </c>
      <c r="J925" s="3">
        <f>$D925*TCA!J925/100</f>
        <v>0</v>
      </c>
      <c r="K925" s="3">
        <f>$D925*TCA!K925/100</f>
        <v>0</v>
      </c>
      <c r="L925" s="3">
        <f>$D925*TCA!L925/100</f>
        <v>0</v>
      </c>
      <c r="M925" s="3">
        <f>$D925*TCA!M925/100</f>
        <v>0</v>
      </c>
      <c r="N925" s="3">
        <f>$D925*TCA!N925/100</f>
        <v>0</v>
      </c>
      <c r="O925" s="3">
        <f>$D925*TCA!O925/100</f>
        <v>0</v>
      </c>
      <c r="P925" s="3" t="e">
        <f t="shared" si="14"/>
        <v>#DIV/0!</v>
      </c>
      <c r="Q925" s="3">
        <f>$D925*TCA!P925/100</f>
        <v>0</v>
      </c>
      <c r="R925" s="3">
        <f>$D925*TCA!Q925/100</f>
        <v>0</v>
      </c>
      <c r="S925" s="3">
        <f>$D925*TCA!R925/100</f>
        <v>4.17</v>
      </c>
      <c r="T925" s="3">
        <f>$D925*TCA!S925/100</f>
        <v>0</v>
      </c>
      <c r="U925" s="3">
        <f>$D925*TCA!T925/100</f>
        <v>0</v>
      </c>
      <c r="V925" s="3">
        <f>$D925*TCA!U925/100</f>
        <v>0</v>
      </c>
      <c r="W925" s="3">
        <f>$D925*TCA!V925/100</f>
        <v>0</v>
      </c>
      <c r="X925" s="3">
        <f>$D925*TCA!W925/100</f>
        <v>0</v>
      </c>
    </row>
    <row r="926" spans="1:24" x14ac:dyDescent="0.25">
      <c r="A926" s="3" t="s">
        <v>2035</v>
      </c>
      <c r="B926" s="3" t="s">
        <v>1826</v>
      </c>
      <c r="C926" s="3" t="s">
        <v>1827</v>
      </c>
      <c r="D926" s="3">
        <v>100</v>
      </c>
      <c r="E926" s="3">
        <f>$D926*TCA!E926/100</f>
        <v>10</v>
      </c>
      <c r="F926" s="3">
        <f>$D926*TCA!F926/100</f>
        <v>0</v>
      </c>
      <c r="G926" s="3">
        <f>$D926*TCA!G926/100</f>
        <v>0</v>
      </c>
      <c r="H926" s="3">
        <f>$D926*TCA!H926/100</f>
        <v>2.5</v>
      </c>
      <c r="I926" s="3">
        <f>$D926*TCA!I926/100</f>
        <v>0</v>
      </c>
      <c r="J926" s="3">
        <f>$D926*TCA!J926/100</f>
        <v>0</v>
      </c>
      <c r="K926" s="3">
        <f>$D926*TCA!K926/100</f>
        <v>0</v>
      </c>
      <c r="L926" s="3">
        <f>$D926*TCA!L926/100</f>
        <v>0</v>
      </c>
      <c r="M926" s="3">
        <f>$D926*TCA!M926/100</f>
        <v>0</v>
      </c>
      <c r="N926" s="3">
        <f>$D926*TCA!N926/100</f>
        <v>0</v>
      </c>
      <c r="O926" s="3">
        <f>$D926*TCA!O926/100</f>
        <v>0</v>
      </c>
      <c r="P926" s="3" t="e">
        <f t="shared" si="14"/>
        <v>#DIV/0!</v>
      </c>
      <c r="Q926" s="3">
        <f>$D926*TCA!P926/100</f>
        <v>0</v>
      </c>
      <c r="R926" s="3">
        <f>$D926*TCA!Q926/100</f>
        <v>0</v>
      </c>
      <c r="S926" s="3">
        <f>$D926*TCA!R926/100</f>
        <v>6.25</v>
      </c>
      <c r="T926" s="3">
        <f>$D926*TCA!S926/100</f>
        <v>0</v>
      </c>
      <c r="U926" s="3">
        <f>$D926*TCA!T926/100</f>
        <v>0</v>
      </c>
      <c r="V926" s="3">
        <f>$D926*TCA!U926/100</f>
        <v>0</v>
      </c>
      <c r="W926" s="3">
        <f>$D926*TCA!V926/100</f>
        <v>0</v>
      </c>
      <c r="X926" s="3">
        <f>$D926*TCA!W926/100</f>
        <v>0</v>
      </c>
    </row>
    <row r="927" spans="1:24" x14ac:dyDescent="0.25">
      <c r="A927" s="3" t="s">
        <v>2035</v>
      </c>
      <c r="B927" s="3" t="s">
        <v>1828</v>
      </c>
      <c r="C927" s="3" t="s">
        <v>1829</v>
      </c>
      <c r="D927" s="3">
        <v>100</v>
      </c>
      <c r="E927" s="3">
        <f>$D927*TCA!E927/100</f>
        <v>29.3</v>
      </c>
      <c r="F927" s="3">
        <f>$D927*TCA!F927/100</f>
        <v>0</v>
      </c>
      <c r="G927" s="3">
        <f>$D927*TCA!G927/100</f>
        <v>0</v>
      </c>
      <c r="H927" s="3">
        <f>$D927*TCA!H927/100</f>
        <v>7.32</v>
      </c>
      <c r="I927" s="3">
        <f>$D927*TCA!I927/100</f>
        <v>0</v>
      </c>
      <c r="J927" s="3">
        <f>$D927*TCA!J927/100</f>
        <v>0</v>
      </c>
      <c r="K927" s="3">
        <f>$D927*TCA!K927/100</f>
        <v>0</v>
      </c>
      <c r="L927" s="3">
        <f>$D927*TCA!L927/100</f>
        <v>0</v>
      </c>
      <c r="M927" s="3">
        <f>$D927*TCA!M927/100</f>
        <v>0</v>
      </c>
      <c r="N927" s="3">
        <f>$D927*TCA!N927/100</f>
        <v>0</v>
      </c>
      <c r="O927" s="3">
        <f>$D927*TCA!O927/100</f>
        <v>0</v>
      </c>
      <c r="P927" s="3" t="e">
        <f t="shared" si="14"/>
        <v>#DIV/0!</v>
      </c>
      <c r="Q927" s="3">
        <f>$D927*TCA!P927/100</f>
        <v>0</v>
      </c>
      <c r="R927" s="3">
        <f>$D927*TCA!Q927/100</f>
        <v>0</v>
      </c>
      <c r="S927" s="3">
        <f>$D927*TCA!R927/100</f>
        <v>9.86</v>
      </c>
      <c r="T927" s="3">
        <f>$D927*TCA!S927/100</f>
        <v>0</v>
      </c>
      <c r="U927" s="3">
        <f>$D927*TCA!T927/100</f>
        <v>0</v>
      </c>
      <c r="V927" s="3">
        <f>$D927*TCA!U927/100</f>
        <v>0</v>
      </c>
      <c r="W927" s="3">
        <f>$D927*TCA!V927/100</f>
        <v>0</v>
      </c>
      <c r="X927" s="3">
        <f>$D927*TCA!W927/100</f>
        <v>0</v>
      </c>
    </row>
    <row r="928" spans="1:24" x14ac:dyDescent="0.25">
      <c r="A928" s="3" t="s">
        <v>2035</v>
      </c>
      <c r="B928" s="3" t="s">
        <v>1830</v>
      </c>
      <c r="C928" s="3" t="s">
        <v>1831</v>
      </c>
      <c r="D928" s="3">
        <v>100</v>
      </c>
      <c r="E928" s="3">
        <f>$D928*TCA!E928/100</f>
        <v>8.33</v>
      </c>
      <c r="F928" s="3">
        <f>$D928*TCA!F928/100</f>
        <v>0</v>
      </c>
      <c r="G928" s="3">
        <f>$D928*TCA!G928/100</f>
        <v>0</v>
      </c>
      <c r="H928" s="3">
        <f>$D928*TCA!H928/100</f>
        <v>2.08</v>
      </c>
      <c r="I928" s="3">
        <f>$D928*TCA!I928/100</f>
        <v>0</v>
      </c>
      <c r="J928" s="3">
        <f>$D928*TCA!J928/100</f>
        <v>0</v>
      </c>
      <c r="K928" s="3">
        <f>$D928*TCA!K928/100</f>
        <v>0</v>
      </c>
      <c r="L928" s="3">
        <f>$D928*TCA!L928/100</f>
        <v>0</v>
      </c>
      <c r="M928" s="3">
        <f>$D928*TCA!M928/100</f>
        <v>0</v>
      </c>
      <c r="N928" s="3">
        <f>$D928*TCA!N928/100</f>
        <v>0</v>
      </c>
      <c r="O928" s="3">
        <f>$D928*TCA!O928/100</f>
        <v>0</v>
      </c>
      <c r="P928" s="3" t="e">
        <f t="shared" si="14"/>
        <v>#DIV/0!</v>
      </c>
      <c r="Q928" s="3">
        <f>$D928*TCA!P928/100</f>
        <v>0</v>
      </c>
      <c r="R928" s="3">
        <f>$D928*TCA!Q928/100</f>
        <v>0</v>
      </c>
      <c r="S928" s="3">
        <f>$D928*TCA!R928/100</f>
        <v>8.33</v>
      </c>
      <c r="T928" s="3">
        <f>$D928*TCA!S928/100</f>
        <v>0</v>
      </c>
      <c r="U928" s="3">
        <f>$D928*TCA!T928/100</f>
        <v>0</v>
      </c>
      <c r="V928" s="3">
        <f>$D928*TCA!U928/100</f>
        <v>0</v>
      </c>
      <c r="W928" s="3">
        <f>$D928*TCA!V928/100</f>
        <v>0</v>
      </c>
      <c r="X928" s="3">
        <f>$D928*TCA!W928/100</f>
        <v>0</v>
      </c>
    </row>
    <row r="929" spans="1:24" x14ac:dyDescent="0.25">
      <c r="A929" s="3" t="s">
        <v>2035</v>
      </c>
      <c r="B929" s="3" t="s">
        <v>1832</v>
      </c>
      <c r="C929" s="3" t="s">
        <v>1833</v>
      </c>
      <c r="D929" s="3">
        <v>100</v>
      </c>
      <c r="E929" s="3">
        <f>$D929*TCA!E929/100</f>
        <v>10</v>
      </c>
      <c r="F929" s="3">
        <f>$D929*TCA!F929/100</f>
        <v>0</v>
      </c>
      <c r="G929" s="3">
        <f>$D929*TCA!G929/100</f>
        <v>0</v>
      </c>
      <c r="H929" s="3">
        <f>$D929*TCA!H929/100</f>
        <v>2.5</v>
      </c>
      <c r="I929" s="3">
        <f>$D929*TCA!I929/100</f>
        <v>0</v>
      </c>
      <c r="J929" s="3">
        <f>$D929*TCA!J929/100</f>
        <v>0</v>
      </c>
      <c r="K929" s="3">
        <f>$D929*TCA!K929/100</f>
        <v>0</v>
      </c>
      <c r="L929" s="3">
        <f>$D929*TCA!L929/100</f>
        <v>0</v>
      </c>
      <c r="M929" s="3">
        <f>$D929*TCA!M929/100</f>
        <v>0</v>
      </c>
      <c r="N929" s="3">
        <f>$D929*TCA!N929/100</f>
        <v>0</v>
      </c>
      <c r="O929" s="3">
        <f>$D929*TCA!O929/100</f>
        <v>0</v>
      </c>
      <c r="P929" s="3" t="e">
        <f t="shared" si="14"/>
        <v>#DIV/0!</v>
      </c>
      <c r="Q929" s="3">
        <f>$D929*TCA!P929/100</f>
        <v>0</v>
      </c>
      <c r="R929" s="3">
        <f>$D929*TCA!Q929/100</f>
        <v>0</v>
      </c>
      <c r="S929" s="3">
        <f>$D929*TCA!R929/100</f>
        <v>8.33</v>
      </c>
      <c r="T929" s="3">
        <f>$D929*TCA!S929/100</f>
        <v>0</v>
      </c>
      <c r="U929" s="3">
        <f>$D929*TCA!T929/100</f>
        <v>0</v>
      </c>
      <c r="V929" s="3">
        <f>$D929*TCA!U929/100</f>
        <v>0</v>
      </c>
      <c r="W929" s="3">
        <f>$D929*TCA!V929/100</f>
        <v>0</v>
      </c>
      <c r="X929" s="3">
        <f>$D929*TCA!W929/100</f>
        <v>0</v>
      </c>
    </row>
    <row r="930" spans="1:24" x14ac:dyDescent="0.25">
      <c r="A930" s="3" t="s">
        <v>2035</v>
      </c>
      <c r="B930" s="3" t="s">
        <v>1834</v>
      </c>
      <c r="C930" s="3" t="s">
        <v>1835</v>
      </c>
      <c r="D930" s="3">
        <v>100</v>
      </c>
      <c r="E930" s="3">
        <f>$D930*TCA!E930/100</f>
        <v>30</v>
      </c>
      <c r="F930" s="3">
        <f>$D930*TCA!F930/100</f>
        <v>0</v>
      </c>
      <c r="G930" s="3">
        <f>$D930*TCA!G930/100</f>
        <v>0</v>
      </c>
      <c r="H930" s="3">
        <f>$D930*TCA!H930/100</f>
        <v>7.5</v>
      </c>
      <c r="I930" s="3">
        <f>$D930*TCA!I930/100</f>
        <v>0</v>
      </c>
      <c r="J930" s="3">
        <f>$D930*TCA!J930/100</f>
        <v>0</v>
      </c>
      <c r="K930" s="3">
        <f>$D930*TCA!K930/100</f>
        <v>0</v>
      </c>
      <c r="L930" s="3">
        <f>$D930*TCA!L930/100</f>
        <v>0</v>
      </c>
      <c r="M930" s="3">
        <f>$D930*TCA!M930/100</f>
        <v>0</v>
      </c>
      <c r="N930" s="3">
        <f>$D930*TCA!N930/100</f>
        <v>0</v>
      </c>
      <c r="O930" s="3">
        <f>$D930*TCA!O930/100</f>
        <v>0</v>
      </c>
      <c r="P930" s="3" t="e">
        <f t="shared" si="14"/>
        <v>#DIV/0!</v>
      </c>
      <c r="Q930" s="3">
        <f>$D930*TCA!P930/100</f>
        <v>0</v>
      </c>
      <c r="R930" s="3">
        <f>$D930*TCA!Q930/100</f>
        <v>0</v>
      </c>
      <c r="S930" s="3">
        <f>$D930*TCA!R930/100</f>
        <v>8.33</v>
      </c>
      <c r="T930" s="3">
        <f>$D930*TCA!S930/100</f>
        <v>0</v>
      </c>
      <c r="U930" s="3">
        <f>$D930*TCA!T930/100</f>
        <v>0</v>
      </c>
      <c r="V930" s="3">
        <f>$D930*TCA!U930/100</f>
        <v>0</v>
      </c>
      <c r="W930" s="3">
        <f>$D930*TCA!V930/100</f>
        <v>0</v>
      </c>
      <c r="X930" s="3">
        <f>$D930*TCA!W930/100</f>
        <v>0</v>
      </c>
    </row>
    <row r="931" spans="1:24" x14ac:dyDescent="0.25">
      <c r="A931" s="3" t="s">
        <v>2035</v>
      </c>
      <c r="B931" s="3" t="s">
        <v>1836</v>
      </c>
      <c r="C931" s="3" t="s">
        <v>1837</v>
      </c>
      <c r="D931" s="3">
        <v>100</v>
      </c>
      <c r="E931" s="3">
        <f>$D931*TCA!E931/100</f>
        <v>10</v>
      </c>
      <c r="F931" s="3">
        <f>$D931*TCA!F931/100</f>
        <v>0</v>
      </c>
      <c r="G931" s="3">
        <f>$D931*TCA!G931/100</f>
        <v>0</v>
      </c>
      <c r="H931" s="3">
        <f>$D931*TCA!H931/100</f>
        <v>2.5</v>
      </c>
      <c r="I931" s="3">
        <f>$D931*TCA!I931/100</f>
        <v>0</v>
      </c>
      <c r="J931" s="3">
        <f>$D931*TCA!J931/100</f>
        <v>0</v>
      </c>
      <c r="K931" s="3">
        <f>$D931*TCA!K931/100</f>
        <v>0</v>
      </c>
      <c r="L931" s="3">
        <f>$D931*TCA!L931/100</f>
        <v>0</v>
      </c>
      <c r="M931" s="3">
        <f>$D931*TCA!M931/100</f>
        <v>0</v>
      </c>
      <c r="N931" s="3">
        <f>$D931*TCA!N931/100</f>
        <v>0</v>
      </c>
      <c r="O931" s="3">
        <f>$D931*TCA!O931/100</f>
        <v>0</v>
      </c>
      <c r="P931" s="3" t="e">
        <f t="shared" si="14"/>
        <v>#DIV/0!</v>
      </c>
      <c r="Q931" s="3">
        <f>$D931*TCA!P931/100</f>
        <v>0</v>
      </c>
      <c r="R931" s="3">
        <f>$D931*TCA!Q931/100</f>
        <v>0</v>
      </c>
      <c r="S931" s="3">
        <f>$D931*TCA!R931/100</f>
        <v>8.33</v>
      </c>
      <c r="T931" s="3">
        <f>$D931*TCA!S931/100</f>
        <v>0</v>
      </c>
      <c r="U931" s="3">
        <f>$D931*TCA!T931/100</f>
        <v>0</v>
      </c>
      <c r="V931" s="3">
        <f>$D931*TCA!U931/100</f>
        <v>0</v>
      </c>
      <c r="W931" s="3">
        <f>$D931*TCA!V931/100</f>
        <v>0</v>
      </c>
      <c r="X931" s="3">
        <f>$D931*TCA!W931/100</f>
        <v>0</v>
      </c>
    </row>
    <row r="932" spans="1:24" x14ac:dyDescent="0.25">
      <c r="A932" s="3" t="s">
        <v>2035</v>
      </c>
      <c r="B932" s="3" t="s">
        <v>1838</v>
      </c>
      <c r="C932" s="3" t="s">
        <v>1839</v>
      </c>
      <c r="D932" s="3">
        <v>100</v>
      </c>
      <c r="E932" s="3">
        <f>$D932*TCA!E932/100</f>
        <v>31.67</v>
      </c>
      <c r="F932" s="3">
        <f>$D932*TCA!F932/100</f>
        <v>0</v>
      </c>
      <c r="G932" s="3">
        <f>$D932*TCA!G932/100</f>
        <v>0</v>
      </c>
      <c r="H932" s="3">
        <f>$D932*TCA!H932/100</f>
        <v>7.92</v>
      </c>
      <c r="I932" s="3">
        <f>$D932*TCA!I932/100</f>
        <v>0</v>
      </c>
      <c r="J932" s="3">
        <f>$D932*TCA!J932/100</f>
        <v>0</v>
      </c>
      <c r="K932" s="3">
        <f>$D932*TCA!K932/100</f>
        <v>0</v>
      </c>
      <c r="L932" s="3">
        <f>$D932*TCA!L932/100</f>
        <v>0</v>
      </c>
      <c r="M932" s="3">
        <f>$D932*TCA!M932/100</f>
        <v>0</v>
      </c>
      <c r="N932" s="3">
        <f>$D932*TCA!N932/100</f>
        <v>0</v>
      </c>
      <c r="O932" s="3">
        <f>$D932*TCA!O932/100</f>
        <v>0</v>
      </c>
      <c r="P932" s="3" t="e">
        <f t="shared" si="14"/>
        <v>#DIV/0!</v>
      </c>
      <c r="Q932" s="3">
        <f>$D932*TCA!P932/100</f>
        <v>0</v>
      </c>
      <c r="R932" s="3">
        <f>$D932*TCA!Q932/100</f>
        <v>0</v>
      </c>
      <c r="S932" s="3">
        <f>$D932*TCA!R932/100</f>
        <v>8.33</v>
      </c>
      <c r="T932" s="3">
        <f>$D932*TCA!S932/100</f>
        <v>0</v>
      </c>
      <c r="U932" s="3">
        <f>$D932*TCA!T932/100</f>
        <v>0</v>
      </c>
      <c r="V932" s="3">
        <f>$D932*TCA!U932/100</f>
        <v>0</v>
      </c>
      <c r="W932" s="3">
        <f>$D932*TCA!V932/100</f>
        <v>0</v>
      </c>
      <c r="X932" s="3">
        <f>$D932*TCA!W932/100</f>
        <v>0</v>
      </c>
    </row>
    <row r="933" spans="1:24" x14ac:dyDescent="0.25">
      <c r="A933" s="3" t="s">
        <v>2035</v>
      </c>
      <c r="B933" s="3" t="s">
        <v>1840</v>
      </c>
      <c r="C933" s="3" t="s">
        <v>1841</v>
      </c>
      <c r="D933" s="3">
        <v>100</v>
      </c>
      <c r="E933" s="3">
        <f>$D933*TCA!E933/100</f>
        <v>49.58</v>
      </c>
      <c r="F933" s="3">
        <f>$D933*TCA!F933/100</f>
        <v>0</v>
      </c>
      <c r="G933" s="3">
        <f>$D933*TCA!G933/100</f>
        <v>0</v>
      </c>
      <c r="H933" s="3">
        <f>$D933*TCA!H933/100</f>
        <v>12.39</v>
      </c>
      <c r="I933" s="3">
        <f>$D933*TCA!I933/100</f>
        <v>0</v>
      </c>
      <c r="J933" s="3">
        <f>$D933*TCA!J933/100</f>
        <v>0</v>
      </c>
      <c r="K933" s="3">
        <f>$D933*TCA!K933/100</f>
        <v>0</v>
      </c>
      <c r="L933" s="3">
        <f>$D933*TCA!L933/100</f>
        <v>0</v>
      </c>
      <c r="M933" s="3">
        <f>$D933*TCA!M933/100</f>
        <v>0</v>
      </c>
      <c r="N933" s="3">
        <f>$D933*TCA!N933/100</f>
        <v>0</v>
      </c>
      <c r="O933" s="3">
        <f>$D933*TCA!O933/100</f>
        <v>0</v>
      </c>
      <c r="P933" s="3" t="e">
        <f t="shared" si="14"/>
        <v>#DIV/0!</v>
      </c>
      <c r="Q933" s="3">
        <f>$D933*TCA!P933/100</f>
        <v>0</v>
      </c>
      <c r="R933" s="3">
        <f>$D933*TCA!Q933/100</f>
        <v>0</v>
      </c>
      <c r="S933" s="3">
        <f>$D933*TCA!R933/100</f>
        <v>14.08</v>
      </c>
      <c r="T933" s="3">
        <f>$D933*TCA!S933/100</f>
        <v>0</v>
      </c>
      <c r="U933" s="3">
        <f>$D933*TCA!T933/100</f>
        <v>0</v>
      </c>
      <c r="V933" s="3">
        <f>$D933*TCA!U933/100</f>
        <v>0</v>
      </c>
      <c r="W933" s="3">
        <f>$D933*TCA!V933/100</f>
        <v>0</v>
      </c>
      <c r="X933" s="3">
        <f>$D933*TCA!W933/100</f>
        <v>0</v>
      </c>
    </row>
    <row r="934" spans="1:24" x14ac:dyDescent="0.25">
      <c r="A934" s="3" t="s">
        <v>2035</v>
      </c>
      <c r="B934" s="3" t="s">
        <v>1842</v>
      </c>
      <c r="C934" s="3" t="s">
        <v>1843</v>
      </c>
      <c r="D934" s="3">
        <v>100</v>
      </c>
      <c r="E934" s="3">
        <f>$D934*TCA!E934/100</f>
        <v>50.63</v>
      </c>
      <c r="F934" s="3">
        <f>$D934*TCA!F934/100</f>
        <v>0</v>
      </c>
      <c r="G934" s="3">
        <f>$D934*TCA!G934/100</f>
        <v>0</v>
      </c>
      <c r="H934" s="3">
        <f>$D934*TCA!H934/100</f>
        <v>12.66</v>
      </c>
      <c r="I934" s="3">
        <f>$D934*TCA!I934/100</f>
        <v>0</v>
      </c>
      <c r="J934" s="3">
        <f>$D934*TCA!J934/100</f>
        <v>0</v>
      </c>
      <c r="K934" s="3">
        <f>$D934*TCA!K934/100</f>
        <v>0</v>
      </c>
      <c r="L934" s="3">
        <f>$D934*TCA!L934/100</f>
        <v>0</v>
      </c>
      <c r="M934" s="3">
        <f>$D934*TCA!M934/100</f>
        <v>0</v>
      </c>
      <c r="N934" s="3">
        <f>$D934*TCA!N934/100</f>
        <v>0</v>
      </c>
      <c r="O934" s="3">
        <f>$D934*TCA!O934/100</f>
        <v>0</v>
      </c>
      <c r="P934" s="3" t="e">
        <f t="shared" si="14"/>
        <v>#DIV/0!</v>
      </c>
      <c r="Q934" s="3">
        <f>$D934*TCA!P934/100</f>
        <v>0</v>
      </c>
      <c r="R934" s="3">
        <f>$D934*TCA!Q934/100</f>
        <v>0</v>
      </c>
      <c r="S934" s="3">
        <f>$D934*TCA!R934/100</f>
        <v>8.44</v>
      </c>
      <c r="T934" s="3">
        <f>$D934*TCA!S934/100</f>
        <v>0</v>
      </c>
      <c r="U934" s="3">
        <f>$D934*TCA!T934/100</f>
        <v>0</v>
      </c>
      <c r="V934" s="3">
        <f>$D934*TCA!U934/100</f>
        <v>0</v>
      </c>
      <c r="W934" s="3">
        <f>$D934*TCA!V934/100</f>
        <v>0</v>
      </c>
      <c r="X934" s="3">
        <f>$D934*TCA!W934/100</f>
        <v>0</v>
      </c>
    </row>
    <row r="935" spans="1:24" x14ac:dyDescent="0.25">
      <c r="A935" s="3" t="s">
        <v>2035</v>
      </c>
      <c r="B935" s="3" t="s">
        <v>1844</v>
      </c>
      <c r="C935" s="3" t="s">
        <v>1845</v>
      </c>
      <c r="D935" s="3">
        <v>100</v>
      </c>
      <c r="E935" s="3">
        <f>$D935*TCA!E935/100</f>
        <v>0</v>
      </c>
      <c r="F935" s="3">
        <f>$D935*TCA!F935/100</f>
        <v>0</v>
      </c>
      <c r="G935" s="3">
        <f>$D935*TCA!G935/100</f>
        <v>0</v>
      </c>
      <c r="H935" s="3">
        <f>$D935*TCA!H935/100</f>
        <v>0</v>
      </c>
      <c r="I935" s="3">
        <f>$D935*TCA!I935/100</f>
        <v>0</v>
      </c>
      <c r="J935" s="3">
        <f>$D935*TCA!J935/100</f>
        <v>0</v>
      </c>
      <c r="K935" s="3">
        <f>$D935*TCA!K935/100</f>
        <v>0</v>
      </c>
      <c r="L935" s="3">
        <f>$D935*TCA!L935/100</f>
        <v>0</v>
      </c>
      <c r="M935" s="3">
        <f>$D935*TCA!M935/100</f>
        <v>0</v>
      </c>
      <c r="N935" s="3">
        <f>$D935*TCA!N935/100</f>
        <v>0</v>
      </c>
      <c r="O935" s="3">
        <f>$D935*TCA!O935/100</f>
        <v>0</v>
      </c>
      <c r="P935" s="3" t="e">
        <f t="shared" si="14"/>
        <v>#DIV/0!</v>
      </c>
      <c r="Q935" s="3">
        <f>$D935*TCA!P935/100</f>
        <v>0</v>
      </c>
      <c r="R935" s="3">
        <f>$D935*TCA!Q935/100</f>
        <v>0</v>
      </c>
      <c r="S935" s="3">
        <f>$D935*TCA!R935/100</f>
        <v>8.33</v>
      </c>
      <c r="T935" s="3">
        <f>$D935*TCA!S935/100</f>
        <v>0</v>
      </c>
      <c r="U935" s="3">
        <f>$D935*TCA!T935/100</f>
        <v>0</v>
      </c>
      <c r="V935" s="3">
        <f>$D935*TCA!U935/100</f>
        <v>0</v>
      </c>
      <c r="W935" s="3">
        <f>$D935*TCA!V935/100</f>
        <v>0</v>
      </c>
      <c r="X935" s="3">
        <f>$D935*TCA!W935/100</f>
        <v>0</v>
      </c>
    </row>
    <row r="936" spans="1:24" x14ac:dyDescent="0.25">
      <c r="A936" s="3" t="s">
        <v>2035</v>
      </c>
      <c r="B936" s="3" t="s">
        <v>1846</v>
      </c>
      <c r="C936" s="3" t="s">
        <v>1847</v>
      </c>
      <c r="D936" s="3">
        <v>100</v>
      </c>
      <c r="E936" s="3">
        <f>$D936*TCA!E936/100</f>
        <v>0</v>
      </c>
      <c r="F936" s="3">
        <f>$D936*TCA!F936/100</f>
        <v>0</v>
      </c>
      <c r="G936" s="3">
        <f>$D936*TCA!G936/100</f>
        <v>0</v>
      </c>
      <c r="H936" s="3">
        <f>$D936*TCA!H936/100</f>
        <v>0</v>
      </c>
      <c r="I936" s="3">
        <f>$D936*TCA!I936/100</f>
        <v>0</v>
      </c>
      <c r="J936" s="3">
        <f>$D936*TCA!J936/100</f>
        <v>0</v>
      </c>
      <c r="K936" s="3">
        <f>$D936*TCA!K936/100</f>
        <v>0</v>
      </c>
      <c r="L936" s="3">
        <f>$D936*TCA!L936/100</f>
        <v>0</v>
      </c>
      <c r="M936" s="3">
        <f>$D936*TCA!M936/100</f>
        <v>0</v>
      </c>
      <c r="N936" s="3">
        <f>$D936*TCA!N936/100</f>
        <v>0</v>
      </c>
      <c r="O936" s="3">
        <f>$D936*TCA!O936/100</f>
        <v>0</v>
      </c>
      <c r="P936" s="3" t="e">
        <f t="shared" si="14"/>
        <v>#DIV/0!</v>
      </c>
      <c r="Q936" s="3">
        <f>$D936*TCA!P936/100</f>
        <v>0</v>
      </c>
      <c r="R936" s="3">
        <f>$D936*TCA!Q936/100</f>
        <v>0</v>
      </c>
      <c r="S936" s="3">
        <f>$D936*TCA!R936/100</f>
        <v>5</v>
      </c>
      <c r="T936" s="3">
        <f>$D936*TCA!S936/100</f>
        <v>0</v>
      </c>
      <c r="U936" s="3">
        <f>$D936*TCA!T936/100</f>
        <v>0</v>
      </c>
      <c r="V936" s="3">
        <f>$D936*TCA!U936/100</f>
        <v>0</v>
      </c>
      <c r="W936" s="3">
        <f>$D936*TCA!V936/100</f>
        <v>0</v>
      </c>
      <c r="X936" s="3">
        <f>$D936*TCA!W936/100</f>
        <v>0</v>
      </c>
    </row>
    <row r="937" spans="1:24" x14ac:dyDescent="0.25">
      <c r="A937" s="3" t="s">
        <v>2035</v>
      </c>
      <c r="B937" s="3" t="s">
        <v>1848</v>
      </c>
      <c r="C937" s="3" t="s">
        <v>1849</v>
      </c>
      <c r="D937" s="3">
        <v>100</v>
      </c>
      <c r="E937" s="3">
        <f>$D937*TCA!E937/100</f>
        <v>0</v>
      </c>
      <c r="F937" s="3">
        <f>$D937*TCA!F937/100</f>
        <v>0</v>
      </c>
      <c r="G937" s="3">
        <f>$D937*TCA!G937/100</f>
        <v>0</v>
      </c>
      <c r="H937" s="3">
        <f>$D937*TCA!H937/100</f>
        <v>0</v>
      </c>
      <c r="I937" s="3">
        <f>$D937*TCA!I937/100</f>
        <v>0</v>
      </c>
      <c r="J937" s="3">
        <f>$D937*TCA!J937/100</f>
        <v>0</v>
      </c>
      <c r="K937" s="3">
        <f>$D937*TCA!K937/100</f>
        <v>0</v>
      </c>
      <c r="L937" s="3">
        <f>$D937*TCA!L937/100</f>
        <v>0</v>
      </c>
      <c r="M937" s="3">
        <f>$D937*TCA!M937/100</f>
        <v>0</v>
      </c>
      <c r="N937" s="3">
        <f>$D937*TCA!N937/100</f>
        <v>0</v>
      </c>
      <c r="O937" s="3">
        <f>$D937*TCA!O937/100</f>
        <v>0</v>
      </c>
      <c r="P937" s="3" t="e">
        <f t="shared" si="14"/>
        <v>#DIV/0!</v>
      </c>
      <c r="Q937" s="3">
        <f>$D937*TCA!P937/100</f>
        <v>0</v>
      </c>
      <c r="R937" s="3">
        <f>$D937*TCA!Q937/100</f>
        <v>0</v>
      </c>
      <c r="S937" s="3">
        <f>$D937*TCA!R937/100</f>
        <v>8.33</v>
      </c>
      <c r="T937" s="3">
        <f>$D937*TCA!S937/100</f>
        <v>0</v>
      </c>
      <c r="U937" s="3">
        <f>$D937*TCA!T937/100</f>
        <v>0</v>
      </c>
      <c r="V937" s="3">
        <f>$D937*TCA!U937/100</f>
        <v>0</v>
      </c>
      <c r="W937" s="3">
        <f>$D937*TCA!V937/100</f>
        <v>0</v>
      </c>
      <c r="X937" s="3">
        <f>$D937*TCA!W937/100</f>
        <v>0</v>
      </c>
    </row>
    <row r="938" spans="1:24" x14ac:dyDescent="0.25">
      <c r="A938" s="3" t="s">
        <v>2035</v>
      </c>
      <c r="B938" s="3" t="s">
        <v>1850</v>
      </c>
      <c r="C938" s="3" t="s">
        <v>1851</v>
      </c>
      <c r="D938" s="3">
        <v>100</v>
      </c>
      <c r="E938" s="3">
        <f>$D938*TCA!E938/100</f>
        <v>0</v>
      </c>
      <c r="F938" s="3">
        <f>$D938*TCA!F938/100</f>
        <v>0</v>
      </c>
      <c r="G938" s="3">
        <f>$D938*TCA!G938/100</f>
        <v>0</v>
      </c>
      <c r="H938" s="3">
        <f>$D938*TCA!H938/100</f>
        <v>0</v>
      </c>
      <c r="I938" s="3">
        <f>$D938*TCA!I938/100</f>
        <v>0</v>
      </c>
      <c r="J938" s="3">
        <f>$D938*TCA!J938/100</f>
        <v>0</v>
      </c>
      <c r="K938" s="3">
        <f>$D938*TCA!K938/100</f>
        <v>0</v>
      </c>
      <c r="L938" s="3">
        <f>$D938*TCA!L938/100</f>
        <v>0</v>
      </c>
      <c r="M938" s="3">
        <f>$D938*TCA!M938/100</f>
        <v>0</v>
      </c>
      <c r="N938" s="3">
        <f>$D938*TCA!N938/100</f>
        <v>0</v>
      </c>
      <c r="O938" s="3">
        <f>$D938*TCA!O938/100</f>
        <v>0</v>
      </c>
      <c r="P938" s="3" t="e">
        <f t="shared" si="14"/>
        <v>#DIV/0!</v>
      </c>
      <c r="Q938" s="3">
        <f>$D938*TCA!P938/100</f>
        <v>0</v>
      </c>
      <c r="R938" s="3">
        <f>$D938*TCA!Q938/100</f>
        <v>0</v>
      </c>
      <c r="S938" s="3">
        <f>$D938*TCA!R938/100</f>
        <v>15</v>
      </c>
      <c r="T938" s="3">
        <f>$D938*TCA!S938/100</f>
        <v>0</v>
      </c>
      <c r="U938" s="3">
        <f>$D938*TCA!T938/100</f>
        <v>0</v>
      </c>
      <c r="V938" s="3">
        <f>$D938*TCA!U938/100</f>
        <v>0</v>
      </c>
      <c r="W938" s="3">
        <f>$D938*TCA!V938/100</f>
        <v>0</v>
      </c>
      <c r="X938" s="3">
        <f>$D938*TCA!W938/100</f>
        <v>0</v>
      </c>
    </row>
    <row r="939" spans="1:24" x14ac:dyDescent="0.25">
      <c r="A939" s="3" t="s">
        <v>2035</v>
      </c>
      <c r="B939" s="3" t="s">
        <v>1852</v>
      </c>
      <c r="C939" s="3" t="s">
        <v>1853</v>
      </c>
      <c r="D939" s="3">
        <v>100</v>
      </c>
      <c r="E939" s="3">
        <f>$D939*TCA!E939/100</f>
        <v>0</v>
      </c>
      <c r="F939" s="3">
        <f>$D939*TCA!F939/100</f>
        <v>0</v>
      </c>
      <c r="G939" s="3">
        <f>$D939*TCA!G939/100</f>
        <v>0</v>
      </c>
      <c r="H939" s="3">
        <f>$D939*TCA!H939/100</f>
        <v>0</v>
      </c>
      <c r="I939" s="3">
        <f>$D939*TCA!I939/100</f>
        <v>0</v>
      </c>
      <c r="J939" s="3">
        <f>$D939*TCA!J939/100</f>
        <v>0</v>
      </c>
      <c r="K939" s="3">
        <f>$D939*TCA!K939/100</f>
        <v>0</v>
      </c>
      <c r="L939" s="3">
        <f>$D939*TCA!L939/100</f>
        <v>0</v>
      </c>
      <c r="M939" s="3">
        <f>$D939*TCA!M939/100</f>
        <v>0</v>
      </c>
      <c r="N939" s="3">
        <f>$D939*TCA!N939/100</f>
        <v>0</v>
      </c>
      <c r="O939" s="3">
        <f>$D939*TCA!O939/100</f>
        <v>0</v>
      </c>
      <c r="P939" s="3" t="e">
        <f t="shared" si="14"/>
        <v>#DIV/0!</v>
      </c>
      <c r="Q939" s="3">
        <f>$D939*TCA!P939/100</f>
        <v>0</v>
      </c>
      <c r="R939" s="3">
        <f>$D939*TCA!Q939/100</f>
        <v>0</v>
      </c>
      <c r="S939" s="3">
        <f>$D939*TCA!R939/100</f>
        <v>8.33</v>
      </c>
      <c r="T939" s="3">
        <f>$D939*TCA!S939/100</f>
        <v>0</v>
      </c>
      <c r="U939" s="3">
        <f>$D939*TCA!T939/100</f>
        <v>0</v>
      </c>
      <c r="V939" s="3">
        <f>$D939*TCA!U939/100</f>
        <v>0</v>
      </c>
      <c r="W939" s="3">
        <f>$D939*TCA!V939/100</f>
        <v>0</v>
      </c>
      <c r="X939" s="3">
        <f>$D939*TCA!W939/100</f>
        <v>0</v>
      </c>
    </row>
    <row r="940" spans="1:24" x14ac:dyDescent="0.25">
      <c r="A940" s="3" t="s">
        <v>2035</v>
      </c>
      <c r="B940" s="3" t="s">
        <v>1854</v>
      </c>
      <c r="C940" s="3" t="s">
        <v>1855</v>
      </c>
      <c r="D940" s="3">
        <v>100</v>
      </c>
      <c r="E940" s="3">
        <f>$D940*TCA!E940/100</f>
        <v>0</v>
      </c>
      <c r="F940" s="3">
        <f>$D940*TCA!F940/100</f>
        <v>0</v>
      </c>
      <c r="G940" s="3">
        <f>$D940*TCA!G940/100</f>
        <v>0</v>
      </c>
      <c r="H940" s="3">
        <f>$D940*TCA!H940/100</f>
        <v>0</v>
      </c>
      <c r="I940" s="3">
        <f>$D940*TCA!I940/100</f>
        <v>0</v>
      </c>
      <c r="J940" s="3">
        <f>$D940*TCA!J940/100</f>
        <v>0</v>
      </c>
      <c r="K940" s="3">
        <f>$D940*TCA!K940/100</f>
        <v>0</v>
      </c>
      <c r="L940" s="3">
        <f>$D940*TCA!L940/100</f>
        <v>0</v>
      </c>
      <c r="M940" s="3">
        <f>$D940*TCA!M940/100</f>
        <v>0</v>
      </c>
      <c r="N940" s="3">
        <f>$D940*TCA!N940/100</f>
        <v>0</v>
      </c>
      <c r="O940" s="3">
        <f>$D940*TCA!O940/100</f>
        <v>0</v>
      </c>
      <c r="P940" s="3" t="e">
        <f t="shared" si="14"/>
        <v>#DIV/0!</v>
      </c>
      <c r="Q940" s="3">
        <f>$D940*TCA!P940/100</f>
        <v>0</v>
      </c>
      <c r="R940" s="3">
        <f>$D940*TCA!Q940/100</f>
        <v>0</v>
      </c>
      <c r="S940" s="3">
        <f>$D940*TCA!R940/100</f>
        <v>3.75</v>
      </c>
      <c r="T940" s="3">
        <f>$D940*TCA!S940/100</f>
        <v>0</v>
      </c>
      <c r="U940" s="3">
        <f>$D940*TCA!T940/100</f>
        <v>0</v>
      </c>
      <c r="V940" s="3">
        <f>$D940*TCA!U940/100</f>
        <v>0</v>
      </c>
      <c r="W940" s="3">
        <f>$D940*TCA!V940/100</f>
        <v>0</v>
      </c>
      <c r="X940" s="3">
        <f>$D940*TCA!W940/100</f>
        <v>0</v>
      </c>
    </row>
    <row r="941" spans="1:24" x14ac:dyDescent="0.25">
      <c r="A941" s="3" t="s">
        <v>2035</v>
      </c>
      <c r="B941" s="3" t="s">
        <v>1856</v>
      </c>
      <c r="C941" s="3" t="s">
        <v>1857</v>
      </c>
      <c r="D941" s="3">
        <v>100</v>
      </c>
      <c r="E941" s="3">
        <f>$D941*TCA!E941/100</f>
        <v>36</v>
      </c>
      <c r="F941" s="3">
        <f>$D941*TCA!F941/100</f>
        <v>0</v>
      </c>
      <c r="G941" s="3">
        <f>$D941*TCA!G941/100</f>
        <v>0</v>
      </c>
      <c r="H941" s="3">
        <f>$D941*TCA!H941/100</f>
        <v>9</v>
      </c>
      <c r="I941" s="3">
        <f>$D941*TCA!I941/100</f>
        <v>0</v>
      </c>
      <c r="J941" s="3">
        <f>$D941*TCA!J941/100</f>
        <v>0</v>
      </c>
      <c r="K941" s="3">
        <f>$D941*TCA!K941/100</f>
        <v>0</v>
      </c>
      <c r="L941" s="3">
        <f>$D941*TCA!L941/100</f>
        <v>0</v>
      </c>
      <c r="M941" s="3">
        <f>$D941*TCA!M941/100</f>
        <v>0</v>
      </c>
      <c r="N941" s="3">
        <f>$D941*TCA!N941/100</f>
        <v>0</v>
      </c>
      <c r="O941" s="3">
        <f>$D941*TCA!O941/100</f>
        <v>0</v>
      </c>
      <c r="P941" s="3" t="e">
        <f t="shared" si="14"/>
        <v>#DIV/0!</v>
      </c>
      <c r="Q941" s="3">
        <f>$D941*TCA!P941/100</f>
        <v>0</v>
      </c>
      <c r="R941" s="3">
        <f>$D941*TCA!Q941/100</f>
        <v>0</v>
      </c>
      <c r="S941" s="3">
        <f>$D941*TCA!R941/100</f>
        <v>11.67</v>
      </c>
      <c r="T941" s="3">
        <f>$D941*TCA!S941/100</f>
        <v>0</v>
      </c>
      <c r="U941" s="3">
        <f>$D941*TCA!T941/100</f>
        <v>0</v>
      </c>
      <c r="V941" s="3">
        <f>$D941*TCA!U941/100</f>
        <v>0</v>
      </c>
      <c r="W941" s="3">
        <f>$D941*TCA!V941/100</f>
        <v>0</v>
      </c>
      <c r="X941" s="3">
        <f>$D941*TCA!W941/100</f>
        <v>0</v>
      </c>
    </row>
    <row r="942" spans="1:24" x14ac:dyDescent="0.25">
      <c r="A942" s="3" t="s">
        <v>2035</v>
      </c>
      <c r="B942" s="3" t="s">
        <v>1858</v>
      </c>
      <c r="C942" s="3" t="s">
        <v>1859</v>
      </c>
      <c r="D942" s="3">
        <v>100</v>
      </c>
      <c r="E942" s="3">
        <f>$D942*TCA!E942/100</f>
        <v>29.33</v>
      </c>
      <c r="F942" s="3">
        <f>$D942*TCA!F942/100</f>
        <v>0.33</v>
      </c>
      <c r="G942" s="3">
        <f>$D942*TCA!G942/100</f>
        <v>0</v>
      </c>
      <c r="H942" s="3">
        <f>$D942*TCA!H942/100</f>
        <v>7</v>
      </c>
      <c r="I942" s="3">
        <f>$D942*TCA!I942/100</f>
        <v>0</v>
      </c>
      <c r="J942" s="3">
        <f>$D942*TCA!J942/100</f>
        <v>0</v>
      </c>
      <c r="K942" s="3">
        <f>$D942*TCA!K942/100</f>
        <v>0</v>
      </c>
      <c r="L942" s="3">
        <f>$D942*TCA!L942/100</f>
        <v>0</v>
      </c>
      <c r="M942" s="3">
        <f>$D942*TCA!M942/100</f>
        <v>0</v>
      </c>
      <c r="N942" s="3">
        <f>$D942*TCA!N942/100</f>
        <v>0</v>
      </c>
      <c r="O942" s="3">
        <f>$D942*TCA!O942/100</f>
        <v>0</v>
      </c>
      <c r="P942" s="3">
        <f t="shared" si="14"/>
        <v>0</v>
      </c>
      <c r="Q942" s="3">
        <f>$D942*TCA!P942/100</f>
        <v>0</v>
      </c>
      <c r="R942" s="3">
        <f>$D942*TCA!Q942/100</f>
        <v>0</v>
      </c>
      <c r="S942" s="3">
        <f>$D942*TCA!R942/100</f>
        <v>3.33</v>
      </c>
      <c r="T942" s="3">
        <f>$D942*TCA!S942/100</f>
        <v>0</v>
      </c>
      <c r="U942" s="3">
        <f>$D942*TCA!T942/100</f>
        <v>0</v>
      </c>
      <c r="V942" s="3">
        <f>$D942*TCA!U942/100</f>
        <v>0</v>
      </c>
      <c r="W942" s="3">
        <f>$D942*TCA!V942/100</f>
        <v>0</v>
      </c>
      <c r="X942" s="3">
        <f>$D942*TCA!W942/100</f>
        <v>0</v>
      </c>
    </row>
    <row r="943" spans="1:24" x14ac:dyDescent="0.25">
      <c r="A943" s="3" t="s">
        <v>2035</v>
      </c>
      <c r="B943" s="3" t="s">
        <v>1860</v>
      </c>
      <c r="C943" s="3" t="s">
        <v>1861</v>
      </c>
      <c r="D943" s="3">
        <v>100</v>
      </c>
      <c r="E943" s="3">
        <f>$D943*TCA!E943/100</f>
        <v>3.33</v>
      </c>
      <c r="F943" s="3">
        <f>$D943*TCA!F943/100</f>
        <v>0</v>
      </c>
      <c r="G943" s="3">
        <f>$D943*TCA!G943/100</f>
        <v>0</v>
      </c>
      <c r="H943" s="3">
        <f>$D943*TCA!H943/100</f>
        <v>0.83</v>
      </c>
      <c r="I943" s="3">
        <f>$D943*TCA!I943/100</f>
        <v>0</v>
      </c>
      <c r="J943" s="3">
        <f>$D943*TCA!J943/100</f>
        <v>0</v>
      </c>
      <c r="K943" s="3">
        <f>$D943*TCA!K943/100</f>
        <v>0</v>
      </c>
      <c r="L943" s="3">
        <f>$D943*TCA!L943/100</f>
        <v>0</v>
      </c>
      <c r="M943" s="3">
        <f>$D943*TCA!M943/100</f>
        <v>0</v>
      </c>
      <c r="N943" s="3">
        <f>$D943*TCA!N943/100</f>
        <v>0</v>
      </c>
      <c r="O943" s="3">
        <f>$D943*TCA!O943/100</f>
        <v>0</v>
      </c>
      <c r="P943" s="3" t="e">
        <f t="shared" si="14"/>
        <v>#DIV/0!</v>
      </c>
      <c r="Q943" s="3">
        <f>$D943*TCA!P943/100</f>
        <v>0</v>
      </c>
      <c r="R943" s="3">
        <f>$D943*TCA!Q943/100</f>
        <v>0</v>
      </c>
      <c r="S943" s="3">
        <f>$D943*TCA!R943/100</f>
        <v>8.33</v>
      </c>
      <c r="T943" s="3">
        <f>$D943*TCA!S943/100</f>
        <v>0</v>
      </c>
      <c r="U943" s="3">
        <f>$D943*TCA!T943/100</f>
        <v>0</v>
      </c>
      <c r="V943" s="3">
        <f>$D943*TCA!U943/100</f>
        <v>0</v>
      </c>
      <c r="W943" s="3">
        <f>$D943*TCA!V943/100</f>
        <v>0</v>
      </c>
      <c r="X943" s="3">
        <f>$D943*TCA!W943/100</f>
        <v>0</v>
      </c>
    </row>
    <row r="944" spans="1:24" x14ac:dyDescent="0.25">
      <c r="A944" s="3" t="s">
        <v>2035</v>
      </c>
      <c r="B944" s="3" t="s">
        <v>1862</v>
      </c>
      <c r="C944" s="3" t="s">
        <v>1863</v>
      </c>
      <c r="D944" s="3">
        <v>100</v>
      </c>
      <c r="E944" s="3">
        <f>$D944*TCA!E944/100</f>
        <v>0</v>
      </c>
      <c r="F944" s="3">
        <f>$D944*TCA!F944/100</f>
        <v>0</v>
      </c>
      <c r="G944" s="3">
        <f>$D944*TCA!G944/100</f>
        <v>0</v>
      </c>
      <c r="H944" s="3">
        <f>$D944*TCA!H944/100</f>
        <v>0</v>
      </c>
      <c r="I944" s="3">
        <f>$D944*TCA!I944/100</f>
        <v>0</v>
      </c>
      <c r="J944" s="3">
        <f>$D944*TCA!J944/100</f>
        <v>0</v>
      </c>
      <c r="K944" s="3">
        <f>$D944*TCA!K944/100</f>
        <v>0</v>
      </c>
      <c r="L944" s="3">
        <f>$D944*TCA!L944/100</f>
        <v>0</v>
      </c>
      <c r="M944" s="3">
        <f>$D944*TCA!M944/100</f>
        <v>0</v>
      </c>
      <c r="N944" s="3">
        <f>$D944*TCA!N944/100</f>
        <v>0</v>
      </c>
      <c r="O944" s="3">
        <f>$D944*TCA!O944/100</f>
        <v>0</v>
      </c>
      <c r="P944" s="3" t="e">
        <f t="shared" si="14"/>
        <v>#DIV/0!</v>
      </c>
      <c r="Q944" s="3">
        <f>$D944*TCA!P944/100</f>
        <v>0</v>
      </c>
      <c r="R944" s="3">
        <f>$D944*TCA!Q944/100</f>
        <v>0</v>
      </c>
      <c r="S944" s="3">
        <f>$D944*TCA!R944/100</f>
        <v>10</v>
      </c>
      <c r="T944" s="3">
        <f>$D944*TCA!S944/100</f>
        <v>0</v>
      </c>
      <c r="U944" s="3">
        <f>$D944*TCA!T944/100</f>
        <v>0</v>
      </c>
      <c r="V944" s="3">
        <f>$D944*TCA!U944/100</f>
        <v>0</v>
      </c>
      <c r="W944" s="3">
        <f>$D944*TCA!V944/100</f>
        <v>0</v>
      </c>
      <c r="X944" s="3">
        <f>$D944*TCA!W944/100</f>
        <v>0</v>
      </c>
    </row>
    <row r="945" spans="1:24" x14ac:dyDescent="0.25">
      <c r="A945" s="3" t="s">
        <v>2035</v>
      </c>
      <c r="B945" s="3" t="s">
        <v>1864</v>
      </c>
      <c r="C945" s="3" t="s">
        <v>1865</v>
      </c>
      <c r="D945" s="3">
        <v>100</v>
      </c>
      <c r="E945" s="3">
        <f>$D945*TCA!E945/100</f>
        <v>25</v>
      </c>
      <c r="F945" s="3">
        <f>$D945*TCA!F945/100</f>
        <v>0</v>
      </c>
      <c r="G945" s="3">
        <f>$D945*TCA!G945/100</f>
        <v>0</v>
      </c>
      <c r="H945" s="3">
        <f>$D945*TCA!H945/100</f>
        <v>6.25</v>
      </c>
      <c r="I945" s="3">
        <f>$D945*TCA!I945/100</f>
        <v>0</v>
      </c>
      <c r="J945" s="3">
        <f>$D945*TCA!J945/100</f>
        <v>0</v>
      </c>
      <c r="K945" s="3">
        <f>$D945*TCA!K945/100</f>
        <v>0</v>
      </c>
      <c r="L945" s="3">
        <f>$D945*TCA!L945/100</f>
        <v>0</v>
      </c>
      <c r="M945" s="3">
        <f>$D945*TCA!M945/100</f>
        <v>0</v>
      </c>
      <c r="N945" s="3">
        <f>$D945*TCA!N945/100</f>
        <v>0</v>
      </c>
      <c r="O945" s="3">
        <f>$D945*TCA!O945/100</f>
        <v>0</v>
      </c>
      <c r="P945" s="3" t="e">
        <f t="shared" si="14"/>
        <v>#DIV/0!</v>
      </c>
      <c r="Q945" s="3">
        <f>$D945*TCA!P945/100</f>
        <v>0</v>
      </c>
      <c r="R945" s="3">
        <f>$D945*TCA!Q945/100</f>
        <v>0</v>
      </c>
      <c r="S945" s="3">
        <f>$D945*TCA!R945/100</f>
        <v>35.42</v>
      </c>
      <c r="T945" s="3">
        <f>$D945*TCA!S945/100</f>
        <v>0</v>
      </c>
      <c r="U945" s="3">
        <f>$D945*TCA!T945/100</f>
        <v>0</v>
      </c>
      <c r="V945" s="3">
        <f>$D945*TCA!U945/100</f>
        <v>0</v>
      </c>
      <c r="W945" s="3">
        <f>$D945*TCA!V945/100</f>
        <v>0</v>
      </c>
      <c r="X945" s="3">
        <f>$D945*TCA!W945/100</f>
        <v>0</v>
      </c>
    </row>
    <row r="946" spans="1:24" x14ac:dyDescent="0.25">
      <c r="A946" s="3" t="s">
        <v>2035</v>
      </c>
      <c r="B946" s="3" t="s">
        <v>1866</v>
      </c>
      <c r="C946" s="3" t="s">
        <v>1867</v>
      </c>
      <c r="D946" s="3">
        <v>100</v>
      </c>
      <c r="E946" s="3">
        <f>$D946*TCA!E946/100</f>
        <v>28.33</v>
      </c>
      <c r="F946" s="3">
        <f>$D946*TCA!F946/100</f>
        <v>0</v>
      </c>
      <c r="G946" s="3">
        <f>$D946*TCA!G946/100</f>
        <v>0</v>
      </c>
      <c r="H946" s="3">
        <f>$D946*TCA!H946/100</f>
        <v>7.08</v>
      </c>
      <c r="I946" s="3">
        <f>$D946*TCA!I946/100</f>
        <v>0</v>
      </c>
      <c r="J946" s="3">
        <f>$D946*TCA!J946/100</f>
        <v>0</v>
      </c>
      <c r="K946" s="3">
        <f>$D946*TCA!K946/100</f>
        <v>0</v>
      </c>
      <c r="L946" s="3">
        <f>$D946*TCA!L946/100</f>
        <v>0</v>
      </c>
      <c r="M946" s="3">
        <f>$D946*TCA!M946/100</f>
        <v>0</v>
      </c>
      <c r="N946" s="3">
        <f>$D946*TCA!N946/100</f>
        <v>0</v>
      </c>
      <c r="O946" s="3">
        <f>$D946*TCA!O946/100</f>
        <v>0</v>
      </c>
      <c r="P946" s="3" t="e">
        <f t="shared" si="14"/>
        <v>#DIV/0!</v>
      </c>
      <c r="Q946" s="3">
        <f>$D946*TCA!P946/100</f>
        <v>0</v>
      </c>
      <c r="R946" s="3">
        <f>$D946*TCA!Q946/100</f>
        <v>0</v>
      </c>
      <c r="S946" s="3">
        <f>$D946*TCA!R946/100</f>
        <v>70.83</v>
      </c>
      <c r="T946" s="3">
        <f>$D946*TCA!S946/100</f>
        <v>0</v>
      </c>
      <c r="U946" s="3">
        <f>$D946*TCA!T946/100</f>
        <v>0</v>
      </c>
      <c r="V946" s="3">
        <f>$D946*TCA!U946/100</f>
        <v>0</v>
      </c>
      <c r="W946" s="3">
        <f>$D946*TCA!V946/100</f>
        <v>0</v>
      </c>
      <c r="X946" s="3">
        <f>$D946*TCA!W946/100</f>
        <v>0</v>
      </c>
    </row>
    <row r="947" spans="1:24" x14ac:dyDescent="0.25">
      <c r="A947" s="3" t="s">
        <v>2035</v>
      </c>
      <c r="B947" s="3" t="s">
        <v>1868</v>
      </c>
      <c r="C947" s="3" t="s">
        <v>1869</v>
      </c>
      <c r="D947" s="3">
        <v>100</v>
      </c>
      <c r="E947" s="3">
        <f>$D947*TCA!E947/100</f>
        <v>23.33</v>
      </c>
      <c r="F947" s="3">
        <f>$D947*TCA!F947/100</f>
        <v>0</v>
      </c>
      <c r="G947" s="3">
        <f>$D947*TCA!G947/100</f>
        <v>0</v>
      </c>
      <c r="H947" s="3">
        <f>$D947*TCA!H947/100</f>
        <v>5.83</v>
      </c>
      <c r="I947" s="3">
        <f>$D947*TCA!I947/100</f>
        <v>0</v>
      </c>
      <c r="J947" s="3">
        <f>$D947*TCA!J947/100</f>
        <v>0</v>
      </c>
      <c r="K947" s="3">
        <f>$D947*TCA!K947/100</f>
        <v>0</v>
      </c>
      <c r="L947" s="3">
        <f>$D947*TCA!L947/100</f>
        <v>0</v>
      </c>
      <c r="M947" s="3">
        <f>$D947*TCA!M947/100</f>
        <v>0</v>
      </c>
      <c r="N947" s="3">
        <f>$D947*TCA!N947/100</f>
        <v>0</v>
      </c>
      <c r="O947" s="3">
        <f>$D947*TCA!O947/100</f>
        <v>0</v>
      </c>
      <c r="P947" s="3" t="e">
        <f t="shared" si="14"/>
        <v>#DIV/0!</v>
      </c>
      <c r="Q947" s="3">
        <f>$D947*TCA!P947/100</f>
        <v>0</v>
      </c>
      <c r="R947" s="3">
        <f>$D947*TCA!Q947/100</f>
        <v>12.5</v>
      </c>
      <c r="S947" s="3">
        <f>$D947*TCA!R947/100</f>
        <v>45.83</v>
      </c>
      <c r="T947" s="3">
        <f>$D947*TCA!S947/100</f>
        <v>0</v>
      </c>
      <c r="U947" s="3">
        <f>$D947*TCA!T947/100</f>
        <v>0</v>
      </c>
      <c r="V947" s="3">
        <f>$D947*TCA!U947/100</f>
        <v>0</v>
      </c>
      <c r="W947" s="3">
        <f>$D947*TCA!V947/100</f>
        <v>0</v>
      </c>
      <c r="X947" s="3">
        <f>$D947*TCA!W947/100</f>
        <v>0</v>
      </c>
    </row>
    <row r="948" spans="1:24" x14ac:dyDescent="0.25">
      <c r="A948" s="3" t="s">
        <v>2035</v>
      </c>
      <c r="B948" s="3" t="s">
        <v>1870</v>
      </c>
      <c r="C948" s="3" t="s">
        <v>1871</v>
      </c>
      <c r="D948" s="3">
        <v>100</v>
      </c>
      <c r="E948" s="3">
        <f>$D948*TCA!E948/100</f>
        <v>0</v>
      </c>
      <c r="F948" s="3">
        <f>$D948*TCA!F948/100</f>
        <v>0</v>
      </c>
      <c r="G948" s="3">
        <f>$D948*TCA!G948/100</f>
        <v>0</v>
      </c>
      <c r="H948" s="3">
        <f>$D948*TCA!H948/100</f>
        <v>0</v>
      </c>
      <c r="I948" s="3">
        <f>$D948*TCA!I948/100</f>
        <v>0</v>
      </c>
      <c r="J948" s="3">
        <f>$D948*TCA!J948/100</f>
        <v>0</v>
      </c>
      <c r="K948" s="3">
        <f>$D948*TCA!K948/100</f>
        <v>0</v>
      </c>
      <c r="L948" s="3">
        <f>$D948*TCA!L948/100</f>
        <v>0</v>
      </c>
      <c r="M948" s="3">
        <f>$D948*TCA!M948/100</f>
        <v>0</v>
      </c>
      <c r="N948" s="3">
        <f>$D948*TCA!N948/100</f>
        <v>0</v>
      </c>
      <c r="O948" s="3">
        <f>$D948*TCA!O948/100</f>
        <v>0</v>
      </c>
      <c r="P948" s="3" t="e">
        <f t="shared" si="14"/>
        <v>#DIV/0!</v>
      </c>
      <c r="Q948" s="3">
        <f>$D948*TCA!P948/100</f>
        <v>0</v>
      </c>
      <c r="R948" s="3">
        <f>$D948*TCA!Q948/100</f>
        <v>0</v>
      </c>
      <c r="S948" s="3">
        <f>$D948*TCA!R948/100</f>
        <v>42</v>
      </c>
      <c r="T948" s="3">
        <f>$D948*TCA!S948/100</f>
        <v>0</v>
      </c>
      <c r="U948" s="3">
        <f>$D948*TCA!T948/100</f>
        <v>0</v>
      </c>
      <c r="V948" s="3">
        <f>$D948*TCA!U948/100</f>
        <v>0</v>
      </c>
      <c r="W948" s="3">
        <f>$D948*TCA!V948/100</f>
        <v>0</v>
      </c>
      <c r="X948" s="3">
        <f>$D948*TCA!W948/100</f>
        <v>0</v>
      </c>
    </row>
    <row r="949" spans="1:24" x14ac:dyDescent="0.25">
      <c r="A949" s="3" t="s">
        <v>2035</v>
      </c>
      <c r="B949" s="3" t="s">
        <v>1872</v>
      </c>
      <c r="C949" s="3" t="s">
        <v>1873</v>
      </c>
      <c r="D949" s="3">
        <v>100</v>
      </c>
      <c r="E949" s="3">
        <f>$D949*TCA!E949/100</f>
        <v>0</v>
      </c>
      <c r="F949" s="3">
        <f>$D949*TCA!F949/100</f>
        <v>0</v>
      </c>
      <c r="G949" s="3">
        <f>$D949*TCA!G949/100</f>
        <v>0</v>
      </c>
      <c r="H949" s="3">
        <f>$D949*TCA!H949/100</f>
        <v>0</v>
      </c>
      <c r="I949" s="3">
        <f>$D949*TCA!I949/100</f>
        <v>0</v>
      </c>
      <c r="J949" s="3">
        <f>$D949*TCA!J949/100</f>
        <v>0</v>
      </c>
      <c r="K949" s="3">
        <f>$D949*TCA!K949/100</f>
        <v>0</v>
      </c>
      <c r="L949" s="3">
        <f>$D949*TCA!L949/100</f>
        <v>0</v>
      </c>
      <c r="M949" s="3">
        <f>$D949*TCA!M949/100</f>
        <v>0</v>
      </c>
      <c r="N949" s="3">
        <f>$D949*TCA!N949/100</f>
        <v>0</v>
      </c>
      <c r="O949" s="3">
        <f>$D949*TCA!O949/100</f>
        <v>0</v>
      </c>
      <c r="P949" s="3" t="e">
        <f t="shared" si="14"/>
        <v>#DIV/0!</v>
      </c>
      <c r="Q949" s="3">
        <f>$D949*TCA!P949/100</f>
        <v>0</v>
      </c>
      <c r="R949" s="3">
        <f>$D949*TCA!Q949/100</f>
        <v>12.5</v>
      </c>
      <c r="S949" s="3">
        <f>$D949*TCA!R949/100</f>
        <v>50</v>
      </c>
      <c r="T949" s="3">
        <f>$D949*TCA!S949/100</f>
        <v>0</v>
      </c>
      <c r="U949" s="3">
        <f>$D949*TCA!T949/100</f>
        <v>0</v>
      </c>
      <c r="V949" s="3">
        <f>$D949*TCA!U949/100</f>
        <v>0</v>
      </c>
      <c r="W949" s="3">
        <f>$D949*TCA!V949/100</f>
        <v>0</v>
      </c>
      <c r="X949" s="3">
        <f>$D949*TCA!W949/100</f>
        <v>0</v>
      </c>
    </row>
    <row r="950" spans="1:24" x14ac:dyDescent="0.25">
      <c r="A950" s="3" t="s">
        <v>2035</v>
      </c>
      <c r="B950" s="3" t="s">
        <v>1874</v>
      </c>
      <c r="C950" s="3" t="s">
        <v>1875</v>
      </c>
      <c r="D950" s="3">
        <v>100</v>
      </c>
      <c r="E950" s="3">
        <f>$D950*TCA!E950/100</f>
        <v>23.33</v>
      </c>
      <c r="F950" s="3">
        <f>$D950*TCA!F950/100</f>
        <v>0</v>
      </c>
      <c r="G950" s="3">
        <f>$D950*TCA!G950/100</f>
        <v>0</v>
      </c>
      <c r="H950" s="3">
        <f>$D950*TCA!H950/100</f>
        <v>5.83</v>
      </c>
      <c r="I950" s="3">
        <f>$D950*TCA!I950/100</f>
        <v>0</v>
      </c>
      <c r="J950" s="3">
        <f>$D950*TCA!J950/100</f>
        <v>0</v>
      </c>
      <c r="K950" s="3">
        <f>$D950*TCA!K950/100</f>
        <v>0</v>
      </c>
      <c r="L950" s="3">
        <f>$D950*TCA!L950/100</f>
        <v>0</v>
      </c>
      <c r="M950" s="3">
        <f>$D950*TCA!M950/100</f>
        <v>0</v>
      </c>
      <c r="N950" s="3">
        <f>$D950*TCA!N950/100</f>
        <v>0</v>
      </c>
      <c r="O950" s="3">
        <f>$D950*TCA!O950/100</f>
        <v>0</v>
      </c>
      <c r="P950" s="3" t="e">
        <f t="shared" si="14"/>
        <v>#DIV/0!</v>
      </c>
      <c r="Q950" s="3">
        <f>$D950*TCA!P950/100</f>
        <v>0</v>
      </c>
      <c r="R950" s="3">
        <f>$D950*TCA!Q950/100</f>
        <v>12.5</v>
      </c>
      <c r="S950" s="3">
        <f>$D950*TCA!R950/100</f>
        <v>45.83</v>
      </c>
      <c r="T950" s="3">
        <f>$D950*TCA!S950/100</f>
        <v>0</v>
      </c>
      <c r="U950" s="3">
        <f>$D950*TCA!T950/100</f>
        <v>0</v>
      </c>
      <c r="V950" s="3">
        <f>$D950*TCA!U950/100</f>
        <v>0</v>
      </c>
      <c r="W950" s="3">
        <f>$D950*TCA!V950/100</f>
        <v>0</v>
      </c>
      <c r="X950" s="3">
        <f>$D950*TCA!W950/100</f>
        <v>0</v>
      </c>
    </row>
    <row r="951" spans="1:24" x14ac:dyDescent="0.25">
      <c r="A951" s="3" t="s">
        <v>2035</v>
      </c>
      <c r="B951" s="3" t="s">
        <v>1876</v>
      </c>
      <c r="C951" s="3" t="s">
        <v>1877</v>
      </c>
      <c r="D951" s="3">
        <v>100</v>
      </c>
      <c r="E951" s="3">
        <f>$D951*TCA!E951/100</f>
        <v>84.4</v>
      </c>
      <c r="F951" s="3">
        <f>$D951*TCA!F951/100</f>
        <v>2.4</v>
      </c>
      <c r="G951" s="3">
        <f>$D951*TCA!G951/100</f>
        <v>2.8</v>
      </c>
      <c r="H951" s="3">
        <f>$D951*TCA!H951/100</f>
        <v>12.4</v>
      </c>
      <c r="I951" s="3">
        <f>$D951*TCA!I951/100</f>
        <v>0</v>
      </c>
      <c r="J951" s="3">
        <f>$D951*TCA!J951/100</f>
        <v>1.6</v>
      </c>
      <c r="K951" s="3">
        <f>$D951*TCA!K951/100</f>
        <v>1</v>
      </c>
      <c r="L951" s="3">
        <f>$D951*TCA!L951/100</f>
        <v>0.2</v>
      </c>
      <c r="M951" s="3">
        <f>$D951*TCA!M951/100</f>
        <v>8</v>
      </c>
      <c r="N951" s="3">
        <f>$D951*TCA!N951/100</f>
        <v>0</v>
      </c>
      <c r="O951" s="3">
        <f>$D951*TCA!O951/100</f>
        <v>0</v>
      </c>
      <c r="P951" s="3">
        <f t="shared" si="14"/>
        <v>0</v>
      </c>
      <c r="Q951" s="3">
        <f>$D951*TCA!P951/100</f>
        <v>0</v>
      </c>
      <c r="R951" s="3">
        <f>$D951*TCA!Q951/100</f>
        <v>0</v>
      </c>
      <c r="S951" s="3">
        <f>$D951*TCA!R951/100</f>
        <v>40</v>
      </c>
      <c r="T951" s="3">
        <f>$D951*TCA!S951/100</f>
        <v>0</v>
      </c>
      <c r="U951" s="3">
        <f>$D951*TCA!T951/100</f>
        <v>0</v>
      </c>
      <c r="V951" s="3">
        <f>$D951*TCA!U951/100</f>
        <v>0</v>
      </c>
      <c r="W951" s="3">
        <f>$D951*TCA!V951/100</f>
        <v>0</v>
      </c>
      <c r="X951" s="3">
        <f>$D951*TCA!W951/100</f>
        <v>0</v>
      </c>
    </row>
    <row r="952" spans="1:24" x14ac:dyDescent="0.25">
      <c r="A952" s="3" t="s">
        <v>2035</v>
      </c>
      <c r="B952" s="3" t="s">
        <v>1878</v>
      </c>
      <c r="C952" s="3" t="s">
        <v>1879</v>
      </c>
      <c r="D952" s="3">
        <v>100</v>
      </c>
      <c r="E952" s="3">
        <f>$D952*TCA!E952/100</f>
        <v>30.4</v>
      </c>
      <c r="F952" s="3">
        <f>$D952*TCA!F952/100</f>
        <v>0.4</v>
      </c>
      <c r="G952" s="3">
        <f>$D952*TCA!G952/100</f>
        <v>0</v>
      </c>
      <c r="H952" s="3">
        <f>$D952*TCA!H952/100</f>
        <v>7.2</v>
      </c>
      <c r="I952" s="3">
        <f>$D952*TCA!I952/100</f>
        <v>0.8</v>
      </c>
      <c r="J952" s="3">
        <f>$D952*TCA!J952/100</f>
        <v>0</v>
      </c>
      <c r="K952" s="3">
        <f>$D952*TCA!K952/100</f>
        <v>0</v>
      </c>
      <c r="L952" s="3">
        <f>$D952*TCA!L952/100</f>
        <v>0</v>
      </c>
      <c r="M952" s="3">
        <f>$D952*TCA!M952/100</f>
        <v>0</v>
      </c>
      <c r="N952" s="3">
        <f>$D952*TCA!N952/100</f>
        <v>0</v>
      </c>
      <c r="O952" s="3">
        <f>$D952*TCA!O952/100</f>
        <v>0</v>
      </c>
      <c r="P952" s="3">
        <f t="shared" si="14"/>
        <v>0</v>
      </c>
      <c r="Q952" s="3">
        <f>$D952*TCA!P952/100</f>
        <v>0</v>
      </c>
      <c r="R952" s="3">
        <f>$D952*TCA!Q952/100</f>
        <v>0</v>
      </c>
      <c r="S952" s="3">
        <f>$D952*TCA!R952/100</f>
        <v>6.4</v>
      </c>
      <c r="T952" s="3">
        <f>$D952*TCA!S952/100</f>
        <v>0</v>
      </c>
      <c r="U952" s="3">
        <f>$D952*TCA!T952/100</f>
        <v>0</v>
      </c>
      <c r="V952" s="3">
        <f>$D952*TCA!U952/100</f>
        <v>0</v>
      </c>
      <c r="W952" s="3">
        <f>$D952*TCA!V952/100</f>
        <v>0</v>
      </c>
      <c r="X952" s="3">
        <f>$D952*TCA!W952/100</f>
        <v>0</v>
      </c>
    </row>
    <row r="953" spans="1:24" x14ac:dyDescent="0.25">
      <c r="A953" s="3" t="s">
        <v>2035</v>
      </c>
      <c r="B953" s="3" t="s">
        <v>1880</v>
      </c>
      <c r="C953" s="3" t="s">
        <v>1881</v>
      </c>
      <c r="D953" s="3">
        <v>100</v>
      </c>
      <c r="E953" s="3">
        <f>$D953*TCA!E953/100</f>
        <v>32.14</v>
      </c>
      <c r="F953" s="3">
        <f>$D953*TCA!F953/100</f>
        <v>0</v>
      </c>
      <c r="G953" s="3">
        <f>$D953*TCA!G953/100</f>
        <v>0</v>
      </c>
      <c r="H953" s="3">
        <f>$D953*TCA!H953/100</f>
        <v>8.0299999999999994</v>
      </c>
      <c r="I953" s="3">
        <f>$D953*TCA!I953/100</f>
        <v>0</v>
      </c>
      <c r="J953" s="3">
        <f>$D953*TCA!J953/100</f>
        <v>0</v>
      </c>
      <c r="K953" s="3">
        <f>$D953*TCA!K953/100</f>
        <v>0</v>
      </c>
      <c r="L953" s="3">
        <f>$D953*TCA!L953/100</f>
        <v>0</v>
      </c>
      <c r="M953" s="3">
        <f>$D953*TCA!M953/100</f>
        <v>0</v>
      </c>
      <c r="N953" s="3">
        <f>$D953*TCA!N953/100</f>
        <v>0</v>
      </c>
      <c r="O953" s="3">
        <f>$D953*TCA!O953/100</f>
        <v>0</v>
      </c>
      <c r="P953" s="3" t="e">
        <f t="shared" si="14"/>
        <v>#DIV/0!</v>
      </c>
      <c r="Q953" s="3">
        <f>$D953*TCA!P953/100</f>
        <v>0</v>
      </c>
      <c r="R953" s="3">
        <f>$D953*TCA!Q953/100</f>
        <v>0</v>
      </c>
      <c r="S953" s="3">
        <f>$D953*TCA!R953/100</f>
        <v>50.74</v>
      </c>
      <c r="T953" s="3">
        <f>$D953*TCA!S953/100</f>
        <v>0</v>
      </c>
      <c r="U953" s="3">
        <f>$D953*TCA!T953/100</f>
        <v>0</v>
      </c>
      <c r="V953" s="3">
        <f>$D953*TCA!U953/100</f>
        <v>0</v>
      </c>
      <c r="W953" s="3">
        <f>$D953*TCA!V953/100</f>
        <v>0</v>
      </c>
      <c r="X953" s="3">
        <f>$D953*TCA!W953/100</f>
        <v>0</v>
      </c>
    </row>
    <row r="954" spans="1:24" x14ac:dyDescent="0.25">
      <c r="A954" s="3" t="s">
        <v>2035</v>
      </c>
      <c r="B954" s="3" t="s">
        <v>1882</v>
      </c>
      <c r="C954" s="3" t="s">
        <v>1883</v>
      </c>
      <c r="D954" s="3">
        <v>100</v>
      </c>
      <c r="E954" s="3">
        <f>$D954*TCA!E954/100</f>
        <v>32.43</v>
      </c>
      <c r="F954" s="3">
        <f>$D954*TCA!F954/100</f>
        <v>0</v>
      </c>
      <c r="G954" s="3">
        <f>$D954*TCA!G954/100</f>
        <v>0</v>
      </c>
      <c r="H954" s="3">
        <f>$D954*TCA!H954/100</f>
        <v>8.11</v>
      </c>
      <c r="I954" s="3">
        <f>$D954*TCA!I954/100</f>
        <v>0</v>
      </c>
      <c r="J954" s="3">
        <f>$D954*TCA!J954/100</f>
        <v>0</v>
      </c>
      <c r="K954" s="3">
        <f>$D954*TCA!K954/100</f>
        <v>0</v>
      </c>
      <c r="L954" s="3">
        <f>$D954*TCA!L954/100</f>
        <v>0</v>
      </c>
      <c r="M954" s="3">
        <f>$D954*TCA!M954/100</f>
        <v>0</v>
      </c>
      <c r="N954" s="3">
        <f>$D954*TCA!N954/100</f>
        <v>0</v>
      </c>
      <c r="O954" s="3">
        <f>$D954*TCA!O954/100</f>
        <v>0</v>
      </c>
      <c r="P954" s="3" t="e">
        <f t="shared" si="14"/>
        <v>#DIV/0!</v>
      </c>
      <c r="Q954" s="3">
        <f>$D954*TCA!P954/100</f>
        <v>0</v>
      </c>
      <c r="R954" s="3">
        <f>$D954*TCA!Q954/100</f>
        <v>0</v>
      </c>
      <c r="S954" s="3">
        <f>$D954*TCA!R954/100</f>
        <v>8.11</v>
      </c>
      <c r="T954" s="3">
        <f>$D954*TCA!S954/100</f>
        <v>0</v>
      </c>
      <c r="U954" s="3">
        <f>$D954*TCA!T954/100</f>
        <v>0</v>
      </c>
      <c r="V954" s="3">
        <f>$D954*TCA!U954/100</f>
        <v>0</v>
      </c>
      <c r="W954" s="3">
        <f>$D954*TCA!V954/100</f>
        <v>0</v>
      </c>
      <c r="X954" s="3">
        <f>$D954*TCA!W954/100</f>
        <v>0</v>
      </c>
    </row>
    <row r="955" spans="1:24" x14ac:dyDescent="0.25">
      <c r="A955" s="3" t="s">
        <v>2035</v>
      </c>
      <c r="B955" s="3" t="s">
        <v>1884</v>
      </c>
      <c r="C955" s="3" t="s">
        <v>1885</v>
      </c>
      <c r="D955" s="3">
        <v>100</v>
      </c>
      <c r="E955" s="3">
        <f>$D955*TCA!E955/100</f>
        <v>17.5</v>
      </c>
      <c r="F955" s="3">
        <f>$D955*TCA!F955/100</f>
        <v>0</v>
      </c>
      <c r="G955" s="3">
        <f>$D955*TCA!G955/100</f>
        <v>0</v>
      </c>
      <c r="H955" s="3">
        <f>$D955*TCA!H955/100</f>
        <v>4.38</v>
      </c>
      <c r="I955" s="3">
        <f>$D955*TCA!I955/100</f>
        <v>1.56</v>
      </c>
      <c r="J955" s="3">
        <f>$D955*TCA!J955/100</f>
        <v>0</v>
      </c>
      <c r="K955" s="3">
        <f>$D955*TCA!K955/100</f>
        <v>0</v>
      </c>
      <c r="L955" s="3">
        <f>$D955*TCA!L955/100</f>
        <v>0</v>
      </c>
      <c r="M955" s="3">
        <f>$D955*TCA!M955/100</f>
        <v>0</v>
      </c>
      <c r="N955" s="3">
        <f>$D955*TCA!N955/100</f>
        <v>0</v>
      </c>
      <c r="O955" s="3">
        <f>$D955*TCA!O955/100</f>
        <v>0</v>
      </c>
      <c r="P955" s="3" t="e">
        <f t="shared" si="14"/>
        <v>#DIV/0!</v>
      </c>
      <c r="Q955" s="3">
        <f>$D955*TCA!P955/100</f>
        <v>0</v>
      </c>
      <c r="R955" s="3">
        <f>$D955*TCA!Q955/100</f>
        <v>0</v>
      </c>
      <c r="S955" s="3">
        <f>$D955*TCA!R955/100</f>
        <v>15.63</v>
      </c>
      <c r="T955" s="3">
        <f>$D955*TCA!S955/100</f>
        <v>0</v>
      </c>
      <c r="U955" s="3">
        <f>$D955*TCA!T955/100</f>
        <v>0</v>
      </c>
      <c r="V955" s="3">
        <f>$D955*TCA!U955/100</f>
        <v>0</v>
      </c>
      <c r="W955" s="3">
        <f>$D955*TCA!V955/100</f>
        <v>0</v>
      </c>
      <c r="X955" s="3">
        <f>$D955*TCA!W955/100</f>
        <v>0</v>
      </c>
    </row>
    <row r="956" spans="1:24" x14ac:dyDescent="0.25">
      <c r="A956" s="3" t="s">
        <v>2035</v>
      </c>
      <c r="B956" s="3" t="s">
        <v>1886</v>
      </c>
      <c r="C956" s="3" t="s">
        <v>1887</v>
      </c>
      <c r="D956" s="3">
        <v>100</v>
      </c>
      <c r="E956" s="3">
        <f>$D956*TCA!E956/100</f>
        <v>8</v>
      </c>
      <c r="F956" s="3">
        <f>$D956*TCA!F956/100</f>
        <v>0</v>
      </c>
      <c r="G956" s="3">
        <f>$D956*TCA!G956/100</f>
        <v>0</v>
      </c>
      <c r="H956" s="3">
        <f>$D956*TCA!H956/100</f>
        <v>2</v>
      </c>
      <c r="I956" s="3">
        <f>$D956*TCA!I956/100</f>
        <v>0</v>
      </c>
      <c r="J956" s="3">
        <f>$D956*TCA!J956/100</f>
        <v>0</v>
      </c>
      <c r="K956" s="3">
        <f>$D956*TCA!K956/100</f>
        <v>0</v>
      </c>
      <c r="L956" s="3">
        <f>$D956*TCA!L956/100</f>
        <v>0</v>
      </c>
      <c r="M956" s="3">
        <f>$D956*TCA!M956/100</f>
        <v>0</v>
      </c>
      <c r="N956" s="3">
        <f>$D956*TCA!N956/100</f>
        <v>0</v>
      </c>
      <c r="O956" s="3">
        <f>$D956*TCA!O956/100</f>
        <v>0</v>
      </c>
      <c r="P956" s="3" t="e">
        <f t="shared" si="14"/>
        <v>#DIV/0!</v>
      </c>
      <c r="Q956" s="3">
        <f>$D956*TCA!P956/100</f>
        <v>0</v>
      </c>
      <c r="R956" s="3">
        <f>$D956*TCA!Q956/100</f>
        <v>0</v>
      </c>
      <c r="S956" s="3">
        <f>$D956*TCA!R956/100</f>
        <v>15</v>
      </c>
      <c r="T956" s="3">
        <f>$D956*TCA!S956/100</f>
        <v>0</v>
      </c>
      <c r="U956" s="3">
        <f>$D956*TCA!T956/100</f>
        <v>0</v>
      </c>
      <c r="V956" s="3">
        <f>$D956*TCA!U956/100</f>
        <v>0</v>
      </c>
      <c r="W956" s="3">
        <f>$D956*TCA!V956/100</f>
        <v>0</v>
      </c>
      <c r="X956" s="3">
        <f>$D956*TCA!W956/100</f>
        <v>0</v>
      </c>
    </row>
    <row r="957" spans="1:24" x14ac:dyDescent="0.25">
      <c r="A957" s="3" t="s">
        <v>2035</v>
      </c>
      <c r="B957" s="3" t="s">
        <v>1888</v>
      </c>
      <c r="C957" s="3" t="s">
        <v>1889</v>
      </c>
      <c r="D957" s="3">
        <v>100</v>
      </c>
      <c r="E957" s="3">
        <f>$D957*TCA!E957/100</f>
        <v>43.33</v>
      </c>
      <c r="F957" s="3">
        <f>$D957*TCA!F957/100</f>
        <v>0</v>
      </c>
      <c r="G957" s="3">
        <f>$D957*TCA!G957/100</f>
        <v>0</v>
      </c>
      <c r="H957" s="3">
        <f>$D957*TCA!H957/100</f>
        <v>10.83</v>
      </c>
      <c r="I957" s="3">
        <f>$D957*TCA!I957/100</f>
        <v>0</v>
      </c>
      <c r="J957" s="3">
        <f>$D957*TCA!J957/100</f>
        <v>0</v>
      </c>
      <c r="K957" s="3">
        <f>$D957*TCA!K957/100</f>
        <v>0</v>
      </c>
      <c r="L957" s="3">
        <f>$D957*TCA!L957/100</f>
        <v>0</v>
      </c>
      <c r="M957" s="3">
        <f>$D957*TCA!M957/100</f>
        <v>0</v>
      </c>
      <c r="N957" s="3">
        <f>$D957*TCA!N957/100</f>
        <v>0</v>
      </c>
      <c r="O957" s="3">
        <f>$D957*TCA!O957/100</f>
        <v>0</v>
      </c>
      <c r="P957" s="3" t="e">
        <f t="shared" si="14"/>
        <v>#DIV/0!</v>
      </c>
      <c r="Q957" s="3">
        <f>$D957*TCA!P957/100</f>
        <v>0</v>
      </c>
      <c r="R957" s="3">
        <f>$D957*TCA!Q957/100</f>
        <v>0</v>
      </c>
      <c r="S957" s="3">
        <f>$D957*TCA!R957/100</f>
        <v>0</v>
      </c>
      <c r="T957" s="3">
        <f>$D957*TCA!S957/100</f>
        <v>0</v>
      </c>
      <c r="U957" s="3">
        <f>$D957*TCA!T957/100</f>
        <v>0</v>
      </c>
      <c r="V957" s="3">
        <f>$D957*TCA!U957/100</f>
        <v>0</v>
      </c>
      <c r="W957" s="3">
        <f>$D957*TCA!V957/100</f>
        <v>0</v>
      </c>
      <c r="X957" s="3">
        <f>$D957*TCA!W957/100</f>
        <v>0</v>
      </c>
    </row>
    <row r="958" spans="1:24" x14ac:dyDescent="0.25">
      <c r="A958" s="3" t="s">
        <v>2035</v>
      </c>
      <c r="B958" s="3" t="s">
        <v>1890</v>
      </c>
      <c r="C958" s="3" t="s">
        <v>1891</v>
      </c>
      <c r="D958" s="3">
        <v>100</v>
      </c>
      <c r="E958" s="3">
        <f>$D958*TCA!E958/100</f>
        <v>8</v>
      </c>
      <c r="F958" s="3">
        <f>$D958*TCA!F958/100</f>
        <v>0</v>
      </c>
      <c r="G958" s="3">
        <f>$D958*TCA!G958/100</f>
        <v>0</v>
      </c>
      <c r="H958" s="3">
        <f>$D958*TCA!H958/100</f>
        <v>2</v>
      </c>
      <c r="I958" s="3">
        <f>$D958*TCA!I958/100</f>
        <v>0</v>
      </c>
      <c r="J958" s="3">
        <f>$D958*TCA!J958/100</f>
        <v>0</v>
      </c>
      <c r="K958" s="3">
        <f>$D958*TCA!K958/100</f>
        <v>0</v>
      </c>
      <c r="L958" s="3">
        <f>$D958*TCA!L958/100</f>
        <v>0</v>
      </c>
      <c r="M958" s="3">
        <f>$D958*TCA!M958/100</f>
        <v>0</v>
      </c>
      <c r="N958" s="3">
        <f>$D958*TCA!N958/100</f>
        <v>0</v>
      </c>
      <c r="O958" s="3">
        <f>$D958*TCA!O958/100</f>
        <v>0</v>
      </c>
      <c r="P958" s="3" t="e">
        <f t="shared" si="14"/>
        <v>#DIV/0!</v>
      </c>
      <c r="Q958" s="3">
        <f>$D958*TCA!P958/100</f>
        <v>0</v>
      </c>
      <c r="R958" s="3">
        <f>$D958*TCA!Q958/100</f>
        <v>0</v>
      </c>
      <c r="S958" s="3">
        <f>$D958*TCA!R958/100</f>
        <v>10</v>
      </c>
      <c r="T958" s="3">
        <f>$D958*TCA!S958/100</f>
        <v>0</v>
      </c>
      <c r="U958" s="3">
        <f>$D958*TCA!T958/100</f>
        <v>0</v>
      </c>
      <c r="V958" s="3">
        <f>$D958*TCA!U958/100</f>
        <v>0</v>
      </c>
      <c r="W958" s="3">
        <f>$D958*TCA!V958/100</f>
        <v>0</v>
      </c>
      <c r="X958" s="3">
        <f>$D958*TCA!W958/100</f>
        <v>0</v>
      </c>
    </row>
    <row r="959" spans="1:24" x14ac:dyDescent="0.25">
      <c r="A959" s="3" t="s">
        <v>2035</v>
      </c>
      <c r="B959" s="3" t="s">
        <v>1892</v>
      </c>
      <c r="C959" s="3" t="s">
        <v>1893</v>
      </c>
      <c r="D959" s="3">
        <v>100</v>
      </c>
      <c r="E959" s="3">
        <f>$D959*TCA!E959/100</f>
        <v>16</v>
      </c>
      <c r="F959" s="3">
        <f>$D959*TCA!F959/100</f>
        <v>0</v>
      </c>
      <c r="G959" s="3">
        <f>$D959*TCA!G959/100</f>
        <v>0</v>
      </c>
      <c r="H959" s="3">
        <f>$D959*TCA!H959/100</f>
        <v>4</v>
      </c>
      <c r="I959" s="3">
        <f>$D959*TCA!I959/100</f>
        <v>0</v>
      </c>
      <c r="J959" s="3">
        <f>$D959*TCA!J959/100</f>
        <v>0</v>
      </c>
      <c r="K959" s="3">
        <f>$D959*TCA!K959/100</f>
        <v>0</v>
      </c>
      <c r="L959" s="3">
        <f>$D959*TCA!L959/100</f>
        <v>0</v>
      </c>
      <c r="M959" s="3">
        <f>$D959*TCA!M959/100</f>
        <v>0</v>
      </c>
      <c r="N959" s="3">
        <f>$D959*TCA!N959/100</f>
        <v>0</v>
      </c>
      <c r="O959" s="3">
        <f>$D959*TCA!O959/100</f>
        <v>0</v>
      </c>
      <c r="P959" s="3" t="e">
        <f t="shared" si="14"/>
        <v>#DIV/0!</v>
      </c>
      <c r="Q959" s="3">
        <f>$D959*TCA!P959/100</f>
        <v>0</v>
      </c>
      <c r="R959" s="3">
        <f>$D959*TCA!Q959/100</f>
        <v>0</v>
      </c>
      <c r="S959" s="3">
        <f>$D959*TCA!R959/100</f>
        <v>0</v>
      </c>
      <c r="T959" s="3">
        <f>$D959*TCA!S959/100</f>
        <v>0</v>
      </c>
      <c r="U959" s="3">
        <f>$D959*TCA!T959/100</f>
        <v>0</v>
      </c>
      <c r="V959" s="3">
        <f>$D959*TCA!U959/100</f>
        <v>0</v>
      </c>
      <c r="W959" s="3">
        <f>$D959*TCA!V959/100</f>
        <v>0</v>
      </c>
      <c r="X959" s="3">
        <f>$D959*TCA!W959/100</f>
        <v>0</v>
      </c>
    </row>
    <row r="960" spans="1:24" x14ac:dyDescent="0.25">
      <c r="A960" s="3" t="s">
        <v>2035</v>
      </c>
      <c r="B960" s="3" t="s">
        <v>1894</v>
      </c>
      <c r="C960" s="3" t="s">
        <v>1895</v>
      </c>
      <c r="D960" s="3">
        <v>100</v>
      </c>
      <c r="E960" s="3">
        <f>$D960*TCA!E960/100</f>
        <v>49.58</v>
      </c>
      <c r="F960" s="3">
        <f>$D960*TCA!F960/100</f>
        <v>0.42</v>
      </c>
      <c r="G960" s="3">
        <f>$D960*TCA!G960/100</f>
        <v>1.25</v>
      </c>
      <c r="H960" s="3">
        <f>$D960*TCA!H960/100</f>
        <v>9.17</v>
      </c>
      <c r="I960" s="3">
        <f>$D960*TCA!I960/100</f>
        <v>0.42</v>
      </c>
      <c r="J960" s="3">
        <f>$D960*TCA!J960/100</f>
        <v>0.42</v>
      </c>
      <c r="K960" s="3">
        <f>$D960*TCA!K960/100</f>
        <v>0.42</v>
      </c>
      <c r="L960" s="3">
        <f>$D960*TCA!L960/100</f>
        <v>0.42</v>
      </c>
      <c r="M960" s="3">
        <f>$D960*TCA!M960/100</f>
        <v>0</v>
      </c>
      <c r="N960" s="3">
        <f>$D960*TCA!N960/100</f>
        <v>0</v>
      </c>
      <c r="O960" s="3">
        <f>$D960*TCA!O960/100</f>
        <v>0</v>
      </c>
      <c r="P960" s="3">
        <f t="shared" si="14"/>
        <v>0</v>
      </c>
      <c r="Q960" s="3">
        <f>$D960*TCA!P960/100</f>
        <v>0</v>
      </c>
      <c r="R960" s="3">
        <f>$D960*TCA!Q960/100</f>
        <v>0</v>
      </c>
      <c r="S960" s="3">
        <f>$D960*TCA!R960/100</f>
        <v>8.33</v>
      </c>
      <c r="T960" s="3">
        <f>$D960*TCA!S960/100</f>
        <v>0</v>
      </c>
      <c r="U960" s="3">
        <f>$D960*TCA!T960/100</f>
        <v>0</v>
      </c>
      <c r="V960" s="3">
        <f>$D960*TCA!U960/100</f>
        <v>0</v>
      </c>
      <c r="W960" s="3">
        <f>$D960*TCA!V960/100</f>
        <v>0</v>
      </c>
      <c r="X960" s="3">
        <f>$D960*TCA!W960/100</f>
        <v>0</v>
      </c>
    </row>
    <row r="961" spans="1:24" x14ac:dyDescent="0.25">
      <c r="A961" s="3" t="s">
        <v>2035</v>
      </c>
      <c r="B961" s="3" t="s">
        <v>1896</v>
      </c>
      <c r="C961" s="3" t="s">
        <v>1897</v>
      </c>
      <c r="D961" s="3">
        <v>100</v>
      </c>
      <c r="E961" s="3">
        <f>$D961*TCA!E961/100</f>
        <v>42.5</v>
      </c>
      <c r="F961" s="3">
        <f>$D961*TCA!F961/100</f>
        <v>0.5</v>
      </c>
      <c r="G961" s="3">
        <f>$D961*TCA!G961/100</f>
        <v>0.5</v>
      </c>
      <c r="H961" s="3">
        <f>$D961*TCA!H961/100</f>
        <v>9</v>
      </c>
      <c r="I961" s="3">
        <f>$D961*TCA!I961/100</f>
        <v>0</v>
      </c>
      <c r="J961" s="3">
        <f>$D961*TCA!J961/100</f>
        <v>0</v>
      </c>
      <c r="K961" s="3">
        <f>$D961*TCA!K961/100</f>
        <v>0</v>
      </c>
      <c r="L961" s="3">
        <f>$D961*TCA!L961/100</f>
        <v>0</v>
      </c>
      <c r="M961" s="3">
        <f>$D961*TCA!M961/100</f>
        <v>0</v>
      </c>
      <c r="N961" s="3">
        <f>$D961*TCA!N961/100</f>
        <v>0</v>
      </c>
      <c r="O961" s="3">
        <f>$D961*TCA!O961/100</f>
        <v>0</v>
      </c>
      <c r="P961" s="3">
        <f t="shared" si="14"/>
        <v>0</v>
      </c>
      <c r="Q961" s="3">
        <f>$D961*TCA!P961/100</f>
        <v>0</v>
      </c>
      <c r="R961" s="3">
        <f>$D961*TCA!Q961/100</f>
        <v>0</v>
      </c>
      <c r="S961" s="3">
        <f>$D961*TCA!R961/100</f>
        <v>15</v>
      </c>
      <c r="T961" s="3">
        <f>$D961*TCA!S961/100</f>
        <v>0</v>
      </c>
      <c r="U961" s="3">
        <f>$D961*TCA!T961/100</f>
        <v>0</v>
      </c>
      <c r="V961" s="3">
        <f>$D961*TCA!U961/100</f>
        <v>0</v>
      </c>
      <c r="W961" s="3">
        <f>$D961*TCA!V961/100</f>
        <v>0</v>
      </c>
      <c r="X961" s="3">
        <f>$D961*TCA!W961/100</f>
        <v>0</v>
      </c>
    </row>
    <row r="962" spans="1:24" x14ac:dyDescent="0.25">
      <c r="A962" s="3" t="s">
        <v>2035</v>
      </c>
      <c r="B962" s="3" t="s">
        <v>1898</v>
      </c>
      <c r="C962" s="3" t="s">
        <v>1899</v>
      </c>
      <c r="D962" s="3">
        <v>100</v>
      </c>
      <c r="E962" s="3">
        <f>$D962*TCA!E962/100</f>
        <v>59.6</v>
      </c>
      <c r="F962" s="3">
        <f>$D962*TCA!F962/100</f>
        <v>0.8</v>
      </c>
      <c r="G962" s="3">
        <f>$D962*TCA!G962/100</f>
        <v>0.4</v>
      </c>
      <c r="H962" s="3">
        <f>$D962*TCA!H962/100</f>
        <v>13.2</v>
      </c>
      <c r="I962" s="3">
        <f>$D962*TCA!I962/100</f>
        <v>0.4</v>
      </c>
      <c r="J962" s="3">
        <f>$D962*TCA!J962/100</f>
        <v>0.2</v>
      </c>
      <c r="K962" s="3">
        <f>$D962*TCA!K962/100</f>
        <v>0.2</v>
      </c>
      <c r="L962" s="3">
        <f>$D962*TCA!L962/100</f>
        <v>0</v>
      </c>
      <c r="M962" s="3">
        <f>$D962*TCA!M962/100</f>
        <v>0</v>
      </c>
      <c r="N962" s="3">
        <f>$D962*TCA!N962/100</f>
        <v>0</v>
      </c>
      <c r="O962" s="3">
        <f>$D962*TCA!O962/100</f>
        <v>0</v>
      </c>
      <c r="P962" s="3">
        <f t="shared" si="14"/>
        <v>0</v>
      </c>
      <c r="Q962" s="3">
        <f>$D962*TCA!P962/100</f>
        <v>0</v>
      </c>
      <c r="R962" s="3">
        <f>$D962*TCA!Q962/100</f>
        <v>0</v>
      </c>
      <c r="S962" s="3">
        <f>$D962*TCA!R962/100</f>
        <v>10</v>
      </c>
      <c r="T962" s="3">
        <f>$D962*TCA!S962/100</f>
        <v>0</v>
      </c>
      <c r="U962" s="3">
        <f>$D962*TCA!T962/100</f>
        <v>0</v>
      </c>
      <c r="V962" s="3">
        <f>$D962*TCA!U962/100</f>
        <v>0</v>
      </c>
      <c r="W962" s="3">
        <f>$D962*TCA!V962/100</f>
        <v>0</v>
      </c>
      <c r="X962" s="3">
        <f>$D962*TCA!W962/100</f>
        <v>0</v>
      </c>
    </row>
    <row r="963" spans="1:24" x14ac:dyDescent="0.25">
      <c r="A963" s="3" t="s">
        <v>2035</v>
      </c>
      <c r="B963" s="3" t="s">
        <v>1900</v>
      </c>
      <c r="C963" s="3" t="s">
        <v>1901</v>
      </c>
      <c r="D963" s="3">
        <v>100</v>
      </c>
      <c r="E963" s="3">
        <f>$D963*TCA!E963/100</f>
        <v>21.33</v>
      </c>
      <c r="F963" s="3">
        <f>$D963*TCA!F963/100</f>
        <v>1</v>
      </c>
      <c r="G963" s="3">
        <f>$D963*TCA!G963/100</f>
        <v>1.33</v>
      </c>
      <c r="H963" s="3">
        <f>$D963*TCA!H963/100</f>
        <v>1.33</v>
      </c>
      <c r="I963" s="3">
        <f>$D963*TCA!I963/100</f>
        <v>1.33</v>
      </c>
      <c r="J963" s="3">
        <f>$D963*TCA!J963/100</f>
        <v>0.33</v>
      </c>
      <c r="K963" s="3">
        <f>$D963*TCA!K963/100</f>
        <v>0</v>
      </c>
      <c r="L963" s="3">
        <f>$D963*TCA!L963/100</f>
        <v>1</v>
      </c>
      <c r="M963" s="3">
        <f>$D963*TCA!M963/100</f>
        <v>0</v>
      </c>
      <c r="N963" s="3">
        <f>$D963*TCA!N963/100</f>
        <v>0</v>
      </c>
      <c r="O963" s="3">
        <f>$D963*TCA!O963/100</f>
        <v>0</v>
      </c>
      <c r="P963" s="3">
        <f t="shared" si="14"/>
        <v>0</v>
      </c>
      <c r="Q963" s="3">
        <f>$D963*TCA!P963/100</f>
        <v>0</v>
      </c>
      <c r="R963" s="3">
        <f>$D963*TCA!Q963/100</f>
        <v>0</v>
      </c>
      <c r="S963" s="3">
        <f>$D963*TCA!R963/100</f>
        <v>0</v>
      </c>
      <c r="T963" s="3">
        <f>$D963*TCA!S963/100</f>
        <v>0</v>
      </c>
      <c r="U963" s="3">
        <f>$D963*TCA!T963/100</f>
        <v>0</v>
      </c>
      <c r="V963" s="3">
        <f>$D963*TCA!U963/100</f>
        <v>0</v>
      </c>
      <c r="W963" s="3">
        <f>$D963*TCA!V963/100</f>
        <v>0</v>
      </c>
      <c r="X963" s="3">
        <f>$D963*TCA!W963/100</f>
        <v>0</v>
      </c>
    </row>
    <row r="964" spans="1:24" x14ac:dyDescent="0.25">
      <c r="A964" s="3" t="s">
        <v>2035</v>
      </c>
      <c r="B964" s="3" t="s">
        <v>1902</v>
      </c>
      <c r="C964" s="3" t="s">
        <v>1903</v>
      </c>
      <c r="D964" s="3">
        <v>100</v>
      </c>
      <c r="E964" s="3">
        <f>$D964*TCA!E964/100</f>
        <v>21.33</v>
      </c>
      <c r="F964" s="3">
        <f>$D964*TCA!F964/100</f>
        <v>1</v>
      </c>
      <c r="G964" s="3">
        <f>$D964*TCA!G964/100</f>
        <v>1.33</v>
      </c>
      <c r="H964" s="3">
        <f>$D964*TCA!H964/100</f>
        <v>1.33</v>
      </c>
      <c r="I964" s="3">
        <f>$D964*TCA!I964/100</f>
        <v>1.33</v>
      </c>
      <c r="J964" s="3">
        <f>$D964*TCA!J964/100</f>
        <v>0.33</v>
      </c>
      <c r="K964" s="3">
        <f>$D964*TCA!K964/100</f>
        <v>0</v>
      </c>
      <c r="L964" s="3">
        <f>$D964*TCA!L964/100</f>
        <v>1</v>
      </c>
      <c r="M964" s="3">
        <f>$D964*TCA!M964/100</f>
        <v>0</v>
      </c>
      <c r="N964" s="3">
        <f>$D964*TCA!N964/100</f>
        <v>0</v>
      </c>
      <c r="O964" s="3">
        <f>$D964*TCA!O964/100</f>
        <v>0</v>
      </c>
      <c r="P964" s="3">
        <f t="shared" ref="P964:P1015" si="15">O964/F964</f>
        <v>0</v>
      </c>
      <c r="Q964" s="3">
        <f>$D964*TCA!P964/100</f>
        <v>0</v>
      </c>
      <c r="R964" s="3">
        <f>$D964*TCA!Q964/100</f>
        <v>0</v>
      </c>
      <c r="S964" s="3">
        <f>$D964*TCA!R964/100</f>
        <v>0</v>
      </c>
      <c r="T964" s="3">
        <f>$D964*TCA!S964/100</f>
        <v>0</v>
      </c>
      <c r="U964" s="3">
        <f>$D964*TCA!T964/100</f>
        <v>0</v>
      </c>
      <c r="V964" s="3">
        <f>$D964*TCA!U964/100</f>
        <v>0</v>
      </c>
      <c r="W964" s="3">
        <f>$D964*TCA!V964/100</f>
        <v>0</v>
      </c>
      <c r="X964" s="3">
        <f>$D964*TCA!W964/100</f>
        <v>0</v>
      </c>
    </row>
    <row r="965" spans="1:24" x14ac:dyDescent="0.25">
      <c r="A965" s="3" t="s">
        <v>2035</v>
      </c>
      <c r="B965" s="3" t="s">
        <v>1904</v>
      </c>
      <c r="C965" s="3" t="s">
        <v>1905</v>
      </c>
      <c r="D965" s="3">
        <v>100</v>
      </c>
      <c r="E965" s="3">
        <f>$D965*TCA!E965/100</f>
        <v>16.670000000000002</v>
      </c>
      <c r="F965" s="3">
        <f>$D965*TCA!F965/100</f>
        <v>0</v>
      </c>
      <c r="G965" s="3">
        <f>$D965*TCA!G965/100</f>
        <v>0</v>
      </c>
      <c r="H965" s="3">
        <f>$D965*TCA!H965/100</f>
        <v>4.17</v>
      </c>
      <c r="I965" s="3">
        <f>$D965*TCA!I965/100</f>
        <v>0</v>
      </c>
      <c r="J965" s="3">
        <f>$D965*TCA!J965/100</f>
        <v>0</v>
      </c>
      <c r="K965" s="3">
        <f>$D965*TCA!K965/100</f>
        <v>0</v>
      </c>
      <c r="L965" s="3">
        <f>$D965*TCA!L965/100</f>
        <v>0</v>
      </c>
      <c r="M965" s="3">
        <f>$D965*TCA!M965/100</f>
        <v>0</v>
      </c>
      <c r="N965" s="3">
        <f>$D965*TCA!N965/100</f>
        <v>0</v>
      </c>
      <c r="O965" s="3">
        <f>$D965*TCA!O965/100</f>
        <v>0</v>
      </c>
      <c r="P965" s="3" t="e">
        <f t="shared" si="15"/>
        <v>#DIV/0!</v>
      </c>
      <c r="Q965" s="3">
        <f>$D965*TCA!P965/100</f>
        <v>0</v>
      </c>
      <c r="R965" s="3">
        <f>$D965*TCA!Q965/100</f>
        <v>0</v>
      </c>
      <c r="S965" s="3">
        <f>$D965*TCA!R965/100</f>
        <v>2.08</v>
      </c>
      <c r="T965" s="3">
        <f>$D965*TCA!S965/100</f>
        <v>0</v>
      </c>
      <c r="U965" s="3">
        <f>$D965*TCA!T965/100</f>
        <v>0</v>
      </c>
      <c r="V965" s="3">
        <f>$D965*TCA!U965/100</f>
        <v>0</v>
      </c>
      <c r="W965" s="3">
        <f>$D965*TCA!V965/100</f>
        <v>0</v>
      </c>
      <c r="X965" s="3">
        <f>$D965*TCA!W965/100</f>
        <v>0</v>
      </c>
    </row>
    <row r="966" spans="1:24" x14ac:dyDescent="0.25">
      <c r="A966" s="3" t="s">
        <v>2035</v>
      </c>
      <c r="B966" s="3" t="s">
        <v>1906</v>
      </c>
      <c r="C966" s="3" t="s">
        <v>1907</v>
      </c>
      <c r="D966" s="3">
        <v>100</v>
      </c>
      <c r="E966" s="3">
        <f>$D966*TCA!E966/100</f>
        <v>73.33</v>
      </c>
      <c r="F966" s="3">
        <f>$D966*TCA!F966/100</f>
        <v>0.42</v>
      </c>
      <c r="G966" s="3">
        <f>$D966*TCA!G966/100</f>
        <v>1.67</v>
      </c>
      <c r="H966" s="3">
        <f>$D966*TCA!H966/100</f>
        <v>14.17</v>
      </c>
      <c r="I966" s="3">
        <f>$D966*TCA!I966/100</f>
        <v>0</v>
      </c>
      <c r="J966" s="3">
        <f>$D966*TCA!J966/100</f>
        <v>0</v>
      </c>
      <c r="K966" s="3">
        <f>$D966*TCA!K966/100</f>
        <v>0</v>
      </c>
      <c r="L966" s="3">
        <f>$D966*TCA!L966/100</f>
        <v>0</v>
      </c>
      <c r="M966" s="3">
        <f>$D966*TCA!M966/100</f>
        <v>0</v>
      </c>
      <c r="N966" s="3">
        <f>$D966*TCA!N966/100</f>
        <v>0</v>
      </c>
      <c r="O966" s="3">
        <f>$D966*TCA!O966/100</f>
        <v>0</v>
      </c>
      <c r="P966" s="3">
        <f t="shared" si="15"/>
        <v>0</v>
      </c>
      <c r="Q966" s="3">
        <f>$D966*TCA!P966/100</f>
        <v>0</v>
      </c>
      <c r="R966" s="3">
        <f>$D966*TCA!Q966/100</f>
        <v>0</v>
      </c>
      <c r="S966" s="3">
        <f>$D966*TCA!R966/100</f>
        <v>112.5</v>
      </c>
      <c r="T966" s="3">
        <f>$D966*TCA!S966/100</f>
        <v>0</v>
      </c>
      <c r="U966" s="3">
        <f>$D966*TCA!T966/100</f>
        <v>0</v>
      </c>
      <c r="V966" s="3">
        <f>$D966*TCA!U966/100</f>
        <v>0</v>
      </c>
      <c r="W966" s="3">
        <f>$D966*TCA!V966/100</f>
        <v>0</v>
      </c>
      <c r="X966" s="3">
        <f>$D966*TCA!W966/100</f>
        <v>0</v>
      </c>
    </row>
    <row r="967" spans="1:24" x14ac:dyDescent="0.25">
      <c r="A967" s="3" t="s">
        <v>2035</v>
      </c>
      <c r="B967" s="3" t="s">
        <v>1908</v>
      </c>
      <c r="C967" s="3" t="s">
        <v>1909</v>
      </c>
      <c r="D967" s="3">
        <v>100</v>
      </c>
      <c r="E967" s="3">
        <f>$D967*TCA!E967/100</f>
        <v>34</v>
      </c>
      <c r="F967" s="3">
        <f>$D967*TCA!F967/100</f>
        <v>0.5</v>
      </c>
      <c r="G967" s="3">
        <f>$D967*TCA!G967/100</f>
        <v>2</v>
      </c>
      <c r="H967" s="3">
        <f>$D967*TCA!H967/100</f>
        <v>3.5</v>
      </c>
      <c r="I967" s="3">
        <f>$D967*TCA!I967/100</f>
        <v>0</v>
      </c>
      <c r="J967" s="3">
        <f>$D967*TCA!J967/100</f>
        <v>2</v>
      </c>
      <c r="K967" s="3">
        <f>$D967*TCA!K967/100</f>
        <v>0</v>
      </c>
      <c r="L967" s="3">
        <f>$D967*TCA!L967/100</f>
        <v>0</v>
      </c>
      <c r="M967" s="3">
        <f>$D967*TCA!M967/100</f>
        <v>0</v>
      </c>
      <c r="N967" s="3">
        <f>$D967*TCA!N967/100</f>
        <v>122</v>
      </c>
      <c r="O967" s="3">
        <f>$D967*TCA!O967/100</f>
        <v>0</v>
      </c>
      <c r="P967" s="3">
        <f t="shared" si="15"/>
        <v>0</v>
      </c>
      <c r="Q967" s="3">
        <f>$D967*TCA!P967/100</f>
        <v>0</v>
      </c>
      <c r="R967" s="3">
        <f>$D967*TCA!Q967/100</f>
        <v>0</v>
      </c>
      <c r="S967" s="3">
        <f>$D967*TCA!R967/100</f>
        <v>45</v>
      </c>
      <c r="T967" s="3">
        <f>$D967*TCA!S967/100</f>
        <v>0</v>
      </c>
      <c r="U967" s="3">
        <f>$D967*TCA!T967/100</f>
        <v>0</v>
      </c>
      <c r="V967" s="3">
        <f>$D967*TCA!U967/100</f>
        <v>0</v>
      </c>
      <c r="W967" s="3">
        <f>$D967*TCA!V967/100</f>
        <v>0</v>
      </c>
      <c r="X967" s="3">
        <f>$D967*TCA!W967/100</f>
        <v>0</v>
      </c>
    </row>
    <row r="968" spans="1:24" x14ac:dyDescent="0.25">
      <c r="A968" s="3" t="s">
        <v>2035</v>
      </c>
      <c r="B968" s="3" t="s">
        <v>1910</v>
      </c>
      <c r="C968" s="3" t="s">
        <v>1911</v>
      </c>
      <c r="D968" s="3">
        <v>100</v>
      </c>
      <c r="E968" s="3">
        <f>$D968*TCA!E968/100</f>
        <v>3.33</v>
      </c>
      <c r="F968" s="3">
        <f>$D968*TCA!F968/100</f>
        <v>0</v>
      </c>
      <c r="G968" s="3">
        <f>$D968*TCA!G968/100</f>
        <v>0</v>
      </c>
      <c r="H968" s="3">
        <f>$D968*TCA!H968/100</f>
        <v>0.83</v>
      </c>
      <c r="I968" s="3">
        <f>$D968*TCA!I968/100</f>
        <v>0</v>
      </c>
      <c r="J968" s="3">
        <f>$D968*TCA!J968/100</f>
        <v>0</v>
      </c>
      <c r="K968" s="3">
        <f>$D968*TCA!K968/100</f>
        <v>0</v>
      </c>
      <c r="L968" s="3">
        <f>$D968*TCA!L968/100</f>
        <v>0</v>
      </c>
      <c r="M968" s="3">
        <f>$D968*TCA!M968/100</f>
        <v>0</v>
      </c>
      <c r="N968" s="3">
        <f>$D968*TCA!N968/100</f>
        <v>0</v>
      </c>
      <c r="O968" s="3">
        <f>$D968*TCA!O968/100</f>
        <v>0</v>
      </c>
      <c r="P968" s="3" t="e">
        <f t="shared" si="15"/>
        <v>#DIV/0!</v>
      </c>
      <c r="Q968" s="3">
        <f>$D968*TCA!P968/100</f>
        <v>0</v>
      </c>
      <c r="R968" s="3">
        <f>$D968*TCA!Q968/100</f>
        <v>0</v>
      </c>
      <c r="S968" s="3">
        <f>$D968*TCA!R968/100</f>
        <v>8.33</v>
      </c>
      <c r="T968" s="3">
        <f>$D968*TCA!S968/100</f>
        <v>0</v>
      </c>
      <c r="U968" s="3">
        <f>$D968*TCA!T968/100</f>
        <v>0</v>
      </c>
      <c r="V968" s="3">
        <f>$D968*TCA!U968/100</f>
        <v>0</v>
      </c>
      <c r="W968" s="3">
        <f>$D968*TCA!V968/100</f>
        <v>0</v>
      </c>
      <c r="X968" s="3">
        <f>$D968*TCA!W968/100</f>
        <v>0</v>
      </c>
    </row>
    <row r="969" spans="1:24" x14ac:dyDescent="0.25">
      <c r="A969" s="3" t="s">
        <v>2035</v>
      </c>
      <c r="B969" s="3" t="s">
        <v>1912</v>
      </c>
      <c r="C969" s="3" t="s">
        <v>1913</v>
      </c>
      <c r="D969" s="3">
        <v>100</v>
      </c>
      <c r="E969" s="3">
        <f>$D969*TCA!E969/100</f>
        <v>36</v>
      </c>
      <c r="F969" s="3">
        <f>$D969*TCA!F969/100</f>
        <v>0</v>
      </c>
      <c r="G969" s="3">
        <f>$D969*TCA!G969/100</f>
        <v>0</v>
      </c>
      <c r="H969" s="3">
        <f>$D969*TCA!H969/100</f>
        <v>9</v>
      </c>
      <c r="I969" s="3">
        <f>$D969*TCA!I969/100</f>
        <v>0</v>
      </c>
      <c r="J969" s="3">
        <f>$D969*TCA!J969/100</f>
        <v>0</v>
      </c>
      <c r="K969" s="3">
        <f>$D969*TCA!K969/100</f>
        <v>0</v>
      </c>
      <c r="L969" s="3">
        <f>$D969*TCA!L969/100</f>
        <v>0</v>
      </c>
      <c r="M969" s="3">
        <f>$D969*TCA!M969/100</f>
        <v>0</v>
      </c>
      <c r="N969" s="3">
        <f>$D969*TCA!N969/100</f>
        <v>0</v>
      </c>
      <c r="O969" s="3">
        <f>$D969*TCA!O969/100</f>
        <v>0</v>
      </c>
      <c r="P969" s="3" t="e">
        <f t="shared" si="15"/>
        <v>#DIV/0!</v>
      </c>
      <c r="Q969" s="3">
        <f>$D969*TCA!P969/100</f>
        <v>0</v>
      </c>
      <c r="R969" s="3">
        <f>$D969*TCA!Q969/100</f>
        <v>0</v>
      </c>
      <c r="S969" s="3">
        <f>$D969*TCA!R969/100</f>
        <v>0</v>
      </c>
      <c r="T969" s="3">
        <f>$D969*TCA!S969/100</f>
        <v>0</v>
      </c>
      <c r="U969" s="3">
        <f>$D969*TCA!T969/100</f>
        <v>0</v>
      </c>
      <c r="V969" s="3">
        <f>$D969*TCA!U969/100</f>
        <v>0</v>
      </c>
      <c r="W969" s="3">
        <f>$D969*TCA!V969/100</f>
        <v>0</v>
      </c>
      <c r="X969" s="3">
        <f>$D969*TCA!W969/100</f>
        <v>0</v>
      </c>
    </row>
    <row r="970" spans="1:24" x14ac:dyDescent="0.25">
      <c r="A970" s="3" t="s">
        <v>2035</v>
      </c>
      <c r="B970" s="3" t="s">
        <v>1914</v>
      </c>
      <c r="C970" s="3" t="s">
        <v>1915</v>
      </c>
      <c r="D970" s="3">
        <v>100</v>
      </c>
      <c r="E970" s="3">
        <f>$D970*TCA!E970/100</f>
        <v>12</v>
      </c>
      <c r="F970" s="3">
        <f>$D970*TCA!F970/100</f>
        <v>0</v>
      </c>
      <c r="G970" s="3">
        <f>$D970*TCA!G970/100</f>
        <v>0</v>
      </c>
      <c r="H970" s="3">
        <f>$D970*TCA!H970/100</f>
        <v>3</v>
      </c>
      <c r="I970" s="3">
        <f>$D970*TCA!I970/100</f>
        <v>0</v>
      </c>
      <c r="J970" s="3">
        <f>$D970*TCA!J970/100</f>
        <v>0</v>
      </c>
      <c r="K970" s="3">
        <f>$D970*TCA!K970/100</f>
        <v>0</v>
      </c>
      <c r="L970" s="3">
        <f>$D970*TCA!L970/100</f>
        <v>0</v>
      </c>
      <c r="M970" s="3">
        <f>$D970*TCA!M970/100</f>
        <v>0</v>
      </c>
      <c r="N970" s="3">
        <f>$D970*TCA!N970/100</f>
        <v>0</v>
      </c>
      <c r="O970" s="3">
        <f>$D970*TCA!O970/100</f>
        <v>0</v>
      </c>
      <c r="P970" s="3" t="e">
        <f t="shared" si="15"/>
        <v>#DIV/0!</v>
      </c>
      <c r="Q970" s="3">
        <f>$D970*TCA!P970/100</f>
        <v>0</v>
      </c>
      <c r="R970" s="3">
        <f>$D970*TCA!Q970/100</f>
        <v>0</v>
      </c>
      <c r="S970" s="3">
        <f>$D970*TCA!R970/100</f>
        <v>0.33</v>
      </c>
      <c r="T970" s="3">
        <f>$D970*TCA!S970/100</f>
        <v>0</v>
      </c>
      <c r="U970" s="3">
        <f>$D970*TCA!T970/100</f>
        <v>0</v>
      </c>
      <c r="V970" s="3">
        <f>$D970*TCA!U970/100</f>
        <v>0</v>
      </c>
      <c r="W970" s="3">
        <f>$D970*TCA!V970/100</f>
        <v>0</v>
      </c>
      <c r="X970" s="3">
        <f>$D970*TCA!W970/100</f>
        <v>0</v>
      </c>
    </row>
    <row r="971" spans="1:24" x14ac:dyDescent="0.25">
      <c r="A971" s="3" t="s">
        <v>2035</v>
      </c>
      <c r="B971" s="3" t="s">
        <v>1916</v>
      </c>
      <c r="C971" s="3" t="s">
        <v>1917</v>
      </c>
      <c r="D971" s="3">
        <v>100</v>
      </c>
      <c r="E971" s="3">
        <f>$D971*TCA!E971/100</f>
        <v>31.67</v>
      </c>
      <c r="F971" s="3">
        <f>$D971*TCA!F971/100</f>
        <v>0</v>
      </c>
      <c r="G971" s="3">
        <f>$D971*TCA!G971/100</f>
        <v>0</v>
      </c>
      <c r="H971" s="3">
        <f>$D971*TCA!H971/100</f>
        <v>7.92</v>
      </c>
      <c r="I971" s="3">
        <f>$D971*TCA!I971/100</f>
        <v>0</v>
      </c>
      <c r="J971" s="3">
        <f>$D971*TCA!J971/100</f>
        <v>0</v>
      </c>
      <c r="K971" s="3">
        <f>$D971*TCA!K971/100</f>
        <v>0</v>
      </c>
      <c r="L971" s="3">
        <f>$D971*TCA!L971/100</f>
        <v>0</v>
      </c>
      <c r="M971" s="3">
        <f>$D971*TCA!M971/100</f>
        <v>0</v>
      </c>
      <c r="N971" s="3">
        <f>$D971*TCA!N971/100</f>
        <v>0</v>
      </c>
      <c r="O971" s="3">
        <f>$D971*TCA!O971/100</f>
        <v>0</v>
      </c>
      <c r="P971" s="3" t="e">
        <f t="shared" si="15"/>
        <v>#DIV/0!</v>
      </c>
      <c r="Q971" s="3">
        <f>$D971*TCA!P971/100</f>
        <v>0</v>
      </c>
      <c r="R971" s="3">
        <f>$D971*TCA!Q971/100</f>
        <v>0</v>
      </c>
      <c r="S971" s="3">
        <f>$D971*TCA!R971/100</f>
        <v>6.25</v>
      </c>
      <c r="T971" s="3">
        <f>$D971*TCA!S971/100</f>
        <v>0</v>
      </c>
      <c r="U971" s="3">
        <f>$D971*TCA!T971/100</f>
        <v>0</v>
      </c>
      <c r="V971" s="3">
        <f>$D971*TCA!U971/100</f>
        <v>0</v>
      </c>
      <c r="W971" s="3">
        <f>$D971*TCA!V971/100</f>
        <v>0</v>
      </c>
      <c r="X971" s="3">
        <f>$D971*TCA!W971/100</f>
        <v>0</v>
      </c>
    </row>
    <row r="972" spans="1:24" x14ac:dyDescent="0.25">
      <c r="A972" s="3" t="s">
        <v>2035</v>
      </c>
      <c r="B972" s="3" t="s">
        <v>1918</v>
      </c>
      <c r="C972" s="3" t="s">
        <v>1919</v>
      </c>
      <c r="D972" s="3">
        <v>100</v>
      </c>
      <c r="E972" s="3">
        <f>$D972*TCA!E972/100</f>
        <v>32</v>
      </c>
      <c r="F972" s="3">
        <f>$D972*TCA!F972/100</f>
        <v>0</v>
      </c>
      <c r="G972" s="3">
        <f>$D972*TCA!G972/100</f>
        <v>0</v>
      </c>
      <c r="H972" s="3">
        <f>$D972*TCA!H972/100</f>
        <v>8</v>
      </c>
      <c r="I972" s="3">
        <f>$D972*TCA!I972/100</f>
        <v>0</v>
      </c>
      <c r="J972" s="3">
        <f>$D972*TCA!J972/100</f>
        <v>0</v>
      </c>
      <c r="K972" s="3">
        <f>$D972*TCA!K972/100</f>
        <v>0</v>
      </c>
      <c r="L972" s="3">
        <f>$D972*TCA!L972/100</f>
        <v>0</v>
      </c>
      <c r="M972" s="3">
        <f>$D972*TCA!M972/100</f>
        <v>0</v>
      </c>
      <c r="N972" s="3">
        <f>$D972*TCA!N972/100</f>
        <v>0</v>
      </c>
      <c r="O972" s="3">
        <f>$D972*TCA!O972/100</f>
        <v>0</v>
      </c>
      <c r="P972" s="3" t="e">
        <f t="shared" si="15"/>
        <v>#DIV/0!</v>
      </c>
      <c r="Q972" s="3">
        <f>$D972*TCA!P972/100</f>
        <v>0</v>
      </c>
      <c r="R972" s="3">
        <f>$D972*TCA!Q972/100</f>
        <v>0</v>
      </c>
      <c r="S972" s="3">
        <f>$D972*TCA!R972/100</f>
        <v>7.5</v>
      </c>
      <c r="T972" s="3">
        <f>$D972*TCA!S972/100</f>
        <v>0</v>
      </c>
      <c r="U972" s="3">
        <f>$D972*TCA!T972/100</f>
        <v>0</v>
      </c>
      <c r="V972" s="3">
        <f>$D972*TCA!U972/100</f>
        <v>0</v>
      </c>
      <c r="W972" s="3">
        <f>$D972*TCA!V972/100</f>
        <v>0</v>
      </c>
      <c r="X972" s="3">
        <f>$D972*TCA!W972/100</f>
        <v>0</v>
      </c>
    </row>
    <row r="973" spans="1:24" x14ac:dyDescent="0.25">
      <c r="A973" s="3" t="s">
        <v>2035</v>
      </c>
      <c r="B973" s="3" t="s">
        <v>1920</v>
      </c>
      <c r="C973" s="3" t="s">
        <v>1921</v>
      </c>
      <c r="D973" s="3">
        <v>100</v>
      </c>
      <c r="E973" s="3">
        <f>$D973*TCA!E973/100</f>
        <v>32</v>
      </c>
      <c r="F973" s="3">
        <f>$D973*TCA!F973/100</f>
        <v>0</v>
      </c>
      <c r="G973" s="3">
        <f>$D973*TCA!G973/100</f>
        <v>0</v>
      </c>
      <c r="H973" s="3">
        <f>$D973*TCA!H973/100</f>
        <v>8</v>
      </c>
      <c r="I973" s="3">
        <f>$D973*TCA!I973/100</f>
        <v>0</v>
      </c>
      <c r="J973" s="3">
        <f>$D973*TCA!J973/100</f>
        <v>0</v>
      </c>
      <c r="K973" s="3">
        <f>$D973*TCA!K973/100</f>
        <v>0</v>
      </c>
      <c r="L973" s="3">
        <f>$D973*TCA!L973/100</f>
        <v>0</v>
      </c>
      <c r="M973" s="3">
        <f>$D973*TCA!M973/100</f>
        <v>0</v>
      </c>
      <c r="N973" s="3">
        <f>$D973*TCA!N973/100</f>
        <v>0</v>
      </c>
      <c r="O973" s="3">
        <f>$D973*TCA!O973/100</f>
        <v>0</v>
      </c>
      <c r="P973" s="3" t="e">
        <f t="shared" si="15"/>
        <v>#DIV/0!</v>
      </c>
      <c r="Q973" s="3">
        <f>$D973*TCA!P973/100</f>
        <v>0</v>
      </c>
      <c r="R973" s="3">
        <f>$D973*TCA!Q973/100</f>
        <v>0</v>
      </c>
      <c r="S973" s="3">
        <f>$D973*TCA!R973/100</f>
        <v>7.5</v>
      </c>
      <c r="T973" s="3">
        <f>$D973*TCA!S973/100</f>
        <v>0</v>
      </c>
      <c r="U973" s="3">
        <f>$D973*TCA!T973/100</f>
        <v>0</v>
      </c>
      <c r="V973" s="3">
        <f>$D973*TCA!U973/100</f>
        <v>0</v>
      </c>
      <c r="W973" s="3">
        <f>$D973*TCA!V973/100</f>
        <v>0</v>
      </c>
      <c r="X973" s="3">
        <f>$D973*TCA!W973/100</f>
        <v>0</v>
      </c>
    </row>
    <row r="974" spans="1:24" x14ac:dyDescent="0.25">
      <c r="A974" s="3" t="s">
        <v>2035</v>
      </c>
      <c r="B974" s="3" t="s">
        <v>1922</v>
      </c>
      <c r="C974" s="3" t="s">
        <v>1923</v>
      </c>
      <c r="D974" s="3">
        <v>100</v>
      </c>
      <c r="E974" s="3">
        <f>$D974*TCA!E974/100</f>
        <v>1.67</v>
      </c>
      <c r="F974" s="3">
        <f>$D974*TCA!F974/100</f>
        <v>0</v>
      </c>
      <c r="G974" s="3">
        <f>$D974*TCA!G974/100</f>
        <v>0</v>
      </c>
      <c r="H974" s="3">
        <f>$D974*TCA!H974/100</f>
        <v>0.42</v>
      </c>
      <c r="I974" s="3">
        <f>$D974*TCA!I974/100</f>
        <v>0</v>
      </c>
      <c r="J974" s="3">
        <f>$D974*TCA!J974/100</f>
        <v>0</v>
      </c>
      <c r="K974" s="3">
        <f>$D974*TCA!K974/100</f>
        <v>0</v>
      </c>
      <c r="L974" s="3">
        <f>$D974*TCA!L974/100</f>
        <v>0</v>
      </c>
      <c r="M974" s="3">
        <f>$D974*TCA!M974/100</f>
        <v>0</v>
      </c>
      <c r="N974" s="3">
        <f>$D974*TCA!N974/100</f>
        <v>0</v>
      </c>
      <c r="O974" s="3">
        <f>$D974*TCA!O974/100</f>
        <v>0</v>
      </c>
      <c r="P974" s="3" t="e">
        <f t="shared" si="15"/>
        <v>#DIV/0!</v>
      </c>
      <c r="Q974" s="3">
        <f>$D974*TCA!P974/100</f>
        <v>0</v>
      </c>
      <c r="R974" s="3">
        <f>$D974*TCA!Q974/100</f>
        <v>0</v>
      </c>
      <c r="S974" s="3">
        <f>$D974*TCA!R974/100</f>
        <v>8.33</v>
      </c>
      <c r="T974" s="3">
        <f>$D974*TCA!S974/100</f>
        <v>0</v>
      </c>
      <c r="U974" s="3">
        <f>$D974*TCA!T974/100</f>
        <v>0</v>
      </c>
      <c r="V974" s="3">
        <f>$D974*TCA!U974/100</f>
        <v>0</v>
      </c>
      <c r="W974" s="3">
        <f>$D974*TCA!V974/100</f>
        <v>0</v>
      </c>
      <c r="X974" s="3">
        <f>$D974*TCA!W974/100</f>
        <v>0</v>
      </c>
    </row>
    <row r="975" spans="1:24" x14ac:dyDescent="0.25">
      <c r="A975" s="3" t="s">
        <v>2035</v>
      </c>
      <c r="B975" s="3" t="s">
        <v>1924</v>
      </c>
      <c r="C975" s="3" t="s">
        <v>1925</v>
      </c>
      <c r="D975" s="3">
        <v>100</v>
      </c>
      <c r="E975" s="3">
        <f>$D975*TCA!E975/100</f>
        <v>35.6</v>
      </c>
      <c r="F975" s="3">
        <f>$D975*TCA!F975/100</f>
        <v>0.8</v>
      </c>
      <c r="G975" s="3">
        <f>$D975*TCA!G975/100</f>
        <v>0.4</v>
      </c>
      <c r="H975" s="3">
        <f>$D975*TCA!H975/100</f>
        <v>7.2</v>
      </c>
      <c r="I975" s="3">
        <f>$D975*TCA!I975/100</f>
        <v>0.4</v>
      </c>
      <c r="J975" s="3">
        <f>$D975*TCA!J975/100</f>
        <v>0.1</v>
      </c>
      <c r="K975" s="3">
        <f>$D975*TCA!K975/100</f>
        <v>0.1</v>
      </c>
      <c r="L975" s="3">
        <f>$D975*TCA!L975/100</f>
        <v>0.2</v>
      </c>
      <c r="M975" s="3">
        <f>$D975*TCA!M975/100</f>
        <v>0</v>
      </c>
      <c r="N975" s="3">
        <f>$D975*TCA!N975/100</f>
        <v>0</v>
      </c>
      <c r="O975" s="3">
        <f>$D975*TCA!O975/100</f>
        <v>0</v>
      </c>
      <c r="P975" s="3">
        <f t="shared" si="15"/>
        <v>0</v>
      </c>
      <c r="Q975" s="3">
        <f>$D975*TCA!P975/100</f>
        <v>0</v>
      </c>
      <c r="R975" s="3">
        <f>$D975*TCA!Q975/100</f>
        <v>0</v>
      </c>
      <c r="S975" s="3">
        <f>$D975*TCA!R975/100</f>
        <v>12</v>
      </c>
      <c r="T975" s="3">
        <f>$D975*TCA!S975/100</f>
        <v>0</v>
      </c>
      <c r="U975" s="3">
        <f>$D975*TCA!T975/100</f>
        <v>6</v>
      </c>
      <c r="V975" s="3">
        <f>$D975*TCA!U975/100</f>
        <v>0</v>
      </c>
      <c r="W975" s="3">
        <f>$D975*TCA!V975/100</f>
        <v>0</v>
      </c>
      <c r="X975" s="3">
        <f>$D975*TCA!W975/100</f>
        <v>0</v>
      </c>
    </row>
    <row r="976" spans="1:24" x14ac:dyDescent="0.25">
      <c r="A976" s="3" t="s">
        <v>2035</v>
      </c>
      <c r="B976" s="3" t="s">
        <v>1926</v>
      </c>
      <c r="C976" s="3" t="s">
        <v>1927</v>
      </c>
      <c r="D976" s="3">
        <v>100</v>
      </c>
      <c r="E976" s="3">
        <f>$D976*TCA!E976/100</f>
        <v>3.33</v>
      </c>
      <c r="F976" s="3">
        <f>$D976*TCA!F976/100</f>
        <v>0</v>
      </c>
      <c r="G976" s="3">
        <f>$D976*TCA!G976/100</f>
        <v>0</v>
      </c>
      <c r="H976" s="3">
        <f>$D976*TCA!H976/100</f>
        <v>0.83</v>
      </c>
      <c r="I976" s="3">
        <f>$D976*TCA!I976/100</f>
        <v>0</v>
      </c>
      <c r="J976" s="3">
        <f>$D976*TCA!J976/100</f>
        <v>0</v>
      </c>
      <c r="K976" s="3">
        <f>$D976*TCA!K976/100</f>
        <v>0</v>
      </c>
      <c r="L976" s="3">
        <f>$D976*TCA!L976/100</f>
        <v>0</v>
      </c>
      <c r="M976" s="3">
        <f>$D976*TCA!M976/100</f>
        <v>0</v>
      </c>
      <c r="N976" s="3">
        <f>$D976*TCA!N976/100</f>
        <v>0</v>
      </c>
      <c r="O976" s="3">
        <f>$D976*TCA!O976/100</f>
        <v>0</v>
      </c>
      <c r="P976" s="3" t="e">
        <f t="shared" si="15"/>
        <v>#DIV/0!</v>
      </c>
      <c r="Q976" s="3">
        <f>$D976*TCA!P976/100</f>
        <v>0</v>
      </c>
      <c r="R976" s="3">
        <f>$D976*TCA!Q976/100</f>
        <v>0</v>
      </c>
      <c r="S976" s="3">
        <f>$D976*TCA!R976/100</f>
        <v>8.33</v>
      </c>
      <c r="T976" s="3">
        <f>$D976*TCA!S976/100</f>
        <v>0</v>
      </c>
      <c r="U976" s="3">
        <f>$D976*TCA!T976/100</f>
        <v>0</v>
      </c>
      <c r="V976" s="3">
        <f>$D976*TCA!U976/100</f>
        <v>0</v>
      </c>
      <c r="W976" s="3">
        <f>$D976*TCA!V976/100</f>
        <v>0</v>
      </c>
      <c r="X976" s="3">
        <f>$D976*TCA!W976/100</f>
        <v>0</v>
      </c>
    </row>
    <row r="977" spans="1:24" x14ac:dyDescent="0.25">
      <c r="A977" s="3" t="s">
        <v>2035</v>
      </c>
      <c r="B977" s="3" t="s">
        <v>1928</v>
      </c>
      <c r="C977" s="3" t="s">
        <v>1929</v>
      </c>
      <c r="D977" s="3">
        <v>100</v>
      </c>
      <c r="E977" s="3">
        <f>$D977*TCA!E977/100</f>
        <v>58</v>
      </c>
      <c r="F977" s="3">
        <f>$D977*TCA!F977/100</f>
        <v>0</v>
      </c>
      <c r="G977" s="3">
        <f>$D977*TCA!G977/100</f>
        <v>0</v>
      </c>
      <c r="H977" s="3">
        <f>$D977*TCA!H977/100</f>
        <v>14.5</v>
      </c>
      <c r="I977" s="3">
        <f>$D977*TCA!I977/100</f>
        <v>0</v>
      </c>
      <c r="J977" s="3">
        <f>$D977*TCA!J977/100</f>
        <v>0</v>
      </c>
      <c r="K977" s="3">
        <f>$D977*TCA!K977/100</f>
        <v>0</v>
      </c>
      <c r="L977" s="3">
        <f>$D977*TCA!L977/100</f>
        <v>0</v>
      </c>
      <c r="M977" s="3">
        <f>$D977*TCA!M977/100</f>
        <v>0</v>
      </c>
      <c r="N977" s="3">
        <f>$D977*TCA!N977/100</f>
        <v>0</v>
      </c>
      <c r="O977" s="3">
        <f>$D977*TCA!O977/100</f>
        <v>0</v>
      </c>
      <c r="P977" s="3" t="e">
        <f t="shared" si="15"/>
        <v>#DIV/0!</v>
      </c>
      <c r="Q977" s="3">
        <f>$D977*TCA!P977/100</f>
        <v>0</v>
      </c>
      <c r="R977" s="3">
        <f>$D977*TCA!Q977/100</f>
        <v>0</v>
      </c>
      <c r="S977" s="3">
        <f>$D977*TCA!R977/100</f>
        <v>12.5</v>
      </c>
      <c r="T977" s="3">
        <f>$D977*TCA!S977/100</f>
        <v>0</v>
      </c>
      <c r="U977" s="3">
        <f>$D977*TCA!T977/100</f>
        <v>45</v>
      </c>
      <c r="V977" s="3">
        <f>$D977*TCA!U977/100</f>
        <v>0</v>
      </c>
      <c r="W977" s="3">
        <f>$D977*TCA!V977/100</f>
        <v>0</v>
      </c>
      <c r="X977" s="3">
        <f>$D977*TCA!W977/100</f>
        <v>0</v>
      </c>
    </row>
    <row r="978" spans="1:24" x14ac:dyDescent="0.25">
      <c r="A978" s="3" t="s">
        <v>2035</v>
      </c>
      <c r="B978" s="3" t="s">
        <v>1930</v>
      </c>
      <c r="C978" s="3" t="s">
        <v>1931</v>
      </c>
      <c r="D978" s="3">
        <v>100</v>
      </c>
      <c r="E978" s="3">
        <f>$D978*TCA!E978/100</f>
        <v>0</v>
      </c>
      <c r="F978" s="3">
        <f>$D978*TCA!F978/100</f>
        <v>0</v>
      </c>
      <c r="G978" s="3">
        <f>$D978*TCA!G978/100</f>
        <v>0</v>
      </c>
      <c r="H978" s="3">
        <f>$D978*TCA!H978/100</f>
        <v>0</v>
      </c>
      <c r="I978" s="3">
        <f>$D978*TCA!I978/100</f>
        <v>0</v>
      </c>
      <c r="J978" s="3">
        <f>$D978*TCA!J978/100</f>
        <v>0</v>
      </c>
      <c r="K978" s="3">
        <f>$D978*TCA!K978/100</f>
        <v>0</v>
      </c>
      <c r="L978" s="3">
        <f>$D978*TCA!L978/100</f>
        <v>0</v>
      </c>
      <c r="M978" s="3">
        <f>$D978*TCA!M978/100</f>
        <v>0</v>
      </c>
      <c r="N978" s="3">
        <f>$D978*TCA!N978/100</f>
        <v>0</v>
      </c>
      <c r="O978" s="3">
        <f>$D978*TCA!O978/100</f>
        <v>0</v>
      </c>
      <c r="P978" s="3" t="e">
        <f t="shared" si="15"/>
        <v>#DIV/0!</v>
      </c>
      <c r="Q978" s="3">
        <f>$D978*TCA!P978/100</f>
        <v>0</v>
      </c>
      <c r="R978" s="3">
        <f>$D978*TCA!Q978/100</f>
        <v>0</v>
      </c>
      <c r="S978" s="3">
        <f>$D978*TCA!R978/100</f>
        <v>27.08</v>
      </c>
      <c r="T978" s="3">
        <f>$D978*TCA!S978/100</f>
        <v>0</v>
      </c>
      <c r="U978" s="3">
        <f>$D978*TCA!T978/100</f>
        <v>0</v>
      </c>
      <c r="V978" s="3">
        <f>$D978*TCA!U978/100</f>
        <v>0</v>
      </c>
      <c r="W978" s="3">
        <f>$D978*TCA!V978/100</f>
        <v>0</v>
      </c>
      <c r="X978" s="3">
        <f>$D978*TCA!W978/100</f>
        <v>0</v>
      </c>
    </row>
    <row r="979" spans="1:24" x14ac:dyDescent="0.25">
      <c r="A979" s="3" t="s">
        <v>2035</v>
      </c>
      <c r="B979" s="3" t="s">
        <v>1932</v>
      </c>
      <c r="C979" s="3" t="s">
        <v>1933</v>
      </c>
      <c r="D979" s="3">
        <v>100</v>
      </c>
      <c r="E979" s="3">
        <f>$D979*TCA!E979/100</f>
        <v>0</v>
      </c>
      <c r="F979" s="3">
        <f>$D979*TCA!F979/100</f>
        <v>0</v>
      </c>
      <c r="G979" s="3">
        <f>$D979*TCA!G979/100</f>
        <v>0</v>
      </c>
      <c r="H979" s="3">
        <f>$D979*TCA!H979/100</f>
        <v>0</v>
      </c>
      <c r="I979" s="3">
        <f>$D979*TCA!I979/100</f>
        <v>0</v>
      </c>
      <c r="J979" s="3">
        <f>$D979*TCA!J979/100</f>
        <v>0</v>
      </c>
      <c r="K979" s="3">
        <f>$D979*TCA!K979/100</f>
        <v>0</v>
      </c>
      <c r="L979" s="3">
        <f>$D979*TCA!L979/100</f>
        <v>0</v>
      </c>
      <c r="M979" s="3">
        <f>$D979*TCA!M979/100</f>
        <v>0</v>
      </c>
      <c r="N979" s="3">
        <f>$D979*TCA!N979/100</f>
        <v>0</v>
      </c>
      <c r="O979" s="3">
        <f>$D979*TCA!O979/100</f>
        <v>0</v>
      </c>
      <c r="P979" s="3" t="e">
        <f t="shared" si="15"/>
        <v>#DIV/0!</v>
      </c>
      <c r="Q979" s="3">
        <f>$D979*TCA!P979/100</f>
        <v>0</v>
      </c>
      <c r="R979" s="3">
        <f>$D979*TCA!Q979/100</f>
        <v>0</v>
      </c>
      <c r="S979" s="3">
        <f>$D979*TCA!R979/100</f>
        <v>27.08</v>
      </c>
      <c r="T979" s="3">
        <f>$D979*TCA!S979/100</f>
        <v>0</v>
      </c>
      <c r="U979" s="3">
        <f>$D979*TCA!T979/100</f>
        <v>0</v>
      </c>
      <c r="V979" s="3">
        <f>$D979*TCA!U979/100</f>
        <v>0</v>
      </c>
      <c r="W979" s="3">
        <f>$D979*TCA!V979/100</f>
        <v>0</v>
      </c>
      <c r="X979" s="3">
        <f>$D979*TCA!W979/100</f>
        <v>0</v>
      </c>
    </row>
    <row r="980" spans="1:24" x14ac:dyDescent="0.25">
      <c r="A980" s="3" t="s">
        <v>2035</v>
      </c>
      <c r="B980" s="3" t="s">
        <v>1934</v>
      </c>
      <c r="C980" s="3" t="s">
        <v>1935</v>
      </c>
      <c r="D980" s="3">
        <v>100</v>
      </c>
      <c r="E980" s="3">
        <f>$D980*TCA!E980/100</f>
        <v>5.2</v>
      </c>
      <c r="F980" s="3">
        <f>$D980*TCA!F980/100</f>
        <v>0</v>
      </c>
      <c r="G980" s="3">
        <f>$D980*TCA!G980/100</f>
        <v>0.4</v>
      </c>
      <c r="H980" s="3">
        <f>$D980*TCA!H980/100</f>
        <v>0.4</v>
      </c>
      <c r="I980" s="3">
        <f>$D980*TCA!I980/100</f>
        <v>0</v>
      </c>
      <c r="J980" s="3">
        <f>$D980*TCA!J980/100</f>
        <v>0</v>
      </c>
      <c r="K980" s="3">
        <f>$D980*TCA!K980/100</f>
        <v>0</v>
      </c>
      <c r="L980" s="3">
        <f>$D980*TCA!L980/100</f>
        <v>0</v>
      </c>
      <c r="M980" s="3">
        <f>$D980*TCA!M980/100</f>
        <v>0</v>
      </c>
      <c r="N980" s="3">
        <f>$D980*TCA!N980/100</f>
        <v>0</v>
      </c>
      <c r="O980" s="3">
        <f>$D980*TCA!O980/100</f>
        <v>0</v>
      </c>
      <c r="P980" s="3" t="e">
        <f t="shared" si="15"/>
        <v>#DIV/0!</v>
      </c>
      <c r="Q980" s="3">
        <f>$D980*TCA!P980/100</f>
        <v>0</v>
      </c>
      <c r="R980" s="3">
        <f>$D980*TCA!Q980/100</f>
        <v>0</v>
      </c>
      <c r="S980" s="3">
        <f>$D980*TCA!R980/100</f>
        <v>12</v>
      </c>
      <c r="T980" s="3">
        <f>$D980*TCA!S980/100</f>
        <v>0</v>
      </c>
      <c r="U980" s="3">
        <f>$D980*TCA!T980/100</f>
        <v>0</v>
      </c>
      <c r="V980" s="3">
        <f>$D980*TCA!U980/100</f>
        <v>0</v>
      </c>
      <c r="W980" s="3">
        <f>$D980*TCA!V980/100</f>
        <v>0</v>
      </c>
      <c r="X980" s="3">
        <f>$D980*TCA!W980/100</f>
        <v>0</v>
      </c>
    </row>
    <row r="981" spans="1:24" x14ac:dyDescent="0.25">
      <c r="A981" s="3" t="s">
        <v>2035</v>
      </c>
      <c r="B981" s="3" t="s">
        <v>1936</v>
      </c>
      <c r="C981" s="3" t="s">
        <v>1937</v>
      </c>
      <c r="D981" s="3">
        <v>100</v>
      </c>
      <c r="E981" s="3">
        <f>$D981*TCA!E981/100</f>
        <v>48.2</v>
      </c>
      <c r="F981" s="3">
        <f>$D981*TCA!F981/100</f>
        <v>0</v>
      </c>
      <c r="G981" s="3">
        <f>$D981*TCA!G981/100</f>
        <v>0</v>
      </c>
      <c r="H981" s="3">
        <f>$D981*TCA!H981/100</f>
        <v>12.05</v>
      </c>
      <c r="I981" s="3">
        <f>$D981*TCA!I981/100</f>
        <v>0</v>
      </c>
      <c r="J981" s="3">
        <f>$D981*TCA!J981/100</f>
        <v>0</v>
      </c>
      <c r="K981" s="3">
        <f>$D981*TCA!K981/100</f>
        <v>0</v>
      </c>
      <c r="L981" s="3">
        <f>$D981*TCA!L981/100</f>
        <v>0</v>
      </c>
      <c r="M981" s="3">
        <f>$D981*TCA!M981/100</f>
        <v>0</v>
      </c>
      <c r="N981" s="3">
        <f>$D981*TCA!N981/100</f>
        <v>0</v>
      </c>
      <c r="O981" s="3">
        <f>$D981*TCA!O981/100</f>
        <v>0</v>
      </c>
      <c r="P981" s="3" t="e">
        <f t="shared" si="15"/>
        <v>#DIV/0!</v>
      </c>
      <c r="Q981" s="3">
        <f>$D981*TCA!P981/100</f>
        <v>0</v>
      </c>
      <c r="R981" s="3">
        <f>$D981*TCA!Q981/100</f>
        <v>0</v>
      </c>
      <c r="S981" s="3">
        <f>$D981*TCA!R981/100</f>
        <v>10.57</v>
      </c>
      <c r="T981" s="3">
        <f>$D981*TCA!S981/100</f>
        <v>0</v>
      </c>
      <c r="U981" s="3">
        <f>$D981*TCA!T981/100</f>
        <v>0</v>
      </c>
      <c r="V981" s="3">
        <f>$D981*TCA!U981/100</f>
        <v>0</v>
      </c>
      <c r="W981" s="3">
        <f>$D981*TCA!V981/100</f>
        <v>0</v>
      </c>
      <c r="X981" s="3">
        <f>$D981*TCA!W981/100</f>
        <v>0</v>
      </c>
    </row>
    <row r="982" spans="1:24" x14ac:dyDescent="0.25">
      <c r="A982" s="3" t="s">
        <v>2035</v>
      </c>
      <c r="B982" s="3" t="s">
        <v>1938</v>
      </c>
      <c r="C982" s="3" t="s">
        <v>1939</v>
      </c>
      <c r="D982" s="3">
        <v>100</v>
      </c>
      <c r="E982" s="3">
        <f>$D982*TCA!E982/100</f>
        <v>28</v>
      </c>
      <c r="F982" s="3">
        <f>$D982*TCA!F982/100</f>
        <v>0.5</v>
      </c>
      <c r="G982" s="3">
        <f>$D982*TCA!G982/100</f>
        <v>0</v>
      </c>
      <c r="H982" s="3">
        <f>$D982*TCA!H982/100</f>
        <v>6.5</v>
      </c>
      <c r="I982" s="3">
        <f>$D982*TCA!I982/100</f>
        <v>0</v>
      </c>
      <c r="J982" s="3">
        <f>$D982*TCA!J982/100</f>
        <v>0</v>
      </c>
      <c r="K982" s="3">
        <f>$D982*TCA!K982/100</f>
        <v>0</v>
      </c>
      <c r="L982" s="3">
        <f>$D982*TCA!L982/100</f>
        <v>0</v>
      </c>
      <c r="M982" s="3">
        <f>$D982*TCA!M982/100</f>
        <v>0</v>
      </c>
      <c r="N982" s="3">
        <f>$D982*TCA!N982/100</f>
        <v>0</v>
      </c>
      <c r="O982" s="3">
        <f>$D982*TCA!O982/100</f>
        <v>0</v>
      </c>
      <c r="P982" s="3">
        <f t="shared" si="15"/>
        <v>0</v>
      </c>
      <c r="Q982" s="3">
        <f>$D982*TCA!P982/100</f>
        <v>0</v>
      </c>
      <c r="R982" s="3">
        <f>$D982*TCA!Q982/100</f>
        <v>0</v>
      </c>
      <c r="S982" s="3">
        <f>$D982*TCA!R982/100</f>
        <v>2.5</v>
      </c>
      <c r="T982" s="3">
        <f>$D982*TCA!S982/100</f>
        <v>0</v>
      </c>
      <c r="U982" s="3">
        <f>$D982*TCA!T982/100</f>
        <v>0</v>
      </c>
      <c r="V982" s="3">
        <f>$D982*TCA!U982/100</f>
        <v>0</v>
      </c>
      <c r="W982" s="3">
        <f>$D982*TCA!V982/100</f>
        <v>0</v>
      </c>
      <c r="X982" s="3">
        <f>$D982*TCA!W982/100</f>
        <v>0</v>
      </c>
    </row>
    <row r="983" spans="1:24" x14ac:dyDescent="0.25">
      <c r="A983" s="3" t="s">
        <v>2035</v>
      </c>
      <c r="B983" s="3" t="s">
        <v>1940</v>
      </c>
      <c r="C983" s="3" t="s">
        <v>1941</v>
      </c>
      <c r="D983" s="3">
        <v>100</v>
      </c>
      <c r="E983" s="3">
        <f>$D983*TCA!E983/100</f>
        <v>77.33</v>
      </c>
      <c r="F983" s="3">
        <f>$D983*TCA!F983/100</f>
        <v>0</v>
      </c>
      <c r="G983" s="3">
        <f>$D983*TCA!G983/100</f>
        <v>0</v>
      </c>
      <c r="H983" s="3">
        <f>$D983*TCA!H983/100</f>
        <v>19.329999999999998</v>
      </c>
      <c r="I983" s="3">
        <f>$D983*TCA!I983/100</f>
        <v>0</v>
      </c>
      <c r="J983" s="3">
        <f>$D983*TCA!J983/100</f>
        <v>0</v>
      </c>
      <c r="K983" s="3">
        <f>$D983*TCA!K983/100</f>
        <v>0</v>
      </c>
      <c r="L983" s="3">
        <f>$D983*TCA!L983/100</f>
        <v>0</v>
      </c>
      <c r="M983" s="3">
        <f>$D983*TCA!M983/100</f>
        <v>0</v>
      </c>
      <c r="N983" s="3">
        <f>$D983*TCA!N983/100</f>
        <v>0</v>
      </c>
      <c r="O983" s="3">
        <f>$D983*TCA!O983/100</f>
        <v>0</v>
      </c>
      <c r="P983" s="3" t="e">
        <f t="shared" si="15"/>
        <v>#DIV/0!</v>
      </c>
      <c r="Q983" s="3">
        <f>$D983*TCA!P983/100</f>
        <v>0</v>
      </c>
      <c r="R983" s="3">
        <f>$D983*TCA!Q983/100</f>
        <v>0</v>
      </c>
      <c r="S983" s="3">
        <f>$D983*TCA!R983/100</f>
        <v>0</v>
      </c>
      <c r="T983" s="3">
        <f>$D983*TCA!S983/100</f>
        <v>0</v>
      </c>
      <c r="U983" s="3">
        <f>$D983*TCA!T983/100</f>
        <v>0</v>
      </c>
      <c r="V983" s="3">
        <f>$D983*TCA!U983/100</f>
        <v>0</v>
      </c>
      <c r="W983" s="3">
        <f>$D983*TCA!V983/100</f>
        <v>0</v>
      </c>
      <c r="X983" s="3">
        <f>$D983*TCA!W983/100</f>
        <v>0</v>
      </c>
    </row>
    <row r="984" spans="1:24" x14ac:dyDescent="0.25">
      <c r="A984" s="3" t="s">
        <v>2035</v>
      </c>
      <c r="B984" s="3" t="s">
        <v>1942</v>
      </c>
      <c r="C984" s="3" t="s">
        <v>1943</v>
      </c>
      <c r="D984" s="3">
        <v>100</v>
      </c>
      <c r="E984" s="3">
        <f>$D984*TCA!E984/100</f>
        <v>32</v>
      </c>
      <c r="F984" s="3">
        <f>$D984*TCA!F984/100</f>
        <v>0</v>
      </c>
      <c r="G984" s="3">
        <f>$D984*TCA!G984/100</f>
        <v>0</v>
      </c>
      <c r="H984" s="3">
        <f>$D984*TCA!H984/100</f>
        <v>8</v>
      </c>
      <c r="I984" s="3">
        <f>$D984*TCA!I984/100</f>
        <v>0</v>
      </c>
      <c r="J984" s="3">
        <f>$D984*TCA!J984/100</f>
        <v>0</v>
      </c>
      <c r="K984" s="3">
        <f>$D984*TCA!K984/100</f>
        <v>0</v>
      </c>
      <c r="L984" s="3">
        <f>$D984*TCA!L984/100</f>
        <v>0</v>
      </c>
      <c r="M984" s="3">
        <f>$D984*TCA!M984/100</f>
        <v>0</v>
      </c>
      <c r="N984" s="3">
        <f>$D984*TCA!N984/100</f>
        <v>0</v>
      </c>
      <c r="O984" s="3">
        <f>$D984*TCA!O984/100</f>
        <v>0</v>
      </c>
      <c r="P984" s="3" t="e">
        <f t="shared" si="15"/>
        <v>#DIV/0!</v>
      </c>
      <c r="Q984" s="3">
        <f>$D984*TCA!P984/100</f>
        <v>0</v>
      </c>
      <c r="R984" s="3">
        <f>$D984*TCA!Q984/100</f>
        <v>0</v>
      </c>
      <c r="S984" s="3">
        <f>$D984*TCA!R984/100</f>
        <v>0</v>
      </c>
      <c r="T984" s="3">
        <f>$D984*TCA!S984/100</f>
        <v>0</v>
      </c>
      <c r="U984" s="3">
        <f>$D984*TCA!T984/100</f>
        <v>0</v>
      </c>
      <c r="V984" s="3">
        <f>$D984*TCA!U984/100</f>
        <v>0</v>
      </c>
      <c r="W984" s="3">
        <f>$D984*TCA!V984/100</f>
        <v>0</v>
      </c>
      <c r="X984" s="3">
        <f>$D984*TCA!W984/100</f>
        <v>0</v>
      </c>
    </row>
    <row r="985" spans="1:24" x14ac:dyDescent="0.25">
      <c r="A985" s="3" t="s">
        <v>2035</v>
      </c>
      <c r="B985" s="3" t="s">
        <v>1944</v>
      </c>
      <c r="C985" s="3" t="s">
        <v>1945</v>
      </c>
      <c r="D985" s="3">
        <v>100</v>
      </c>
      <c r="E985" s="3">
        <f>$D985*TCA!E985/100</f>
        <v>18</v>
      </c>
      <c r="F985" s="3">
        <f>$D985*TCA!F985/100</f>
        <v>0</v>
      </c>
      <c r="G985" s="3">
        <f>$D985*TCA!G985/100</f>
        <v>0</v>
      </c>
      <c r="H985" s="3">
        <f>$D985*TCA!H985/100</f>
        <v>4.5</v>
      </c>
      <c r="I985" s="3">
        <f>$D985*TCA!I985/100</f>
        <v>0</v>
      </c>
      <c r="J985" s="3">
        <f>$D985*TCA!J985/100</f>
        <v>0</v>
      </c>
      <c r="K985" s="3">
        <f>$D985*TCA!K985/100</f>
        <v>0</v>
      </c>
      <c r="L985" s="3">
        <f>$D985*TCA!L985/100</f>
        <v>0</v>
      </c>
      <c r="M985" s="3">
        <f>$D985*TCA!M985/100</f>
        <v>0</v>
      </c>
      <c r="N985" s="3">
        <f>$D985*TCA!N985/100</f>
        <v>0</v>
      </c>
      <c r="O985" s="3">
        <f>$D985*TCA!O985/100</f>
        <v>0</v>
      </c>
      <c r="P985" s="3" t="e">
        <f t="shared" si="15"/>
        <v>#DIV/0!</v>
      </c>
      <c r="Q985" s="3">
        <f>$D985*TCA!P985/100</f>
        <v>0</v>
      </c>
      <c r="R985" s="3">
        <f>$D985*TCA!Q985/100</f>
        <v>0</v>
      </c>
      <c r="S985" s="3">
        <f>$D985*TCA!R985/100</f>
        <v>5</v>
      </c>
      <c r="T985" s="3">
        <f>$D985*TCA!S985/100</f>
        <v>0</v>
      </c>
      <c r="U985" s="3">
        <f>$D985*TCA!T985/100</f>
        <v>0</v>
      </c>
      <c r="V985" s="3">
        <f>$D985*TCA!U985/100</f>
        <v>0</v>
      </c>
      <c r="W985" s="3">
        <f>$D985*TCA!V985/100</f>
        <v>0</v>
      </c>
      <c r="X985" s="3">
        <f>$D985*TCA!W985/100</f>
        <v>0</v>
      </c>
    </row>
    <row r="986" spans="1:24" x14ac:dyDescent="0.25">
      <c r="A986" s="3" t="s">
        <v>2035</v>
      </c>
      <c r="B986" s="3" t="s">
        <v>1946</v>
      </c>
      <c r="C986" s="3" t="s">
        <v>1947</v>
      </c>
      <c r="D986" s="3">
        <v>100</v>
      </c>
      <c r="E986" s="3">
        <f>$D986*TCA!E986/100</f>
        <v>38</v>
      </c>
      <c r="F986" s="3">
        <f>$D986*TCA!F986/100</f>
        <v>0</v>
      </c>
      <c r="G986" s="3">
        <f>$D986*TCA!G986/100</f>
        <v>0</v>
      </c>
      <c r="H986" s="3">
        <f>$D986*TCA!H986/100</f>
        <v>9.5</v>
      </c>
      <c r="I986" s="3">
        <f>$D986*TCA!I986/100</f>
        <v>0</v>
      </c>
      <c r="J986" s="3">
        <f>$D986*TCA!J986/100</f>
        <v>0</v>
      </c>
      <c r="K986" s="3">
        <f>$D986*TCA!K986/100</f>
        <v>0</v>
      </c>
      <c r="L986" s="3">
        <f>$D986*TCA!L986/100</f>
        <v>0</v>
      </c>
      <c r="M986" s="3">
        <f>$D986*TCA!M986/100</f>
        <v>0</v>
      </c>
      <c r="N986" s="3">
        <f>$D986*TCA!N986/100</f>
        <v>0</v>
      </c>
      <c r="O986" s="3">
        <f>$D986*TCA!O986/100</f>
        <v>0</v>
      </c>
      <c r="P986" s="3" t="e">
        <f t="shared" si="15"/>
        <v>#DIV/0!</v>
      </c>
      <c r="Q986" s="3">
        <f>$D986*TCA!P986/100</f>
        <v>0</v>
      </c>
      <c r="R986" s="3">
        <f>$D986*TCA!Q986/100</f>
        <v>0</v>
      </c>
      <c r="S986" s="3">
        <f>$D986*TCA!R986/100</f>
        <v>7.5</v>
      </c>
      <c r="T986" s="3">
        <f>$D986*TCA!S986/100</f>
        <v>0</v>
      </c>
      <c r="U986" s="3">
        <f>$D986*TCA!T986/100</f>
        <v>0</v>
      </c>
      <c r="V986" s="3">
        <f>$D986*TCA!U986/100</f>
        <v>0</v>
      </c>
      <c r="W986" s="3">
        <f>$D986*TCA!V986/100</f>
        <v>0</v>
      </c>
      <c r="X986" s="3">
        <f>$D986*TCA!W986/100</f>
        <v>0</v>
      </c>
    </row>
    <row r="987" spans="1:24" x14ac:dyDescent="0.25">
      <c r="A987" s="3" t="s">
        <v>2035</v>
      </c>
      <c r="B987" s="3" t="s">
        <v>1948</v>
      </c>
      <c r="C987" s="3" t="s">
        <v>1949</v>
      </c>
      <c r="D987" s="3">
        <v>100</v>
      </c>
      <c r="E987" s="3">
        <f>$D987*TCA!E987/100</f>
        <v>32.43</v>
      </c>
      <c r="F987" s="3">
        <f>$D987*TCA!F987/100</f>
        <v>0</v>
      </c>
      <c r="G987" s="3">
        <f>$D987*TCA!G987/100</f>
        <v>0</v>
      </c>
      <c r="H987" s="3">
        <f>$D987*TCA!H987/100</f>
        <v>8.11</v>
      </c>
      <c r="I987" s="3">
        <f>$D987*TCA!I987/100</f>
        <v>0</v>
      </c>
      <c r="J987" s="3">
        <f>$D987*TCA!J987/100</f>
        <v>0</v>
      </c>
      <c r="K987" s="3">
        <f>$D987*TCA!K987/100</f>
        <v>0</v>
      </c>
      <c r="L987" s="3">
        <f>$D987*TCA!L987/100</f>
        <v>0</v>
      </c>
      <c r="M987" s="3">
        <f>$D987*TCA!M987/100</f>
        <v>0</v>
      </c>
      <c r="N987" s="3">
        <f>$D987*TCA!N987/100</f>
        <v>0</v>
      </c>
      <c r="O987" s="3">
        <f>$D987*TCA!O987/100</f>
        <v>0</v>
      </c>
      <c r="P987" s="3" t="e">
        <f t="shared" si="15"/>
        <v>#DIV/0!</v>
      </c>
      <c r="Q987" s="3">
        <f>$D987*TCA!P987/100</f>
        <v>0</v>
      </c>
      <c r="R987" s="3">
        <f>$D987*TCA!Q987/100</f>
        <v>0</v>
      </c>
      <c r="S987" s="3">
        <f>$D987*TCA!R987/100</f>
        <v>8.11</v>
      </c>
      <c r="T987" s="3">
        <f>$D987*TCA!S987/100</f>
        <v>0</v>
      </c>
      <c r="U987" s="3">
        <f>$D987*TCA!T987/100</f>
        <v>0</v>
      </c>
      <c r="V987" s="3">
        <f>$D987*TCA!U987/100</f>
        <v>0</v>
      </c>
      <c r="W987" s="3">
        <f>$D987*TCA!V987/100</f>
        <v>0</v>
      </c>
      <c r="X987" s="3">
        <f>$D987*TCA!W987/100</f>
        <v>0</v>
      </c>
    </row>
    <row r="988" spans="1:24" x14ac:dyDescent="0.25">
      <c r="A988" s="3" t="s">
        <v>2035</v>
      </c>
      <c r="B988" s="3" t="s">
        <v>1950</v>
      </c>
      <c r="C988" s="3" t="s">
        <v>1951</v>
      </c>
      <c r="D988" s="3">
        <v>100</v>
      </c>
      <c r="E988" s="3">
        <f>$D988*TCA!E988/100</f>
        <v>39.25</v>
      </c>
      <c r="F988" s="3">
        <f>$D988*TCA!F988/100</f>
        <v>0</v>
      </c>
      <c r="G988" s="3">
        <f>$D988*TCA!G988/100</f>
        <v>1.25</v>
      </c>
      <c r="H988" s="3">
        <f>$D988*TCA!H988/100</f>
        <v>7</v>
      </c>
      <c r="I988" s="3">
        <f>$D988*TCA!I988/100</f>
        <v>0</v>
      </c>
      <c r="J988" s="3">
        <f>$D988*TCA!J988/100</f>
        <v>1</v>
      </c>
      <c r="K988" s="3">
        <f>$D988*TCA!K988/100</f>
        <v>0</v>
      </c>
      <c r="L988" s="3">
        <f>$D988*TCA!L988/100</f>
        <v>0</v>
      </c>
      <c r="M988" s="3">
        <f>$D988*TCA!M988/100</f>
        <v>0</v>
      </c>
      <c r="N988" s="3">
        <f>$D988*TCA!N988/100</f>
        <v>0</v>
      </c>
      <c r="O988" s="3">
        <f>$D988*TCA!O988/100</f>
        <v>0</v>
      </c>
      <c r="P988" s="3" t="e">
        <f t="shared" si="15"/>
        <v>#DIV/0!</v>
      </c>
      <c r="Q988" s="3">
        <f>$D988*TCA!P988/100</f>
        <v>0</v>
      </c>
      <c r="R988" s="3">
        <f>$D988*TCA!Q988/100</f>
        <v>0</v>
      </c>
      <c r="S988" s="3">
        <f>$D988*TCA!R988/100</f>
        <v>7.5</v>
      </c>
      <c r="T988" s="3">
        <f>$D988*TCA!S988/100</f>
        <v>0</v>
      </c>
      <c r="U988" s="3">
        <f>$D988*TCA!T988/100</f>
        <v>0</v>
      </c>
      <c r="V988" s="3">
        <f>$D988*TCA!U988/100</f>
        <v>0</v>
      </c>
      <c r="W988" s="3">
        <f>$D988*TCA!V988/100</f>
        <v>0</v>
      </c>
      <c r="X988" s="3">
        <f>$D988*TCA!W988/100</f>
        <v>0</v>
      </c>
    </row>
    <row r="989" spans="1:24" x14ac:dyDescent="0.25">
      <c r="A989" s="3" t="s">
        <v>2035</v>
      </c>
      <c r="B989" s="3" t="s">
        <v>1952</v>
      </c>
      <c r="C989" s="3" t="s">
        <v>1953</v>
      </c>
      <c r="D989" s="3">
        <v>100</v>
      </c>
      <c r="E989" s="3">
        <f>$D989*TCA!E989/100</f>
        <v>25.6</v>
      </c>
      <c r="F989" s="3">
        <f>$D989*TCA!F989/100</f>
        <v>0</v>
      </c>
      <c r="G989" s="3">
        <f>$D989*TCA!G989/100</f>
        <v>0</v>
      </c>
      <c r="H989" s="3">
        <f>$D989*TCA!H989/100</f>
        <v>6.4</v>
      </c>
      <c r="I989" s="3">
        <f>$D989*TCA!I989/100</f>
        <v>0</v>
      </c>
      <c r="J989" s="3">
        <f>$D989*TCA!J989/100</f>
        <v>0</v>
      </c>
      <c r="K989" s="3">
        <f>$D989*TCA!K989/100</f>
        <v>0</v>
      </c>
      <c r="L989" s="3">
        <f>$D989*TCA!L989/100</f>
        <v>0</v>
      </c>
      <c r="M989" s="3">
        <f>$D989*TCA!M989/100</f>
        <v>0</v>
      </c>
      <c r="N989" s="3">
        <f>$D989*TCA!N989/100</f>
        <v>0</v>
      </c>
      <c r="O989" s="3">
        <f>$D989*TCA!O989/100</f>
        <v>0</v>
      </c>
      <c r="P989" s="3" t="e">
        <f t="shared" si="15"/>
        <v>#DIV/0!</v>
      </c>
      <c r="Q989" s="3">
        <f>$D989*TCA!P989/100</f>
        <v>0</v>
      </c>
      <c r="R989" s="3">
        <f>$D989*TCA!Q989/100</f>
        <v>0</v>
      </c>
      <c r="S989" s="3">
        <f>$D989*TCA!R989/100</f>
        <v>4</v>
      </c>
      <c r="T989" s="3">
        <f>$D989*TCA!S989/100</f>
        <v>0</v>
      </c>
      <c r="U989" s="3">
        <f>$D989*TCA!T989/100</f>
        <v>0</v>
      </c>
      <c r="V989" s="3">
        <f>$D989*TCA!U989/100</f>
        <v>0</v>
      </c>
      <c r="W989" s="3">
        <f>$D989*TCA!V989/100</f>
        <v>0</v>
      </c>
      <c r="X989" s="3">
        <f>$D989*TCA!W989/100</f>
        <v>0</v>
      </c>
    </row>
    <row r="990" spans="1:24" x14ac:dyDescent="0.25">
      <c r="A990" s="3" t="s">
        <v>2035</v>
      </c>
      <c r="B990" s="3" t="s">
        <v>1954</v>
      </c>
      <c r="C990" s="3" t="s">
        <v>1955</v>
      </c>
      <c r="D990" s="3">
        <v>100</v>
      </c>
      <c r="E990" s="3">
        <f>$D990*TCA!E990/100</f>
        <v>28.33</v>
      </c>
      <c r="F990" s="3">
        <f>$D990*TCA!F990/100</f>
        <v>0</v>
      </c>
      <c r="G990" s="3">
        <f>$D990*TCA!G990/100</f>
        <v>0</v>
      </c>
      <c r="H990" s="3">
        <f>$D990*TCA!H990/100</f>
        <v>7.08</v>
      </c>
      <c r="I990" s="3">
        <f>$D990*TCA!I990/100</f>
        <v>0</v>
      </c>
      <c r="J990" s="3">
        <f>$D990*TCA!J990/100</f>
        <v>0</v>
      </c>
      <c r="K990" s="3">
        <f>$D990*TCA!K990/100</f>
        <v>0</v>
      </c>
      <c r="L990" s="3">
        <f>$D990*TCA!L990/100</f>
        <v>0</v>
      </c>
      <c r="M990" s="3">
        <f>$D990*TCA!M990/100</f>
        <v>0</v>
      </c>
      <c r="N990" s="3">
        <f>$D990*TCA!N990/100</f>
        <v>0</v>
      </c>
      <c r="O990" s="3">
        <f>$D990*TCA!O990/100</f>
        <v>0</v>
      </c>
      <c r="P990" s="3" t="e">
        <f t="shared" si="15"/>
        <v>#DIV/0!</v>
      </c>
      <c r="Q990" s="3">
        <f>$D990*TCA!P990/100</f>
        <v>0</v>
      </c>
      <c r="R990" s="3">
        <f>$D990*TCA!Q990/100</f>
        <v>0</v>
      </c>
      <c r="S990" s="3">
        <f>$D990*TCA!R990/100</f>
        <v>20.83</v>
      </c>
      <c r="T990" s="3">
        <f>$D990*TCA!S990/100</f>
        <v>0</v>
      </c>
      <c r="U990" s="3">
        <f>$D990*TCA!T990/100</f>
        <v>0</v>
      </c>
      <c r="V990" s="3">
        <f>$D990*TCA!U990/100</f>
        <v>0</v>
      </c>
      <c r="W990" s="3">
        <f>$D990*TCA!V990/100</f>
        <v>0</v>
      </c>
      <c r="X990" s="3">
        <f>$D990*TCA!W990/100</f>
        <v>0</v>
      </c>
    </row>
    <row r="991" spans="1:24" x14ac:dyDescent="0.25">
      <c r="A991" s="3" t="s">
        <v>2035</v>
      </c>
      <c r="B991" s="3" t="s">
        <v>1956</v>
      </c>
      <c r="C991" s="3" t="s">
        <v>1957</v>
      </c>
      <c r="D991" s="3">
        <v>100</v>
      </c>
      <c r="E991" s="3">
        <f>$D991*TCA!E991/100</f>
        <v>30</v>
      </c>
      <c r="F991" s="3">
        <f>$D991*TCA!F991/100</f>
        <v>0</v>
      </c>
      <c r="G991" s="3">
        <f>$D991*TCA!G991/100</f>
        <v>0</v>
      </c>
      <c r="H991" s="3">
        <f>$D991*TCA!H991/100</f>
        <v>7.5</v>
      </c>
      <c r="I991" s="3">
        <f>$D991*TCA!I991/100</f>
        <v>0</v>
      </c>
      <c r="J991" s="3">
        <f>$D991*TCA!J991/100</f>
        <v>0</v>
      </c>
      <c r="K991" s="3">
        <f>$D991*TCA!K991/100</f>
        <v>0</v>
      </c>
      <c r="L991" s="3">
        <f>$D991*TCA!L991/100</f>
        <v>0</v>
      </c>
      <c r="M991" s="3">
        <f>$D991*TCA!M991/100</f>
        <v>0</v>
      </c>
      <c r="N991" s="3">
        <f>$D991*TCA!N991/100</f>
        <v>0</v>
      </c>
      <c r="O991" s="3">
        <f>$D991*TCA!O991/100</f>
        <v>0</v>
      </c>
      <c r="P991" s="3" t="e">
        <f t="shared" si="15"/>
        <v>#DIV/0!</v>
      </c>
      <c r="Q991" s="3">
        <f>$D991*TCA!P991/100</f>
        <v>0</v>
      </c>
      <c r="R991" s="3">
        <f>$D991*TCA!Q991/100</f>
        <v>0</v>
      </c>
      <c r="S991" s="3">
        <f>$D991*TCA!R991/100</f>
        <v>6.25</v>
      </c>
      <c r="T991" s="3">
        <f>$D991*TCA!S991/100</f>
        <v>0</v>
      </c>
      <c r="U991" s="3">
        <f>$D991*TCA!T991/100</f>
        <v>0</v>
      </c>
      <c r="V991" s="3">
        <f>$D991*TCA!U991/100</f>
        <v>0</v>
      </c>
      <c r="W991" s="3">
        <f>$D991*TCA!V991/100</f>
        <v>0</v>
      </c>
      <c r="X991" s="3">
        <f>$D991*TCA!W991/100</f>
        <v>0</v>
      </c>
    </row>
    <row r="992" spans="1:24" x14ac:dyDescent="0.25">
      <c r="A992" s="3" t="s">
        <v>2035</v>
      </c>
      <c r="B992" s="3" t="s">
        <v>1958</v>
      </c>
      <c r="C992" s="3" t="s">
        <v>1959</v>
      </c>
      <c r="D992" s="3">
        <v>100</v>
      </c>
      <c r="E992" s="3">
        <f>$D992*TCA!E992/100</f>
        <v>8.33</v>
      </c>
      <c r="F992" s="3">
        <f>$D992*TCA!F992/100</f>
        <v>0</v>
      </c>
      <c r="G992" s="3">
        <f>$D992*TCA!G992/100</f>
        <v>0</v>
      </c>
      <c r="H992" s="3">
        <f>$D992*TCA!H992/100</f>
        <v>2.08</v>
      </c>
      <c r="I992" s="3">
        <f>$D992*TCA!I992/100</f>
        <v>0</v>
      </c>
      <c r="J992" s="3">
        <f>$D992*TCA!J992/100</f>
        <v>0</v>
      </c>
      <c r="K992" s="3">
        <f>$D992*TCA!K992/100</f>
        <v>0</v>
      </c>
      <c r="L992" s="3">
        <f>$D992*TCA!L992/100</f>
        <v>0</v>
      </c>
      <c r="M992" s="3">
        <f>$D992*TCA!M992/100</f>
        <v>0</v>
      </c>
      <c r="N992" s="3">
        <f>$D992*TCA!N992/100</f>
        <v>0</v>
      </c>
      <c r="O992" s="3">
        <f>$D992*TCA!O992/100</f>
        <v>0</v>
      </c>
      <c r="P992" s="3" t="e">
        <f t="shared" si="15"/>
        <v>#DIV/0!</v>
      </c>
      <c r="Q992" s="3">
        <f>$D992*TCA!P992/100</f>
        <v>0</v>
      </c>
      <c r="R992" s="3">
        <f>$D992*TCA!Q992/100</f>
        <v>0</v>
      </c>
      <c r="S992" s="3">
        <f>$D992*TCA!R992/100</f>
        <v>5.42</v>
      </c>
      <c r="T992" s="3">
        <f>$D992*TCA!S992/100</f>
        <v>0</v>
      </c>
      <c r="U992" s="3">
        <f>$D992*TCA!T992/100</f>
        <v>0</v>
      </c>
      <c r="V992" s="3">
        <f>$D992*TCA!U992/100</f>
        <v>0</v>
      </c>
      <c r="W992" s="3">
        <f>$D992*TCA!V992/100</f>
        <v>0</v>
      </c>
      <c r="X992" s="3">
        <f>$D992*TCA!W992/100</f>
        <v>0</v>
      </c>
    </row>
    <row r="993" spans="1:24" x14ac:dyDescent="0.25">
      <c r="A993" s="3" t="s">
        <v>2035</v>
      </c>
      <c r="B993" s="3" t="s">
        <v>1960</v>
      </c>
      <c r="C993" s="3" t="s">
        <v>1961</v>
      </c>
      <c r="D993" s="3">
        <v>100</v>
      </c>
      <c r="E993" s="3">
        <f>$D993*TCA!E993/100</f>
        <v>8.33</v>
      </c>
      <c r="F993" s="3">
        <f>$D993*TCA!F993/100</f>
        <v>0</v>
      </c>
      <c r="G993" s="3">
        <f>$D993*TCA!G993/100</f>
        <v>0</v>
      </c>
      <c r="H993" s="3">
        <f>$D993*TCA!H993/100</f>
        <v>2.08</v>
      </c>
      <c r="I993" s="3">
        <f>$D993*TCA!I993/100</f>
        <v>0</v>
      </c>
      <c r="J993" s="3">
        <f>$D993*TCA!J993/100</f>
        <v>0</v>
      </c>
      <c r="K993" s="3">
        <f>$D993*TCA!K993/100</f>
        <v>0</v>
      </c>
      <c r="L993" s="3">
        <f>$D993*TCA!L993/100</f>
        <v>0</v>
      </c>
      <c r="M993" s="3">
        <f>$D993*TCA!M993/100</f>
        <v>0</v>
      </c>
      <c r="N993" s="3">
        <f>$D993*TCA!N993/100</f>
        <v>0</v>
      </c>
      <c r="O993" s="3">
        <f>$D993*TCA!O993/100</f>
        <v>0</v>
      </c>
      <c r="P993" s="3" t="e">
        <f t="shared" si="15"/>
        <v>#DIV/0!</v>
      </c>
      <c r="Q993" s="3">
        <f>$D993*TCA!P993/100</f>
        <v>0</v>
      </c>
      <c r="R993" s="3">
        <f>$D993*TCA!Q993/100</f>
        <v>0</v>
      </c>
      <c r="S993" s="3">
        <f>$D993*TCA!R993/100</f>
        <v>5.42</v>
      </c>
      <c r="T993" s="3">
        <f>$D993*TCA!S993/100</f>
        <v>0</v>
      </c>
      <c r="U993" s="3">
        <f>$D993*TCA!T993/100</f>
        <v>0</v>
      </c>
      <c r="V993" s="3">
        <f>$D993*TCA!U993/100</f>
        <v>0</v>
      </c>
      <c r="W993" s="3">
        <f>$D993*TCA!V993/100</f>
        <v>0</v>
      </c>
      <c r="X993" s="3">
        <f>$D993*TCA!W993/100</f>
        <v>0</v>
      </c>
    </row>
    <row r="994" spans="1:24" x14ac:dyDescent="0.25">
      <c r="A994" s="3" t="s">
        <v>2035</v>
      </c>
      <c r="B994" s="3" t="s">
        <v>1962</v>
      </c>
      <c r="C994" s="3" t="s">
        <v>1963</v>
      </c>
      <c r="D994" s="3">
        <v>100</v>
      </c>
      <c r="E994" s="3">
        <f>$D994*TCA!E994/100</f>
        <v>1.33</v>
      </c>
      <c r="F994" s="3">
        <f>$D994*TCA!F994/100</f>
        <v>0</v>
      </c>
      <c r="G994" s="3">
        <f>$D994*TCA!G994/100</f>
        <v>0</v>
      </c>
      <c r="H994" s="3">
        <f>$D994*TCA!H994/100</f>
        <v>0.33</v>
      </c>
      <c r="I994" s="3">
        <f>$D994*TCA!I994/100</f>
        <v>0</v>
      </c>
      <c r="J994" s="3">
        <f>$D994*TCA!J994/100</f>
        <v>0</v>
      </c>
      <c r="K994" s="3">
        <f>$D994*TCA!K994/100</f>
        <v>0</v>
      </c>
      <c r="L994" s="3">
        <f>$D994*TCA!L994/100</f>
        <v>0</v>
      </c>
      <c r="M994" s="3">
        <f>$D994*TCA!M994/100</f>
        <v>0</v>
      </c>
      <c r="N994" s="3">
        <f>$D994*TCA!N994/100</f>
        <v>0</v>
      </c>
      <c r="O994" s="3">
        <f>$D994*TCA!O994/100</f>
        <v>0</v>
      </c>
      <c r="P994" s="3" t="e">
        <f t="shared" si="15"/>
        <v>#DIV/0!</v>
      </c>
      <c r="Q994" s="3">
        <f>$D994*TCA!P994/100</f>
        <v>0</v>
      </c>
      <c r="R994" s="3">
        <f>$D994*TCA!Q994/100</f>
        <v>0</v>
      </c>
      <c r="S994" s="3">
        <f>$D994*TCA!R994/100</f>
        <v>28.33</v>
      </c>
      <c r="T994" s="3">
        <f>$D994*TCA!S994/100</f>
        <v>0</v>
      </c>
      <c r="U994" s="3">
        <f>$D994*TCA!T994/100</f>
        <v>0</v>
      </c>
      <c r="V994" s="3">
        <f>$D994*TCA!U994/100</f>
        <v>0</v>
      </c>
      <c r="W994" s="3">
        <f>$D994*TCA!V994/100</f>
        <v>0</v>
      </c>
      <c r="X994" s="3">
        <f>$D994*TCA!W994/100</f>
        <v>0</v>
      </c>
    </row>
    <row r="995" spans="1:24" x14ac:dyDescent="0.25">
      <c r="A995" s="3" t="s">
        <v>2035</v>
      </c>
      <c r="B995" s="3" t="s">
        <v>1964</v>
      </c>
      <c r="C995" s="3" t="s">
        <v>1965</v>
      </c>
      <c r="D995" s="3">
        <v>100</v>
      </c>
      <c r="E995" s="3">
        <f>$D995*TCA!E995/100</f>
        <v>11.67</v>
      </c>
      <c r="F995" s="3">
        <f>$D995*TCA!F995/100</f>
        <v>0</v>
      </c>
      <c r="G995" s="3">
        <f>$D995*TCA!G995/100</f>
        <v>0</v>
      </c>
      <c r="H995" s="3">
        <f>$D995*TCA!H995/100</f>
        <v>2.92</v>
      </c>
      <c r="I995" s="3">
        <f>$D995*TCA!I995/100</f>
        <v>0</v>
      </c>
      <c r="J995" s="3">
        <f>$D995*TCA!J995/100</f>
        <v>0</v>
      </c>
      <c r="K995" s="3">
        <f>$D995*TCA!K995/100</f>
        <v>0</v>
      </c>
      <c r="L995" s="3">
        <f>$D995*TCA!L995/100</f>
        <v>0</v>
      </c>
      <c r="M995" s="3">
        <f>$D995*TCA!M995/100</f>
        <v>0</v>
      </c>
      <c r="N995" s="3">
        <f>$D995*TCA!N995/100</f>
        <v>0</v>
      </c>
      <c r="O995" s="3">
        <f>$D995*TCA!O995/100</f>
        <v>0</v>
      </c>
      <c r="P995" s="3" t="e">
        <f t="shared" si="15"/>
        <v>#DIV/0!</v>
      </c>
      <c r="Q995" s="3">
        <f>$D995*TCA!P995/100</f>
        <v>0</v>
      </c>
      <c r="R995" s="3">
        <f>$D995*TCA!Q995/100</f>
        <v>0</v>
      </c>
      <c r="S995" s="3">
        <f>$D995*TCA!R995/100</f>
        <v>13.75</v>
      </c>
      <c r="T995" s="3">
        <f>$D995*TCA!S995/100</f>
        <v>0</v>
      </c>
      <c r="U995" s="3">
        <f>$D995*TCA!T995/100</f>
        <v>0</v>
      </c>
      <c r="V995" s="3">
        <f>$D995*TCA!U995/100</f>
        <v>0</v>
      </c>
      <c r="W995" s="3">
        <f>$D995*TCA!V995/100</f>
        <v>0</v>
      </c>
      <c r="X995" s="3">
        <f>$D995*TCA!W995/100</f>
        <v>0</v>
      </c>
    </row>
    <row r="996" spans="1:24" x14ac:dyDescent="0.25">
      <c r="A996" s="3" t="s">
        <v>2035</v>
      </c>
      <c r="B996" s="3" t="s">
        <v>1966</v>
      </c>
      <c r="C996" s="3" t="s">
        <v>1967</v>
      </c>
      <c r="D996" s="3">
        <v>100</v>
      </c>
      <c r="E996" s="3">
        <f>$D996*TCA!E996/100</f>
        <v>20.8</v>
      </c>
      <c r="F996" s="3">
        <f>$D996*TCA!F996/100</f>
        <v>0</v>
      </c>
      <c r="G996" s="3">
        <f>$D996*TCA!G996/100</f>
        <v>0</v>
      </c>
      <c r="H996" s="3">
        <f>$D996*TCA!H996/100</f>
        <v>5.2</v>
      </c>
      <c r="I996" s="3">
        <f>$D996*TCA!I996/100</f>
        <v>0</v>
      </c>
      <c r="J996" s="3">
        <f>$D996*TCA!J996/100</f>
        <v>0</v>
      </c>
      <c r="K996" s="3">
        <f>$D996*TCA!K996/100</f>
        <v>0</v>
      </c>
      <c r="L996" s="3">
        <f>$D996*TCA!L996/100</f>
        <v>0</v>
      </c>
      <c r="M996" s="3">
        <f>$D996*TCA!M996/100</f>
        <v>0</v>
      </c>
      <c r="N996" s="3">
        <f>$D996*TCA!N996/100</f>
        <v>0</v>
      </c>
      <c r="O996" s="3">
        <f>$D996*TCA!O996/100</f>
        <v>0</v>
      </c>
      <c r="P996" s="3" t="e">
        <f t="shared" si="15"/>
        <v>#DIV/0!</v>
      </c>
      <c r="Q996" s="3">
        <f>$D996*TCA!P996/100</f>
        <v>0</v>
      </c>
      <c r="R996" s="3">
        <f>$D996*TCA!Q996/100</f>
        <v>0</v>
      </c>
      <c r="S996" s="3">
        <f>$D996*TCA!R996/100</f>
        <v>14</v>
      </c>
      <c r="T996" s="3">
        <f>$D996*TCA!S996/100</f>
        <v>0</v>
      </c>
      <c r="U996" s="3">
        <f>$D996*TCA!T996/100</f>
        <v>0</v>
      </c>
      <c r="V996" s="3">
        <f>$D996*TCA!U996/100</f>
        <v>0</v>
      </c>
      <c r="W996" s="3">
        <f>$D996*TCA!V996/100</f>
        <v>0</v>
      </c>
      <c r="X996" s="3">
        <f>$D996*TCA!W996/100</f>
        <v>0</v>
      </c>
    </row>
    <row r="997" spans="1:24" x14ac:dyDescent="0.25">
      <c r="A997" s="3" t="s">
        <v>2035</v>
      </c>
      <c r="B997" s="3" t="s">
        <v>1968</v>
      </c>
      <c r="C997" s="3" t="s">
        <v>1969</v>
      </c>
      <c r="D997" s="3">
        <v>100</v>
      </c>
      <c r="E997" s="3">
        <f>$D997*TCA!E997/100</f>
        <v>70.8</v>
      </c>
      <c r="F997" s="3">
        <f>$D997*TCA!F997/100</f>
        <v>7.2</v>
      </c>
      <c r="G997" s="3">
        <f>$D997*TCA!G997/100</f>
        <v>0.4</v>
      </c>
      <c r="H997" s="3">
        <f>$D997*TCA!H997/100</f>
        <v>9.6</v>
      </c>
      <c r="I997" s="3">
        <f>$D997*TCA!I997/100</f>
        <v>0</v>
      </c>
      <c r="J997" s="3">
        <f>$D997*TCA!J997/100</f>
        <v>0.4</v>
      </c>
      <c r="K997" s="3">
        <f>$D997*TCA!K997/100</f>
        <v>0</v>
      </c>
      <c r="L997" s="3">
        <f>$D997*TCA!L997/100</f>
        <v>0</v>
      </c>
      <c r="M997" s="3">
        <f>$D997*TCA!M997/100</f>
        <v>3.6</v>
      </c>
      <c r="N997" s="3">
        <f>$D997*TCA!N997/100</f>
        <v>0</v>
      </c>
      <c r="O997" s="3">
        <f>$D997*TCA!O997/100</f>
        <v>0</v>
      </c>
      <c r="P997" s="3">
        <f t="shared" si="15"/>
        <v>0</v>
      </c>
      <c r="Q997" s="3">
        <f>$D997*TCA!P997/100</f>
        <v>0</v>
      </c>
      <c r="R997" s="3">
        <f>$D997*TCA!Q997/100</f>
        <v>0</v>
      </c>
      <c r="S997" s="3">
        <f>$D997*TCA!R997/100</f>
        <v>0</v>
      </c>
      <c r="T997" s="3">
        <f>$D997*TCA!S997/100</f>
        <v>240</v>
      </c>
      <c r="U997" s="3">
        <f>$D997*TCA!T997/100</f>
        <v>0</v>
      </c>
      <c r="V997" s="3">
        <f>$D997*TCA!U997/100</f>
        <v>0</v>
      </c>
      <c r="W997" s="3">
        <f>$D997*TCA!V997/100</f>
        <v>0</v>
      </c>
      <c r="X997" s="3">
        <f>$D997*TCA!W997/100</f>
        <v>0</v>
      </c>
    </row>
    <row r="998" spans="1:24" x14ac:dyDescent="0.25">
      <c r="A998" s="3" t="s">
        <v>2035</v>
      </c>
      <c r="B998" s="3" t="s">
        <v>1970</v>
      </c>
      <c r="C998" s="3" t="s">
        <v>1971</v>
      </c>
      <c r="D998" s="3">
        <v>100</v>
      </c>
      <c r="E998" s="3">
        <f>$D998*TCA!E998/100</f>
        <v>14.67</v>
      </c>
      <c r="F998" s="3">
        <f>$D998*TCA!F998/100</f>
        <v>0</v>
      </c>
      <c r="G998" s="3">
        <f>$D998*TCA!G998/100</f>
        <v>0</v>
      </c>
      <c r="H998" s="3">
        <f>$D998*TCA!H998/100</f>
        <v>3.67</v>
      </c>
      <c r="I998" s="3">
        <f>$D998*TCA!I998/100</f>
        <v>0</v>
      </c>
      <c r="J998" s="3">
        <f>$D998*TCA!J998/100</f>
        <v>0</v>
      </c>
      <c r="K998" s="3">
        <f>$D998*TCA!K998/100</f>
        <v>0</v>
      </c>
      <c r="L998" s="3">
        <f>$D998*TCA!L998/100</f>
        <v>0</v>
      </c>
      <c r="M998" s="3">
        <f>$D998*TCA!M998/100</f>
        <v>0</v>
      </c>
      <c r="N998" s="3">
        <f>$D998*TCA!N998/100</f>
        <v>0</v>
      </c>
      <c r="O998" s="3">
        <f>$D998*TCA!O998/100</f>
        <v>0</v>
      </c>
      <c r="P998" s="3" t="e">
        <f t="shared" si="15"/>
        <v>#DIV/0!</v>
      </c>
      <c r="Q998" s="3">
        <f>$D998*TCA!P998/100</f>
        <v>0</v>
      </c>
      <c r="R998" s="3">
        <f>$D998*TCA!Q998/100</f>
        <v>0</v>
      </c>
      <c r="S998" s="3">
        <f>$D998*TCA!R998/100</f>
        <v>0</v>
      </c>
      <c r="T998" s="3">
        <f>$D998*TCA!S998/100</f>
        <v>1.67</v>
      </c>
      <c r="U998" s="3">
        <f>$D998*TCA!T998/100</f>
        <v>0</v>
      </c>
      <c r="V998" s="3">
        <f>$D998*TCA!U998/100</f>
        <v>0</v>
      </c>
      <c r="W998" s="3">
        <f>$D998*TCA!V998/100</f>
        <v>0</v>
      </c>
      <c r="X998" s="3">
        <f>$D998*TCA!W998/100</f>
        <v>0</v>
      </c>
    </row>
    <row r="999" spans="1:24" x14ac:dyDescent="0.25">
      <c r="A999" s="3" t="s">
        <v>2035</v>
      </c>
      <c r="B999" s="3" t="s">
        <v>1972</v>
      </c>
      <c r="C999" s="3" t="s">
        <v>1973</v>
      </c>
      <c r="D999" s="3">
        <v>100</v>
      </c>
      <c r="E999" s="3">
        <f>$D999*TCA!E999/100</f>
        <v>22</v>
      </c>
      <c r="F999" s="3">
        <f>$D999*TCA!F999/100</f>
        <v>0.5</v>
      </c>
      <c r="G999" s="3">
        <f>$D999*TCA!G999/100</f>
        <v>0</v>
      </c>
      <c r="H999" s="3">
        <f>$D999*TCA!H999/100</f>
        <v>5</v>
      </c>
      <c r="I999" s="3">
        <f>$D999*TCA!I999/100</f>
        <v>0</v>
      </c>
      <c r="J999" s="3">
        <f>$D999*TCA!J999/100</f>
        <v>0</v>
      </c>
      <c r="K999" s="3">
        <f>$D999*TCA!K999/100</f>
        <v>0</v>
      </c>
      <c r="L999" s="3">
        <f>$D999*TCA!L999/100</f>
        <v>0</v>
      </c>
      <c r="M999" s="3">
        <f>$D999*TCA!M999/100</f>
        <v>0</v>
      </c>
      <c r="N999" s="3">
        <f>$D999*TCA!N999/100</f>
        <v>0</v>
      </c>
      <c r="O999" s="3">
        <f>$D999*TCA!O999/100</f>
        <v>0</v>
      </c>
      <c r="P999" s="3">
        <f t="shared" si="15"/>
        <v>0</v>
      </c>
      <c r="Q999" s="3">
        <f>$D999*TCA!P999/100</f>
        <v>0</v>
      </c>
      <c r="R999" s="3">
        <f>$D999*TCA!Q999/100</f>
        <v>0</v>
      </c>
      <c r="S999" s="3">
        <f>$D999*TCA!R999/100</f>
        <v>0</v>
      </c>
      <c r="T999" s="3">
        <f>$D999*TCA!S999/100</f>
        <v>260</v>
      </c>
      <c r="U999" s="3">
        <f>$D999*TCA!T999/100</f>
        <v>0</v>
      </c>
      <c r="V999" s="3">
        <f>$D999*TCA!U999/100</f>
        <v>0</v>
      </c>
      <c r="W999" s="3">
        <f>$D999*TCA!V999/100</f>
        <v>0</v>
      </c>
      <c r="X999" s="3">
        <f>$D999*TCA!W999/100</f>
        <v>0</v>
      </c>
    </row>
    <row r="1000" spans="1:24" x14ac:dyDescent="0.25">
      <c r="A1000" s="3" t="s">
        <v>2035</v>
      </c>
      <c r="B1000" s="3" t="s">
        <v>1974</v>
      </c>
      <c r="C1000" s="3" t="s">
        <v>1975</v>
      </c>
      <c r="D1000" s="3">
        <v>100</v>
      </c>
      <c r="E1000" s="3">
        <f>$D1000*TCA!E1000/100</f>
        <v>46</v>
      </c>
      <c r="F1000" s="3">
        <f>$D1000*TCA!F1000/100</f>
        <v>0</v>
      </c>
      <c r="G1000" s="3">
        <f>$D1000*TCA!G1000/100</f>
        <v>0</v>
      </c>
      <c r="H1000" s="3">
        <f>$D1000*TCA!H1000/100</f>
        <v>11.5</v>
      </c>
      <c r="I1000" s="3">
        <f>$D1000*TCA!I1000/100</f>
        <v>0</v>
      </c>
      <c r="J1000" s="3">
        <f>$D1000*TCA!J1000/100</f>
        <v>0</v>
      </c>
      <c r="K1000" s="3">
        <f>$D1000*TCA!K1000/100</f>
        <v>0</v>
      </c>
      <c r="L1000" s="3">
        <f>$D1000*TCA!L1000/100</f>
        <v>0</v>
      </c>
      <c r="M1000" s="3">
        <f>$D1000*TCA!M1000/100</f>
        <v>0</v>
      </c>
      <c r="N1000" s="3">
        <f>$D1000*TCA!N1000/100</f>
        <v>0</v>
      </c>
      <c r="O1000" s="3">
        <f>$D1000*TCA!O1000/100</f>
        <v>0</v>
      </c>
      <c r="P1000" s="3" t="e">
        <f t="shared" si="15"/>
        <v>#DIV/0!</v>
      </c>
      <c r="Q1000" s="3">
        <f>$D1000*TCA!P1000/100</f>
        <v>0</v>
      </c>
      <c r="R1000" s="3">
        <f>$D1000*TCA!Q1000/100</f>
        <v>0</v>
      </c>
      <c r="S1000" s="3">
        <f>$D1000*TCA!R1000/100</f>
        <v>0</v>
      </c>
      <c r="T1000" s="3">
        <f>$D1000*TCA!S1000/100</f>
        <v>17.5</v>
      </c>
      <c r="U1000" s="3">
        <f>$D1000*TCA!T1000/100</f>
        <v>0</v>
      </c>
      <c r="V1000" s="3">
        <f>$D1000*TCA!U1000/100</f>
        <v>0</v>
      </c>
      <c r="W1000" s="3">
        <f>$D1000*TCA!V1000/100</f>
        <v>0</v>
      </c>
      <c r="X1000" s="3">
        <f>$D1000*TCA!W1000/100</f>
        <v>0</v>
      </c>
    </row>
    <row r="1001" spans="1:24" x14ac:dyDescent="0.25">
      <c r="A1001" s="3" t="s">
        <v>2035</v>
      </c>
      <c r="B1001" s="3" t="s">
        <v>1976</v>
      </c>
      <c r="C1001" s="3" t="s">
        <v>1977</v>
      </c>
      <c r="D1001" s="3">
        <v>100</v>
      </c>
      <c r="E1001" s="3">
        <f>$D1001*TCA!E1001/100</f>
        <v>57.6</v>
      </c>
      <c r="F1001" s="3">
        <f>$D1001*TCA!F1001/100</f>
        <v>0</v>
      </c>
      <c r="G1001" s="3">
        <f>$D1001*TCA!G1001/100</f>
        <v>0</v>
      </c>
      <c r="H1001" s="3">
        <f>$D1001*TCA!H1001/100</f>
        <v>14.4</v>
      </c>
      <c r="I1001" s="3">
        <f>$D1001*TCA!I1001/100</f>
        <v>0</v>
      </c>
      <c r="J1001" s="3">
        <f>$D1001*TCA!J1001/100</f>
        <v>0</v>
      </c>
      <c r="K1001" s="3">
        <f>$D1001*TCA!K1001/100</f>
        <v>0</v>
      </c>
      <c r="L1001" s="3">
        <f>$D1001*TCA!L1001/100</f>
        <v>0</v>
      </c>
      <c r="M1001" s="3">
        <f>$D1001*TCA!M1001/100</f>
        <v>0</v>
      </c>
      <c r="N1001" s="3">
        <f>$D1001*TCA!N1001/100</f>
        <v>0</v>
      </c>
      <c r="O1001" s="3">
        <f>$D1001*TCA!O1001/100</f>
        <v>0</v>
      </c>
      <c r="P1001" s="3" t="e">
        <f t="shared" si="15"/>
        <v>#DIV/0!</v>
      </c>
      <c r="Q1001" s="3">
        <f>$D1001*TCA!P1001/100</f>
        <v>0</v>
      </c>
      <c r="R1001" s="3">
        <f>$D1001*TCA!Q1001/100</f>
        <v>0</v>
      </c>
      <c r="S1001" s="3">
        <f>$D1001*TCA!R1001/100</f>
        <v>0</v>
      </c>
      <c r="T1001" s="3">
        <f>$D1001*TCA!S1001/100</f>
        <v>0</v>
      </c>
      <c r="U1001" s="3">
        <f>$D1001*TCA!T1001/100</f>
        <v>0</v>
      </c>
      <c r="V1001" s="3">
        <f>$D1001*TCA!U1001/100</f>
        <v>0</v>
      </c>
      <c r="W1001" s="3">
        <f>$D1001*TCA!V1001/100</f>
        <v>0</v>
      </c>
      <c r="X1001" s="3">
        <f>$D1001*TCA!W1001/100</f>
        <v>0</v>
      </c>
    </row>
    <row r="1002" spans="1:24" x14ac:dyDescent="0.25">
      <c r="A1002" s="3" t="s">
        <v>2035</v>
      </c>
      <c r="B1002" s="3" t="s">
        <v>1978</v>
      </c>
      <c r="C1002" s="3" t="s">
        <v>1979</v>
      </c>
      <c r="D1002" s="3">
        <v>100</v>
      </c>
      <c r="E1002" s="3">
        <f>$D1002*TCA!E1002/100</f>
        <v>42</v>
      </c>
      <c r="F1002" s="3">
        <f>$D1002*TCA!F1002/100</f>
        <v>1</v>
      </c>
      <c r="G1002" s="3">
        <f>$D1002*TCA!G1002/100</f>
        <v>0</v>
      </c>
      <c r="H1002" s="3">
        <f>$D1002*TCA!H1002/100</f>
        <v>9.5</v>
      </c>
      <c r="I1002" s="3">
        <f>$D1002*TCA!I1002/100</f>
        <v>1</v>
      </c>
      <c r="J1002" s="3">
        <f>$D1002*TCA!J1002/100</f>
        <v>0</v>
      </c>
      <c r="K1002" s="3">
        <f>$D1002*TCA!K1002/100</f>
        <v>0</v>
      </c>
      <c r="L1002" s="3">
        <f>$D1002*TCA!L1002/100</f>
        <v>0</v>
      </c>
      <c r="M1002" s="3">
        <f>$D1002*TCA!M1002/100</f>
        <v>0</v>
      </c>
      <c r="N1002" s="3">
        <f>$D1002*TCA!N1002/100</f>
        <v>0</v>
      </c>
      <c r="O1002" s="3">
        <f>$D1002*TCA!O1002/100</f>
        <v>0</v>
      </c>
      <c r="P1002" s="3">
        <f t="shared" si="15"/>
        <v>0</v>
      </c>
      <c r="Q1002" s="3">
        <f>$D1002*TCA!P1002/100</f>
        <v>0</v>
      </c>
      <c r="R1002" s="3">
        <f>$D1002*TCA!Q1002/100</f>
        <v>0</v>
      </c>
      <c r="S1002" s="3">
        <f>$D1002*TCA!R1002/100</f>
        <v>0</v>
      </c>
      <c r="T1002" s="3">
        <f>$D1002*TCA!S1002/100</f>
        <v>0</v>
      </c>
      <c r="U1002" s="3">
        <f>$D1002*TCA!T1002/100</f>
        <v>0</v>
      </c>
      <c r="V1002" s="3">
        <f>$D1002*TCA!U1002/100</f>
        <v>0</v>
      </c>
      <c r="W1002" s="3">
        <f>$D1002*TCA!V1002/100</f>
        <v>0</v>
      </c>
      <c r="X1002" s="3">
        <f>$D1002*TCA!W1002/100</f>
        <v>0</v>
      </c>
    </row>
    <row r="1003" spans="1:24" x14ac:dyDescent="0.25">
      <c r="A1003" s="3" t="s">
        <v>2035</v>
      </c>
      <c r="B1003" s="3" t="s">
        <v>1980</v>
      </c>
      <c r="C1003" s="3" t="s">
        <v>1981</v>
      </c>
      <c r="D1003" s="3">
        <v>100</v>
      </c>
      <c r="E1003" s="3">
        <f>$D1003*TCA!E1003/100</f>
        <v>51.67</v>
      </c>
      <c r="F1003" s="3">
        <f>$D1003*TCA!F1003/100</f>
        <v>0.42</v>
      </c>
      <c r="G1003" s="3">
        <f>$D1003*TCA!G1003/100</f>
        <v>0</v>
      </c>
      <c r="H1003" s="3">
        <f>$D1003*TCA!H1003/100</f>
        <v>12.5</v>
      </c>
      <c r="I1003" s="3">
        <f>$D1003*TCA!I1003/100</f>
        <v>0</v>
      </c>
      <c r="J1003" s="3">
        <f>$D1003*TCA!J1003/100</f>
        <v>0</v>
      </c>
      <c r="K1003" s="3">
        <f>$D1003*TCA!K1003/100</f>
        <v>0</v>
      </c>
      <c r="L1003" s="3">
        <f>$D1003*TCA!L1003/100</f>
        <v>0</v>
      </c>
      <c r="M1003" s="3">
        <f>$D1003*TCA!M1003/100</f>
        <v>0</v>
      </c>
      <c r="N1003" s="3">
        <f>$D1003*TCA!N1003/100</f>
        <v>0</v>
      </c>
      <c r="O1003" s="3">
        <f>$D1003*TCA!O1003/100</f>
        <v>0</v>
      </c>
      <c r="P1003" s="3">
        <f t="shared" si="15"/>
        <v>0</v>
      </c>
      <c r="Q1003" s="3">
        <f>$D1003*TCA!P1003/100</f>
        <v>0</v>
      </c>
      <c r="R1003" s="3">
        <f>$D1003*TCA!Q1003/100</f>
        <v>0</v>
      </c>
      <c r="S1003" s="3">
        <f>$D1003*TCA!R1003/100</f>
        <v>0</v>
      </c>
      <c r="T1003" s="3">
        <f>$D1003*TCA!S1003/100</f>
        <v>0</v>
      </c>
      <c r="U1003" s="3">
        <f>$D1003*TCA!T1003/100</f>
        <v>0</v>
      </c>
      <c r="V1003" s="3">
        <f>$D1003*TCA!U1003/100</f>
        <v>0</v>
      </c>
      <c r="W1003" s="3">
        <f>$D1003*TCA!V1003/100</f>
        <v>0</v>
      </c>
      <c r="X1003" s="3">
        <f>$D1003*TCA!W1003/100</f>
        <v>0</v>
      </c>
    </row>
    <row r="1004" spans="1:24" x14ac:dyDescent="0.25">
      <c r="A1004" s="3" t="s">
        <v>2035</v>
      </c>
      <c r="B1004" s="3" t="s">
        <v>1982</v>
      </c>
      <c r="C1004" s="3" t="s">
        <v>1983</v>
      </c>
      <c r="D1004" s="3">
        <v>100</v>
      </c>
      <c r="E1004" s="3">
        <f>$D1004*TCA!E1004/100</f>
        <v>47.62</v>
      </c>
      <c r="F1004" s="3">
        <f>$D1004*TCA!F1004/100</f>
        <v>2.38</v>
      </c>
      <c r="G1004" s="3">
        <f>$D1004*TCA!G1004/100</f>
        <v>0</v>
      </c>
      <c r="H1004" s="3">
        <f>$D1004*TCA!H1004/100</f>
        <v>9.52</v>
      </c>
      <c r="I1004" s="3">
        <f>$D1004*TCA!I1004/100</f>
        <v>0</v>
      </c>
      <c r="J1004" s="3">
        <f>$D1004*TCA!J1004/100</f>
        <v>0</v>
      </c>
      <c r="K1004" s="3">
        <f>$D1004*TCA!K1004/100</f>
        <v>0</v>
      </c>
      <c r="L1004" s="3">
        <f>$D1004*TCA!L1004/100</f>
        <v>0</v>
      </c>
      <c r="M1004" s="3">
        <f>$D1004*TCA!M1004/100</f>
        <v>0</v>
      </c>
      <c r="N1004" s="3">
        <f>$D1004*TCA!N1004/100</f>
        <v>0</v>
      </c>
      <c r="O1004" s="3">
        <f>$D1004*TCA!O1004/100</f>
        <v>0</v>
      </c>
      <c r="P1004" s="3">
        <f t="shared" si="15"/>
        <v>0</v>
      </c>
      <c r="Q1004" s="3">
        <f>$D1004*TCA!P1004/100</f>
        <v>0</v>
      </c>
      <c r="R1004" s="3">
        <f>$D1004*TCA!Q1004/100</f>
        <v>0</v>
      </c>
      <c r="S1004" s="3">
        <f>$D1004*TCA!R1004/100</f>
        <v>0</v>
      </c>
      <c r="T1004" s="3">
        <f>$D1004*TCA!S1004/100</f>
        <v>821.43</v>
      </c>
      <c r="U1004" s="3">
        <f>$D1004*TCA!T1004/100</f>
        <v>0</v>
      </c>
      <c r="V1004" s="3">
        <f>$D1004*TCA!U1004/100</f>
        <v>0</v>
      </c>
      <c r="W1004" s="3">
        <f>$D1004*TCA!V1004/100</f>
        <v>0</v>
      </c>
      <c r="X1004" s="3">
        <f>$D1004*TCA!W1004/100</f>
        <v>0</v>
      </c>
    </row>
    <row r="1005" spans="1:24" x14ac:dyDescent="0.25">
      <c r="A1005" s="3" t="s">
        <v>2035</v>
      </c>
      <c r="B1005" s="3" t="s">
        <v>1984</v>
      </c>
      <c r="C1005" s="3" t="s">
        <v>1985</v>
      </c>
      <c r="D1005" s="3">
        <v>100</v>
      </c>
      <c r="E1005" s="3">
        <f>$D1005*TCA!E1005/100</f>
        <v>12</v>
      </c>
      <c r="F1005" s="3">
        <f>$D1005*TCA!F1005/100</f>
        <v>1</v>
      </c>
      <c r="G1005" s="3">
        <f>$D1005*TCA!G1005/100</f>
        <v>0</v>
      </c>
      <c r="H1005" s="3">
        <f>$D1005*TCA!H1005/100</f>
        <v>2</v>
      </c>
      <c r="I1005" s="3">
        <f>$D1005*TCA!I1005/100</f>
        <v>0.5</v>
      </c>
      <c r="J1005" s="3">
        <f>$D1005*TCA!J1005/100</f>
        <v>0</v>
      </c>
      <c r="K1005" s="3">
        <f>$D1005*TCA!K1005/100</f>
        <v>0</v>
      </c>
      <c r="L1005" s="3">
        <f>$D1005*TCA!L1005/100</f>
        <v>0</v>
      </c>
      <c r="M1005" s="3">
        <f>$D1005*TCA!M1005/100</f>
        <v>0</v>
      </c>
      <c r="N1005" s="3">
        <f>$D1005*TCA!N1005/100</f>
        <v>0</v>
      </c>
      <c r="O1005" s="3">
        <f>$D1005*TCA!O1005/100</f>
        <v>0</v>
      </c>
      <c r="P1005" s="3">
        <f t="shared" si="15"/>
        <v>0</v>
      </c>
      <c r="Q1005" s="3">
        <f>$D1005*TCA!P1005/100</f>
        <v>0</v>
      </c>
      <c r="R1005" s="3">
        <f>$D1005*TCA!Q1005/100</f>
        <v>0</v>
      </c>
      <c r="S1005" s="3">
        <f>$D1005*TCA!R1005/100</f>
        <v>0</v>
      </c>
      <c r="T1005" s="3">
        <f>$D1005*TCA!S1005/100</f>
        <v>0.5</v>
      </c>
      <c r="U1005" s="3">
        <f>$D1005*TCA!T1005/100</f>
        <v>0</v>
      </c>
      <c r="V1005" s="3">
        <f>$D1005*TCA!U1005/100</f>
        <v>0</v>
      </c>
      <c r="W1005" s="3">
        <f>$D1005*TCA!V1005/100</f>
        <v>0</v>
      </c>
      <c r="X1005" s="3">
        <f>$D1005*TCA!W1005/100</f>
        <v>0</v>
      </c>
    </row>
    <row r="1006" spans="1:24" x14ac:dyDescent="0.25">
      <c r="A1006" s="3" t="s">
        <v>2035</v>
      </c>
      <c r="B1006" s="3" t="s">
        <v>1986</v>
      </c>
      <c r="C1006" s="3" t="s">
        <v>1987</v>
      </c>
      <c r="D1006" s="3">
        <v>100</v>
      </c>
      <c r="E1006" s="3">
        <f>$D1006*TCA!E1006/100</f>
        <v>38.33</v>
      </c>
      <c r="F1006" s="3">
        <f>$D1006*TCA!F1006/100</f>
        <v>0</v>
      </c>
      <c r="G1006" s="3">
        <f>$D1006*TCA!G1006/100</f>
        <v>0</v>
      </c>
      <c r="H1006" s="3">
        <f>$D1006*TCA!H1006/100</f>
        <v>9.58</v>
      </c>
      <c r="I1006" s="3">
        <f>$D1006*TCA!I1006/100</f>
        <v>0</v>
      </c>
      <c r="J1006" s="3">
        <f>$D1006*TCA!J1006/100</f>
        <v>0</v>
      </c>
      <c r="K1006" s="3">
        <f>$D1006*TCA!K1006/100</f>
        <v>0</v>
      </c>
      <c r="L1006" s="3">
        <f>$D1006*TCA!L1006/100</f>
        <v>0</v>
      </c>
      <c r="M1006" s="3">
        <f>$D1006*TCA!M1006/100</f>
        <v>0</v>
      </c>
      <c r="N1006" s="3">
        <f>$D1006*TCA!N1006/100</f>
        <v>0</v>
      </c>
      <c r="O1006" s="3">
        <f>$D1006*TCA!O1006/100</f>
        <v>0</v>
      </c>
      <c r="P1006" s="3" t="e">
        <f t="shared" si="15"/>
        <v>#DIV/0!</v>
      </c>
      <c r="Q1006" s="3">
        <f>$D1006*TCA!P1006/100</f>
        <v>0</v>
      </c>
      <c r="R1006" s="3">
        <f>$D1006*TCA!Q1006/100</f>
        <v>0</v>
      </c>
      <c r="S1006" s="3">
        <f>$D1006*TCA!R1006/100</f>
        <v>0</v>
      </c>
      <c r="T1006" s="3">
        <f>$D1006*TCA!S1006/100</f>
        <v>25</v>
      </c>
      <c r="U1006" s="3">
        <f>$D1006*TCA!T1006/100</f>
        <v>0</v>
      </c>
      <c r="V1006" s="3">
        <f>$D1006*TCA!U1006/100</f>
        <v>0</v>
      </c>
      <c r="W1006" s="3">
        <f>$D1006*TCA!V1006/100</f>
        <v>0</v>
      </c>
      <c r="X1006" s="3">
        <f>$D1006*TCA!W1006/100</f>
        <v>0</v>
      </c>
    </row>
    <row r="1007" spans="1:24" x14ac:dyDescent="0.25">
      <c r="A1007" s="3" t="s">
        <v>2035</v>
      </c>
      <c r="B1007" s="3" t="s">
        <v>1988</v>
      </c>
      <c r="C1007" s="3" t="s">
        <v>1989</v>
      </c>
      <c r="D1007" s="3">
        <v>100</v>
      </c>
      <c r="E1007" s="3">
        <f>$D1007*TCA!E1007/100</f>
        <v>46</v>
      </c>
      <c r="F1007" s="3">
        <f>$D1007*TCA!F1007/100</f>
        <v>0</v>
      </c>
      <c r="G1007" s="3">
        <f>$D1007*TCA!G1007/100</f>
        <v>0</v>
      </c>
      <c r="H1007" s="3">
        <f>$D1007*TCA!H1007/100</f>
        <v>11.5</v>
      </c>
      <c r="I1007" s="3">
        <f>$D1007*TCA!I1007/100</f>
        <v>0</v>
      </c>
      <c r="J1007" s="3">
        <f>$D1007*TCA!J1007/100</f>
        <v>0</v>
      </c>
      <c r="K1007" s="3">
        <f>$D1007*TCA!K1007/100</f>
        <v>0</v>
      </c>
      <c r="L1007" s="3">
        <f>$D1007*TCA!L1007/100</f>
        <v>0</v>
      </c>
      <c r="M1007" s="3">
        <f>$D1007*TCA!M1007/100</f>
        <v>0</v>
      </c>
      <c r="N1007" s="3">
        <f>$D1007*TCA!N1007/100</f>
        <v>0</v>
      </c>
      <c r="O1007" s="3">
        <f>$D1007*TCA!O1007/100</f>
        <v>0</v>
      </c>
      <c r="P1007" s="3" t="e">
        <f t="shared" si="15"/>
        <v>#DIV/0!</v>
      </c>
      <c r="Q1007" s="3">
        <f>$D1007*TCA!P1007/100</f>
        <v>0</v>
      </c>
      <c r="R1007" s="3">
        <f>$D1007*TCA!Q1007/100</f>
        <v>0</v>
      </c>
      <c r="S1007" s="3">
        <f>$D1007*TCA!R1007/100</f>
        <v>0</v>
      </c>
      <c r="T1007" s="3">
        <f>$D1007*TCA!S1007/100</f>
        <v>65</v>
      </c>
      <c r="U1007" s="3">
        <f>$D1007*TCA!T1007/100</f>
        <v>0</v>
      </c>
      <c r="V1007" s="3">
        <f>$D1007*TCA!U1007/100</f>
        <v>0</v>
      </c>
      <c r="W1007" s="3">
        <f>$D1007*TCA!V1007/100</f>
        <v>0</v>
      </c>
      <c r="X1007" s="3">
        <f>$D1007*TCA!W1007/100</f>
        <v>0</v>
      </c>
    </row>
    <row r="1008" spans="1:24" x14ac:dyDescent="0.25">
      <c r="A1008" s="3" t="s">
        <v>2035</v>
      </c>
      <c r="B1008" s="3" t="s">
        <v>1990</v>
      </c>
      <c r="C1008" s="3" t="s">
        <v>1991</v>
      </c>
      <c r="D1008" s="3">
        <v>100</v>
      </c>
      <c r="E1008" s="3">
        <f>$D1008*TCA!E1008/100</f>
        <v>48</v>
      </c>
      <c r="F1008" s="3">
        <f>$D1008*TCA!F1008/100</f>
        <v>0</v>
      </c>
      <c r="G1008" s="3">
        <f>$D1008*TCA!G1008/100</f>
        <v>0</v>
      </c>
      <c r="H1008" s="3">
        <f>$D1008*TCA!H1008/100</f>
        <v>12</v>
      </c>
      <c r="I1008" s="3">
        <f>$D1008*TCA!I1008/100</f>
        <v>0</v>
      </c>
      <c r="J1008" s="3">
        <f>$D1008*TCA!J1008/100</f>
        <v>0</v>
      </c>
      <c r="K1008" s="3">
        <f>$D1008*TCA!K1008/100</f>
        <v>0</v>
      </c>
      <c r="L1008" s="3">
        <f>$D1008*TCA!L1008/100</f>
        <v>0</v>
      </c>
      <c r="M1008" s="3">
        <f>$D1008*TCA!M1008/100</f>
        <v>0</v>
      </c>
      <c r="N1008" s="3">
        <f>$D1008*TCA!N1008/100</f>
        <v>0</v>
      </c>
      <c r="O1008" s="3">
        <f>$D1008*TCA!O1008/100</f>
        <v>0</v>
      </c>
      <c r="P1008" s="3" t="e">
        <f t="shared" si="15"/>
        <v>#DIV/0!</v>
      </c>
      <c r="Q1008" s="3">
        <f>$D1008*TCA!P1008/100</f>
        <v>0</v>
      </c>
      <c r="R1008" s="3">
        <f>$D1008*TCA!Q1008/100</f>
        <v>0</v>
      </c>
      <c r="S1008" s="3">
        <f>$D1008*TCA!R1008/100</f>
        <v>0</v>
      </c>
      <c r="T1008" s="3">
        <f>$D1008*TCA!S1008/100</f>
        <v>9</v>
      </c>
      <c r="U1008" s="3">
        <f>$D1008*TCA!T1008/100</f>
        <v>0</v>
      </c>
      <c r="V1008" s="3">
        <f>$D1008*TCA!U1008/100</f>
        <v>22.5</v>
      </c>
      <c r="W1008" s="3">
        <f>$D1008*TCA!V1008/100</f>
        <v>0</v>
      </c>
      <c r="X1008" s="3">
        <f>$D1008*TCA!W1008/100</f>
        <v>0</v>
      </c>
    </row>
    <row r="1009" spans="1:24" x14ac:dyDescent="0.25">
      <c r="A1009" s="3" t="s">
        <v>2035</v>
      </c>
      <c r="B1009" s="3" t="s">
        <v>1992</v>
      </c>
      <c r="C1009" s="3" t="s">
        <v>1993</v>
      </c>
      <c r="D1009" s="3">
        <v>100</v>
      </c>
      <c r="E1009" s="3">
        <f>$D1009*TCA!E1009/100</f>
        <v>0</v>
      </c>
      <c r="F1009" s="3">
        <f>$D1009*TCA!F1009/100</f>
        <v>0</v>
      </c>
      <c r="G1009" s="3">
        <f>$D1009*TCA!G1009/100</f>
        <v>0</v>
      </c>
      <c r="H1009" s="3">
        <f>$D1009*TCA!H1009/100</f>
        <v>0</v>
      </c>
      <c r="I1009" s="3">
        <f>$D1009*TCA!I1009/100</f>
        <v>0</v>
      </c>
      <c r="J1009" s="3">
        <f>$D1009*TCA!J1009/100</f>
        <v>0</v>
      </c>
      <c r="K1009" s="3">
        <f>$D1009*TCA!K1009/100</f>
        <v>0</v>
      </c>
      <c r="L1009" s="3">
        <f>$D1009*TCA!L1009/100</f>
        <v>0</v>
      </c>
      <c r="M1009" s="3">
        <f>$D1009*TCA!M1009/100</f>
        <v>0</v>
      </c>
      <c r="N1009" s="3">
        <f>$D1009*TCA!N1009/100</f>
        <v>0</v>
      </c>
      <c r="O1009" s="3">
        <f>$D1009*TCA!O1009/100</f>
        <v>0</v>
      </c>
      <c r="P1009" s="3" t="e">
        <f t="shared" si="15"/>
        <v>#DIV/0!</v>
      </c>
      <c r="Q1009" s="3">
        <f>$D1009*TCA!P1009/100</f>
        <v>0</v>
      </c>
      <c r="R1009" s="3">
        <f>$D1009*TCA!Q1009/100</f>
        <v>0</v>
      </c>
      <c r="S1009" s="3">
        <f>$D1009*TCA!R1009/100</f>
        <v>0</v>
      </c>
      <c r="T1009" s="3">
        <f>$D1009*TCA!S1009/100</f>
        <v>0</v>
      </c>
      <c r="U1009" s="3">
        <f>$D1009*TCA!T1009/100</f>
        <v>0</v>
      </c>
      <c r="V1009" s="3">
        <f>$D1009*TCA!U1009/100</f>
        <v>0</v>
      </c>
      <c r="W1009" s="3">
        <f>$D1009*TCA!V1009/100</f>
        <v>0</v>
      </c>
      <c r="X1009" s="3">
        <f>$D1009*TCA!W1009/100</f>
        <v>0</v>
      </c>
    </row>
    <row r="1010" spans="1:24" x14ac:dyDescent="0.25">
      <c r="A1010" s="3" t="s">
        <v>2035</v>
      </c>
      <c r="B1010" s="3" t="s">
        <v>1994</v>
      </c>
      <c r="C1010" s="3" t="s">
        <v>1995</v>
      </c>
      <c r="D1010" s="3">
        <v>100</v>
      </c>
      <c r="E1010" s="3">
        <f>$D1010*TCA!E1010/100</f>
        <v>0</v>
      </c>
      <c r="F1010" s="3">
        <f>$D1010*TCA!F1010/100</f>
        <v>0</v>
      </c>
      <c r="G1010" s="3">
        <f>$D1010*TCA!G1010/100</f>
        <v>0</v>
      </c>
      <c r="H1010" s="3">
        <f>$D1010*TCA!H1010/100</f>
        <v>0</v>
      </c>
      <c r="I1010" s="3">
        <f>$D1010*TCA!I1010/100</f>
        <v>0</v>
      </c>
      <c r="J1010" s="3">
        <f>$D1010*TCA!J1010/100</f>
        <v>0</v>
      </c>
      <c r="K1010" s="3">
        <f>$D1010*TCA!K1010/100</f>
        <v>0</v>
      </c>
      <c r="L1010" s="3">
        <f>$D1010*TCA!L1010/100</f>
        <v>0</v>
      </c>
      <c r="M1010" s="3">
        <f>$D1010*TCA!M1010/100</f>
        <v>0</v>
      </c>
      <c r="N1010" s="3">
        <f>$D1010*TCA!N1010/100</f>
        <v>0</v>
      </c>
      <c r="O1010" s="3">
        <f>$D1010*TCA!O1010/100</f>
        <v>0</v>
      </c>
      <c r="P1010" s="3" t="e">
        <f t="shared" si="15"/>
        <v>#DIV/0!</v>
      </c>
      <c r="Q1010" s="3">
        <f>$D1010*TCA!P1010/100</f>
        <v>0</v>
      </c>
      <c r="R1010" s="3">
        <f>$D1010*TCA!Q1010/100</f>
        <v>0</v>
      </c>
      <c r="S1010" s="3">
        <f>$D1010*TCA!R1010/100</f>
        <v>0</v>
      </c>
      <c r="T1010" s="3">
        <f>$D1010*TCA!S1010/100</f>
        <v>2.5</v>
      </c>
      <c r="U1010" s="3">
        <f>$D1010*TCA!T1010/100</f>
        <v>0</v>
      </c>
      <c r="V1010" s="3">
        <f>$D1010*TCA!U1010/100</f>
        <v>0</v>
      </c>
      <c r="W1010" s="3">
        <f>$D1010*TCA!V1010/100</f>
        <v>0</v>
      </c>
      <c r="X1010" s="3">
        <f>$D1010*TCA!W1010/100</f>
        <v>0</v>
      </c>
    </row>
    <row r="1011" spans="1:24" x14ac:dyDescent="0.25">
      <c r="A1011" s="3" t="s">
        <v>2035</v>
      </c>
      <c r="B1011" s="3" t="s">
        <v>1996</v>
      </c>
      <c r="C1011" s="3" t="s">
        <v>1997</v>
      </c>
      <c r="D1011" s="3">
        <v>100</v>
      </c>
      <c r="E1011" s="3">
        <f>$D1011*TCA!E1011/100</f>
        <v>13.33</v>
      </c>
      <c r="F1011" s="3">
        <f>$D1011*TCA!F1011/100</f>
        <v>0</v>
      </c>
      <c r="G1011" s="3">
        <f>$D1011*TCA!G1011/100</f>
        <v>0</v>
      </c>
      <c r="H1011" s="3">
        <f>$D1011*TCA!H1011/100</f>
        <v>3.33</v>
      </c>
      <c r="I1011" s="3">
        <f>$D1011*TCA!I1011/100</f>
        <v>0</v>
      </c>
      <c r="J1011" s="3">
        <f>$D1011*TCA!J1011/100</f>
        <v>0</v>
      </c>
      <c r="K1011" s="3">
        <f>$D1011*TCA!K1011/100</f>
        <v>0</v>
      </c>
      <c r="L1011" s="3">
        <f>$D1011*TCA!L1011/100</f>
        <v>0</v>
      </c>
      <c r="M1011" s="3">
        <f>$D1011*TCA!M1011/100</f>
        <v>0</v>
      </c>
      <c r="N1011" s="3">
        <f>$D1011*TCA!N1011/100</f>
        <v>0</v>
      </c>
      <c r="O1011" s="3">
        <f>$D1011*TCA!O1011/100</f>
        <v>0</v>
      </c>
      <c r="P1011" s="3" t="e">
        <f t="shared" si="15"/>
        <v>#DIV/0!</v>
      </c>
      <c r="Q1011" s="3">
        <f>$D1011*TCA!P1011/100</f>
        <v>0</v>
      </c>
      <c r="R1011" s="3">
        <f>$D1011*TCA!Q1011/100</f>
        <v>0</v>
      </c>
      <c r="S1011" s="3">
        <f>$D1011*TCA!R1011/100</f>
        <v>0</v>
      </c>
      <c r="T1011" s="3">
        <f>$D1011*TCA!S1011/100</f>
        <v>8.33</v>
      </c>
      <c r="U1011" s="3">
        <f>$D1011*TCA!T1011/100</f>
        <v>0</v>
      </c>
      <c r="V1011" s="3">
        <f>$D1011*TCA!U1011/100</f>
        <v>0</v>
      </c>
      <c r="W1011" s="3">
        <f>$D1011*TCA!V1011/100</f>
        <v>0</v>
      </c>
      <c r="X1011" s="3">
        <f>$D1011*TCA!W1011/100</f>
        <v>0</v>
      </c>
    </row>
    <row r="1012" spans="1:24" x14ac:dyDescent="0.25">
      <c r="A1012" s="3" t="s">
        <v>2035</v>
      </c>
      <c r="B1012" s="3" t="s">
        <v>1998</v>
      </c>
      <c r="C1012" s="3" t="s">
        <v>1999</v>
      </c>
      <c r="D1012" s="3">
        <v>100</v>
      </c>
      <c r="E1012" s="3">
        <f>$D1012*TCA!E1012/100</f>
        <v>0</v>
      </c>
      <c r="F1012" s="3">
        <f>$D1012*TCA!F1012/100</f>
        <v>0</v>
      </c>
      <c r="G1012" s="3">
        <f>$D1012*TCA!G1012/100</f>
        <v>0</v>
      </c>
      <c r="H1012" s="3">
        <f>$D1012*TCA!H1012/100</f>
        <v>0</v>
      </c>
      <c r="I1012" s="3">
        <f>$D1012*TCA!I1012/100</f>
        <v>0</v>
      </c>
      <c r="J1012" s="3">
        <f>$D1012*TCA!J1012/100</f>
        <v>0</v>
      </c>
      <c r="K1012" s="3">
        <f>$D1012*TCA!K1012/100</f>
        <v>0</v>
      </c>
      <c r="L1012" s="3">
        <f>$D1012*TCA!L1012/100</f>
        <v>0</v>
      </c>
      <c r="M1012" s="3">
        <f>$D1012*TCA!M1012/100</f>
        <v>0</v>
      </c>
      <c r="N1012" s="3">
        <f>$D1012*TCA!N1012/100</f>
        <v>0</v>
      </c>
      <c r="O1012" s="3">
        <f>$D1012*TCA!O1012/100</f>
        <v>0</v>
      </c>
      <c r="P1012" s="3" t="e">
        <f t="shared" si="15"/>
        <v>#DIV/0!</v>
      </c>
      <c r="Q1012" s="3">
        <f>$D1012*TCA!P1012/100</f>
        <v>0</v>
      </c>
      <c r="R1012" s="3">
        <f>$D1012*TCA!Q1012/100</f>
        <v>0</v>
      </c>
      <c r="S1012" s="3">
        <f>$D1012*TCA!R1012/100</f>
        <v>0</v>
      </c>
      <c r="T1012" s="3">
        <f>$D1012*TCA!S1012/100</f>
        <v>20</v>
      </c>
      <c r="U1012" s="3">
        <f>$D1012*TCA!T1012/100</f>
        <v>0</v>
      </c>
      <c r="V1012" s="3">
        <f>$D1012*TCA!U1012/100</f>
        <v>0</v>
      </c>
      <c r="W1012" s="3">
        <f>$D1012*TCA!V1012/100</f>
        <v>0</v>
      </c>
      <c r="X1012" s="3">
        <f>$D1012*TCA!W1012/100</f>
        <v>0</v>
      </c>
    </row>
    <row r="1013" spans="1:24" x14ac:dyDescent="0.25">
      <c r="A1013" s="3" t="s">
        <v>2035</v>
      </c>
      <c r="B1013" s="3" t="s">
        <v>2000</v>
      </c>
      <c r="C1013" s="3" t="s">
        <v>2001</v>
      </c>
      <c r="D1013" s="3">
        <v>100</v>
      </c>
      <c r="E1013" s="3">
        <f>$D1013*TCA!E1013/100</f>
        <v>0</v>
      </c>
      <c r="F1013" s="3">
        <f>$D1013*TCA!F1013/100</f>
        <v>0</v>
      </c>
      <c r="G1013" s="3">
        <f>$D1013*TCA!G1013/100</f>
        <v>0</v>
      </c>
      <c r="H1013" s="3">
        <f>$D1013*TCA!H1013/100</f>
        <v>0</v>
      </c>
      <c r="I1013" s="3">
        <f>$D1013*TCA!I1013/100</f>
        <v>0</v>
      </c>
      <c r="J1013" s="3">
        <f>$D1013*TCA!J1013/100</f>
        <v>0</v>
      </c>
      <c r="K1013" s="3">
        <f>$D1013*TCA!K1013/100</f>
        <v>0</v>
      </c>
      <c r="L1013" s="3">
        <f>$D1013*TCA!L1013/100</f>
        <v>0</v>
      </c>
      <c r="M1013" s="3">
        <f>$D1013*TCA!M1013/100</f>
        <v>0</v>
      </c>
      <c r="N1013" s="3">
        <f>$D1013*TCA!N1013/100</f>
        <v>0</v>
      </c>
      <c r="O1013" s="3">
        <f>$D1013*TCA!O1013/100</f>
        <v>0</v>
      </c>
      <c r="P1013" s="3" t="e">
        <f t="shared" si="15"/>
        <v>#DIV/0!</v>
      </c>
      <c r="Q1013" s="3">
        <f>$D1013*TCA!P1013/100</f>
        <v>0</v>
      </c>
      <c r="R1013" s="3">
        <f>$D1013*TCA!Q1013/100</f>
        <v>0</v>
      </c>
      <c r="S1013" s="3">
        <f>$D1013*TCA!R1013/100</f>
        <v>0</v>
      </c>
      <c r="T1013" s="3">
        <f>$D1013*TCA!S1013/100</f>
        <v>16.36</v>
      </c>
      <c r="U1013" s="3">
        <f>$D1013*TCA!T1013/100</f>
        <v>0</v>
      </c>
      <c r="V1013" s="3">
        <f>$D1013*TCA!U1013/100</f>
        <v>0</v>
      </c>
      <c r="W1013" s="3">
        <f>$D1013*TCA!V1013/100</f>
        <v>0</v>
      </c>
      <c r="X1013" s="3">
        <f>$D1013*TCA!W1013/100</f>
        <v>0</v>
      </c>
    </row>
    <row r="1014" spans="1:24" x14ac:dyDescent="0.25">
      <c r="A1014" s="3" t="s">
        <v>2035</v>
      </c>
      <c r="B1014" s="3" t="s">
        <v>2002</v>
      </c>
      <c r="C1014" s="3" t="s">
        <v>2003</v>
      </c>
      <c r="D1014" s="3">
        <v>100</v>
      </c>
      <c r="E1014" s="3">
        <f>$D1014*TCA!E1014/100</f>
        <v>8.33</v>
      </c>
      <c r="F1014" s="3">
        <f>$D1014*TCA!F1014/100</f>
        <v>0</v>
      </c>
      <c r="G1014" s="3">
        <f>$D1014*TCA!G1014/100</f>
        <v>0</v>
      </c>
      <c r="H1014" s="3">
        <f>$D1014*TCA!H1014/100</f>
        <v>2.08</v>
      </c>
      <c r="I1014" s="3">
        <f>$D1014*TCA!I1014/100</f>
        <v>0</v>
      </c>
      <c r="J1014" s="3">
        <f>$D1014*TCA!J1014/100</f>
        <v>0</v>
      </c>
      <c r="K1014" s="3">
        <f>$D1014*TCA!K1014/100</f>
        <v>0</v>
      </c>
      <c r="L1014" s="3">
        <f>$D1014*TCA!L1014/100</f>
        <v>0</v>
      </c>
      <c r="M1014" s="3">
        <f>$D1014*TCA!M1014/100</f>
        <v>0</v>
      </c>
      <c r="N1014" s="3">
        <f>$D1014*TCA!N1014/100</f>
        <v>0</v>
      </c>
      <c r="O1014" s="3">
        <f>$D1014*TCA!O1014/100</f>
        <v>0</v>
      </c>
      <c r="P1014" s="3" t="e">
        <f t="shared" si="15"/>
        <v>#DIV/0!</v>
      </c>
      <c r="Q1014" s="3">
        <f>$D1014*TCA!P1014/100</f>
        <v>0</v>
      </c>
      <c r="R1014" s="3">
        <f>$D1014*TCA!Q1014/100</f>
        <v>0</v>
      </c>
      <c r="S1014" s="3">
        <f>$D1014*TCA!R1014/100</f>
        <v>0</v>
      </c>
      <c r="T1014" s="3">
        <f>$D1014*TCA!S1014/100</f>
        <v>6.25</v>
      </c>
      <c r="U1014" s="3">
        <f>$D1014*TCA!T1014/100</f>
        <v>0</v>
      </c>
      <c r="V1014" s="3">
        <f>$D1014*TCA!U1014/100</f>
        <v>0</v>
      </c>
      <c r="W1014" s="3">
        <f>$D1014*TCA!V1014/100</f>
        <v>0</v>
      </c>
      <c r="X1014" s="3">
        <f>$D1014*TCA!W1014/100</f>
        <v>0</v>
      </c>
    </row>
    <row r="1015" spans="1:24" x14ac:dyDescent="0.25">
      <c r="A1015" s="3" t="s">
        <v>2035</v>
      </c>
      <c r="B1015" s="3" t="s">
        <v>2004</v>
      </c>
      <c r="C1015" s="3" t="s">
        <v>2005</v>
      </c>
      <c r="D1015" s="3">
        <v>100</v>
      </c>
      <c r="E1015" s="3">
        <f>$D1015*TCA!E1015/100</f>
        <v>27.2</v>
      </c>
      <c r="F1015" s="3">
        <f>$D1015*TCA!F1015/100</f>
        <v>0</v>
      </c>
      <c r="G1015" s="3">
        <f>$D1015*TCA!G1015/100</f>
        <v>0</v>
      </c>
      <c r="H1015" s="3">
        <f>$D1015*TCA!H1015/100</f>
        <v>6.8</v>
      </c>
      <c r="I1015" s="3">
        <f>$D1015*TCA!I1015/100</f>
        <v>0</v>
      </c>
      <c r="J1015" s="3">
        <f>$D1015*TCA!J1015/100</f>
        <v>0</v>
      </c>
      <c r="K1015" s="3">
        <f>$D1015*TCA!K1015/100</f>
        <v>0</v>
      </c>
      <c r="L1015" s="3">
        <f>$D1015*TCA!L1015/100</f>
        <v>0</v>
      </c>
      <c r="M1015" s="3">
        <f>$D1015*TCA!M1015/100</f>
        <v>0</v>
      </c>
      <c r="N1015" s="3">
        <f>$D1015*TCA!N1015/100</f>
        <v>0</v>
      </c>
      <c r="O1015" s="3">
        <f>$D1015*TCA!O1015/100</f>
        <v>0</v>
      </c>
      <c r="P1015" s="3" t="e">
        <f t="shared" si="15"/>
        <v>#DIV/0!</v>
      </c>
      <c r="Q1015" s="3">
        <f>$D1015*TCA!P1015/100</f>
        <v>0</v>
      </c>
      <c r="R1015" s="3">
        <f>$D1015*TCA!Q1015/100</f>
        <v>0</v>
      </c>
      <c r="S1015" s="3">
        <f>$D1015*TCA!R1015/100</f>
        <v>0</v>
      </c>
      <c r="T1015" s="3">
        <f>$D1015*TCA!S1015/100</f>
        <v>10</v>
      </c>
      <c r="U1015" s="3">
        <f>$D1015*TCA!T1015/100</f>
        <v>0</v>
      </c>
      <c r="V1015" s="3">
        <f>$D1015*TCA!U1015/100</f>
        <v>0</v>
      </c>
      <c r="W1015" s="3">
        <f>$D1015*TCA!V1015/100</f>
        <v>0</v>
      </c>
      <c r="X1015" s="3">
        <f>$D1015*TCA!W1015/100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DCEE-7990-4CDB-A308-29D13F18944F}">
  <dimension ref="A1:AF110"/>
  <sheetViews>
    <sheetView zoomScale="90" zoomScaleNormal="90" workbookViewId="0">
      <selection activeCell="K17" sqref="K17"/>
    </sheetView>
  </sheetViews>
  <sheetFormatPr baseColWidth="10" defaultRowHeight="15" x14ac:dyDescent="0.25"/>
  <cols>
    <col min="1" max="1" width="15.85546875" bestFit="1" customWidth="1"/>
    <col min="2" max="3" width="8.28515625" bestFit="1" customWidth="1"/>
    <col min="5" max="5" width="18.42578125" bestFit="1" customWidth="1"/>
    <col min="6" max="6" width="12.5703125" bestFit="1" customWidth="1"/>
    <col min="7" max="7" width="11.85546875" bestFit="1" customWidth="1"/>
    <col min="8" max="8" width="12.28515625" bestFit="1" customWidth="1"/>
    <col min="9" max="9" width="13.42578125" bestFit="1" customWidth="1"/>
    <col min="10" max="10" width="6.85546875" customWidth="1"/>
    <col min="11" max="11" width="6" customWidth="1"/>
    <col min="12" max="12" width="30.7109375" bestFit="1" customWidth="1"/>
    <col min="13" max="13" width="35" bestFit="1" customWidth="1"/>
    <col min="15" max="15" width="8.140625" bestFit="1" customWidth="1"/>
    <col min="16" max="16" width="7.5703125" bestFit="1" customWidth="1"/>
    <col min="17" max="17" width="10" bestFit="1" customWidth="1"/>
    <col min="18" max="18" width="8.140625" customWidth="1"/>
    <col min="19" max="19" width="8.42578125" customWidth="1"/>
    <col min="20" max="20" width="30.7109375" bestFit="1" customWidth="1"/>
    <col min="21" max="21" width="35" bestFit="1" customWidth="1"/>
    <col min="22" max="22" width="6.42578125" customWidth="1"/>
    <col min="23" max="23" width="37.140625" bestFit="1" customWidth="1"/>
    <col min="24" max="24" width="9.140625" bestFit="1" customWidth="1"/>
    <col min="25" max="25" width="37.7109375" bestFit="1" customWidth="1"/>
    <col min="26" max="26" width="9.140625" bestFit="1" customWidth="1"/>
    <col min="27" max="27" width="30.85546875" bestFit="1" customWidth="1"/>
    <col min="28" max="28" width="9.140625" bestFit="1" customWidth="1"/>
    <col min="29" max="29" width="39" bestFit="1" customWidth="1"/>
    <col min="30" max="30" width="9.140625" bestFit="1" customWidth="1"/>
    <col min="31" max="31" width="39" bestFit="1" customWidth="1"/>
    <col min="32" max="32" width="9.140625" bestFit="1" customWidth="1"/>
  </cols>
  <sheetData>
    <row r="1" spans="1:32" x14ac:dyDescent="0.25">
      <c r="A1" s="92" t="s">
        <v>2039</v>
      </c>
      <c r="B1" s="92"/>
    </row>
    <row r="2" spans="1:32" x14ac:dyDescent="0.25">
      <c r="A2" s="16" t="s">
        <v>2041</v>
      </c>
      <c r="B2" s="17">
        <v>82</v>
      </c>
      <c r="C2" s="18"/>
    </row>
    <row r="3" spans="1:32" x14ac:dyDescent="0.25">
      <c r="A3" s="16" t="s">
        <v>2042</v>
      </c>
      <c r="B3" s="17">
        <v>160</v>
      </c>
      <c r="C3" s="18"/>
      <c r="L3" s="15" t="s">
        <v>2037</v>
      </c>
      <c r="T3" s="15" t="s">
        <v>2037</v>
      </c>
    </row>
    <row r="4" spans="1:32" x14ac:dyDescent="0.25">
      <c r="A4" s="16" t="s">
        <v>2043</v>
      </c>
      <c r="B4" s="20">
        <f>B2/((B3*0.01)^2)</f>
        <v>32.031249999999993</v>
      </c>
      <c r="E4" s="32" t="s">
        <v>2091</v>
      </c>
      <c r="F4" s="32" t="s">
        <v>2092</v>
      </c>
      <c r="G4" s="32" t="s">
        <v>2093</v>
      </c>
      <c r="H4" s="32" t="s">
        <v>2036</v>
      </c>
      <c r="O4" s="36" t="s">
        <v>2115</v>
      </c>
      <c r="P4" s="36" t="s">
        <v>2116</v>
      </c>
      <c r="Q4" s="36" t="s">
        <v>2117</v>
      </c>
      <c r="W4" s="132" t="s">
        <v>2167</v>
      </c>
      <c r="X4" s="132"/>
      <c r="Y4" s="132" t="s">
        <v>2168</v>
      </c>
      <c r="Z4" s="132"/>
      <c r="AA4" s="132" t="s">
        <v>2169</v>
      </c>
      <c r="AB4" s="132"/>
      <c r="AC4" s="132" t="s">
        <v>2170</v>
      </c>
      <c r="AD4" s="132"/>
      <c r="AE4" s="132" t="s">
        <v>2171</v>
      </c>
      <c r="AF4" s="132"/>
    </row>
    <row r="5" spans="1:32" ht="19.5" customHeight="1" x14ac:dyDescent="0.25">
      <c r="A5" s="16" t="s">
        <v>2044</v>
      </c>
      <c r="B5" s="3">
        <v>42</v>
      </c>
      <c r="E5" s="3" t="s">
        <v>2081</v>
      </c>
      <c r="F5" s="30">
        <f>100-F6-F7</f>
        <v>51.079346557759621</v>
      </c>
      <c r="G5" s="30">
        <f>(C10*F5)/100</f>
        <v>700.39999999999986</v>
      </c>
      <c r="H5" s="30">
        <f>G5/4</f>
        <v>175.09999999999997</v>
      </c>
      <c r="L5" s="39" t="s">
        <v>2114</v>
      </c>
      <c r="M5" s="39" t="s">
        <v>2145</v>
      </c>
      <c r="N5" s="40" t="s">
        <v>2146</v>
      </c>
      <c r="O5" s="50">
        <f>G15</f>
        <v>50.028571428571418</v>
      </c>
      <c r="P5" s="50">
        <f t="shared" ref="P5:Q5" si="0">H15</f>
        <v>23.428571428571427</v>
      </c>
      <c r="Q5" s="50">
        <f t="shared" si="0"/>
        <v>10.882539682539681</v>
      </c>
      <c r="T5" s="39" t="s">
        <v>2114</v>
      </c>
      <c r="U5" s="39" t="s">
        <v>2145</v>
      </c>
      <c r="V5" s="40" t="s">
        <v>2176</v>
      </c>
      <c r="W5" s="40" t="s">
        <v>2164</v>
      </c>
      <c r="X5" s="40" t="s">
        <v>2165</v>
      </c>
      <c r="Y5" s="40" t="s">
        <v>2164</v>
      </c>
      <c r="Z5" s="40" t="s">
        <v>2165</v>
      </c>
      <c r="AA5" s="40" t="s">
        <v>2164</v>
      </c>
      <c r="AB5" s="40" t="s">
        <v>2165</v>
      </c>
      <c r="AC5" s="40" t="s">
        <v>2164</v>
      </c>
      <c r="AD5" s="40" t="s">
        <v>2165</v>
      </c>
      <c r="AE5" s="40" t="s">
        <v>2164</v>
      </c>
      <c r="AF5" s="40" t="s">
        <v>2165</v>
      </c>
    </row>
    <row r="6" spans="1:32" x14ac:dyDescent="0.25">
      <c r="A6" s="16" t="s">
        <v>2161</v>
      </c>
      <c r="B6" s="3">
        <v>0</v>
      </c>
      <c r="E6" s="3" t="s">
        <v>2083</v>
      </c>
      <c r="F6" s="30">
        <f>(G6*100)/C10</f>
        <v>23.920653442240376</v>
      </c>
      <c r="G6" s="30">
        <f>H6*4</f>
        <v>328</v>
      </c>
      <c r="H6" s="30">
        <f>B2*B14</f>
        <v>82</v>
      </c>
      <c r="L6" s="128" t="s">
        <v>2118</v>
      </c>
      <c r="M6" s="3" t="s">
        <v>2119</v>
      </c>
      <c r="N6" s="20">
        <v>1</v>
      </c>
      <c r="O6" s="3">
        <f>VLOOKUP($M6,FORMULAS!$O$6:$P$8,2,FALSE)*N6</f>
        <v>30</v>
      </c>
      <c r="P6" s="3">
        <f>VLOOKUP($M6,FORMULAS!$O$6:$Q$8,3,FALSE)*N6</f>
        <v>4</v>
      </c>
      <c r="Q6" s="3">
        <f>VLOOKUP($M6,FORMULAS!$O$6:$R$8,4,FALSE)*N6</f>
        <v>1</v>
      </c>
      <c r="T6" s="128" t="s">
        <v>2118</v>
      </c>
      <c r="U6" s="3" t="str">
        <f t="shared" ref="U6:V9" si="1">M6</f>
        <v>Altos en CHO y bajos en grasas</v>
      </c>
      <c r="V6" s="30">
        <f t="shared" si="1"/>
        <v>1</v>
      </c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5">
      <c r="E7" s="3" t="s">
        <v>2094</v>
      </c>
      <c r="F7" s="30">
        <v>25</v>
      </c>
      <c r="G7" s="30">
        <f>(C10*F7)/100</f>
        <v>342.79999999999995</v>
      </c>
      <c r="H7" s="30">
        <f>G7/9</f>
        <v>38.088888888888881</v>
      </c>
      <c r="L7" s="128"/>
      <c r="M7" s="3" t="s">
        <v>2120</v>
      </c>
      <c r="N7" s="20">
        <v>0</v>
      </c>
      <c r="O7" s="3">
        <f>VLOOKUP($M7,FORMULAS!$O$6:$P$8,2,FALSE)*N7</f>
        <v>0</v>
      </c>
      <c r="P7" s="3">
        <f>VLOOKUP($M7,FORMULAS!$O$6:$Q$8,3,FALSE)*N7</f>
        <v>0</v>
      </c>
      <c r="Q7" s="3">
        <f>VLOOKUP($M7,FORMULAS!$O$6:$R$8,4,FALSE)*N7</f>
        <v>0</v>
      </c>
      <c r="T7" s="128"/>
      <c r="U7" s="3" t="str">
        <f t="shared" si="1"/>
        <v>Medios en CHO y bajos en grasas</v>
      </c>
      <c r="V7" s="30">
        <f t="shared" si="1"/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5">
      <c r="E8" s="21" t="s">
        <v>2095</v>
      </c>
      <c r="F8" s="30">
        <f>SUM(F5:F7)</f>
        <v>100</v>
      </c>
      <c r="G8" s="30">
        <f>SUM(G5:G7)</f>
        <v>1371.1999999999998</v>
      </c>
      <c r="H8" s="30">
        <f>SUM(H5:H7)</f>
        <v>295.18888888888887</v>
      </c>
      <c r="L8" s="124" t="s">
        <v>2026</v>
      </c>
      <c r="M8" s="3" t="s">
        <v>2122</v>
      </c>
      <c r="N8" s="20">
        <v>0</v>
      </c>
      <c r="O8" s="3">
        <f>VLOOKUP($M8,FORMULAS!$O$9:$P$11,2,FALSE)*N8</f>
        <v>0</v>
      </c>
      <c r="P8" s="3">
        <f>VLOOKUP($M8,FORMULAS!$O$9:$Q$11,3,FALSE)*N8</f>
        <v>0</v>
      </c>
      <c r="Q8" s="3">
        <f>VLOOKUP($M8,FORMULAS!$O$9:$R$11,4,FALSE)*N8</f>
        <v>0</v>
      </c>
      <c r="T8" s="124" t="s">
        <v>2026</v>
      </c>
      <c r="U8" s="3" t="str">
        <f t="shared" si="1"/>
        <v>Medias en CHO</v>
      </c>
      <c r="V8" s="30">
        <f t="shared" si="1"/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x14ac:dyDescent="0.25">
      <c r="A9" s="119" t="s">
        <v>2058</v>
      </c>
      <c r="B9" s="119"/>
      <c r="C9" s="119"/>
      <c r="L9" s="124"/>
      <c r="M9" s="3" t="s">
        <v>2123</v>
      </c>
      <c r="N9" s="20">
        <v>2</v>
      </c>
      <c r="O9" s="3">
        <f>VLOOKUP($M9,FORMULAS!$O$9:$P$11,2,FALSE)*N9</f>
        <v>20</v>
      </c>
      <c r="P9" s="3">
        <f>VLOOKUP($M9,FORMULAS!$O$9:$Q$11,3,FALSE)*N9</f>
        <v>2</v>
      </c>
      <c r="Q9" s="3">
        <f>VLOOKUP($M9,FORMULAS!$O$9:$R$11,4,FALSE)*N9</f>
        <v>0</v>
      </c>
      <c r="T9" s="124"/>
      <c r="U9" s="3" t="str">
        <f t="shared" si="1"/>
        <v>Bajas en CHO</v>
      </c>
      <c r="V9" s="30">
        <f t="shared" si="1"/>
        <v>2</v>
      </c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5">
      <c r="A10" s="21" t="s">
        <v>2046</v>
      </c>
      <c r="B10" s="3" t="s">
        <v>2053</v>
      </c>
      <c r="C10" s="20">
        <v>1371.1999999999998</v>
      </c>
      <c r="L10" s="123" t="s">
        <v>2027</v>
      </c>
      <c r="M10" s="3" t="s">
        <v>2125</v>
      </c>
      <c r="N10" s="20">
        <v>0</v>
      </c>
      <c r="O10" s="3">
        <f>VLOOKUP($M10,FORMULAS!$O$12:$P$13,2,FALSE)*N10</f>
        <v>0</v>
      </c>
      <c r="P10" s="3">
        <f>VLOOKUP($M10,FORMULAS!$O$12:$Q$13,3,FALSE)*N10</f>
        <v>0</v>
      </c>
      <c r="Q10" s="3">
        <f>VLOOKUP($M10,FORMULAS!$O$12:$R$13,4,FALSE)*N10</f>
        <v>0</v>
      </c>
      <c r="T10" s="123" t="s">
        <v>2027</v>
      </c>
      <c r="U10" s="3" t="str">
        <f t="shared" ref="U10:V11" si="2">M10</f>
        <v>Bajos en CHO</v>
      </c>
      <c r="V10" s="30">
        <f t="shared" si="2"/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25">
      <c r="L11" s="123"/>
      <c r="M11" s="3" t="s">
        <v>2126</v>
      </c>
      <c r="N11" s="20">
        <v>0</v>
      </c>
      <c r="O11" s="3">
        <f>VLOOKUP($M11,FORMULAS!$O$12:$P$13,2,FALSE)*N11</f>
        <v>0</v>
      </c>
      <c r="P11" s="3">
        <f>VLOOKUP($M11,FORMULAS!$O$12:$Q$13,3,FALSE)*N11</f>
        <v>0</v>
      </c>
      <c r="Q11" s="3">
        <f>VLOOKUP($M11,FORMULAS!$O$12:$R$13,4,FALSE)*N11</f>
        <v>0</v>
      </c>
      <c r="T11" s="123"/>
      <c r="U11" s="3" t="str">
        <f t="shared" si="2"/>
        <v>Libre consumo</v>
      </c>
      <c r="V11" s="30">
        <f t="shared" si="2"/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5">
      <c r="E12" s="120" t="s">
        <v>2104</v>
      </c>
      <c r="F12" s="120"/>
      <c r="G12" s="120"/>
      <c r="H12" s="120"/>
      <c r="I12" s="120"/>
      <c r="L12" s="125" t="s">
        <v>2031</v>
      </c>
      <c r="M12" s="3" t="s">
        <v>2128</v>
      </c>
      <c r="N12" s="20">
        <v>0</v>
      </c>
      <c r="O12" s="3">
        <f>VLOOKUP($M12,FORMULAS!$O$14:$P$18,2,FALSE)*N12</f>
        <v>0</v>
      </c>
      <c r="P12" s="3">
        <f>VLOOKUP($M12,FORMULAS!$O$14:$Q$18,3,FALSE)*N12</f>
        <v>0</v>
      </c>
      <c r="Q12" s="3">
        <f>VLOOKUP($M12,FORMULAS!$O$14:$R$18,4,FALSE)*N12</f>
        <v>0</v>
      </c>
      <c r="T12" s="125" t="s">
        <v>2031</v>
      </c>
      <c r="U12" s="3" t="str">
        <f t="shared" ref="U12:U20" si="3">M12</f>
        <v>Enteros - altos en grasas</v>
      </c>
      <c r="V12" s="30">
        <f t="shared" ref="V12:V20" si="4">N12</f>
        <v>0</v>
      </c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25">
      <c r="A13" s="94" t="s">
        <v>2087</v>
      </c>
      <c r="B13" s="94"/>
      <c r="E13" s="120" t="s">
        <v>2143</v>
      </c>
      <c r="F13" s="120"/>
      <c r="G13" s="120"/>
      <c r="H13" s="120"/>
      <c r="I13" s="3">
        <v>7</v>
      </c>
      <c r="L13" s="125"/>
      <c r="M13" s="3" t="s">
        <v>2131</v>
      </c>
      <c r="N13" s="20">
        <v>1</v>
      </c>
      <c r="O13" s="3">
        <f>VLOOKUP($M13,FORMULAS!$O$14:$P$18,2,FALSE)*N13</f>
        <v>25</v>
      </c>
      <c r="P13" s="3">
        <f>VLOOKUP($M13,FORMULAS!$O$14:$Q$18,3,FALSE)*N13</f>
        <v>6</v>
      </c>
      <c r="Q13" s="3">
        <f>VLOOKUP($M13,FORMULAS!$O$14:$R$18,4,FALSE)*N13</f>
        <v>3</v>
      </c>
      <c r="T13" s="125"/>
      <c r="U13" s="3" t="str">
        <f t="shared" si="3"/>
        <v>Descremados y altos en CHO</v>
      </c>
      <c r="V13" s="30">
        <f t="shared" si="4"/>
        <v>1</v>
      </c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25">
      <c r="A14" s="3" t="s">
        <v>2088</v>
      </c>
      <c r="B14" s="3">
        <f>_xlfn.XLOOKUP(A14,FORMULAS!G23:G26,FORMULAS!H23:H26,"ROTO")</f>
        <v>1</v>
      </c>
      <c r="E14" s="35" t="s">
        <v>2105</v>
      </c>
      <c r="F14" s="35" t="s">
        <v>2144</v>
      </c>
      <c r="G14" s="37" t="s">
        <v>2115</v>
      </c>
      <c r="H14" s="37" t="s">
        <v>2141</v>
      </c>
      <c r="I14" s="37" t="s">
        <v>2142</v>
      </c>
      <c r="L14" s="126" t="s">
        <v>2133</v>
      </c>
      <c r="M14" s="3" t="s">
        <v>2135</v>
      </c>
      <c r="N14" s="20">
        <v>1</v>
      </c>
      <c r="O14" s="3">
        <f>VLOOKUP($M14,FORMULAS!$O$19:$P$22,2,FALSE)*N14</f>
        <v>0</v>
      </c>
      <c r="P14" s="3">
        <f>VLOOKUP($M14,FORMULAS!$O$19:$Q$22,3,FALSE)*N14</f>
        <v>11</v>
      </c>
      <c r="Q14" s="3">
        <f>VLOOKUP($M14,FORMULAS!$O$19:$R$22,4,FALSE)*N14</f>
        <v>7</v>
      </c>
      <c r="T14" s="126" t="s">
        <v>2133</v>
      </c>
      <c r="U14" s="3" t="str">
        <f t="shared" si="3"/>
        <v>Medios en grasas</v>
      </c>
      <c r="V14" s="30">
        <f t="shared" si="4"/>
        <v>1</v>
      </c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25">
      <c r="E15" s="3" t="s">
        <v>2106</v>
      </c>
      <c r="F15" s="3">
        <v>2</v>
      </c>
      <c r="G15" s="20">
        <f>($H$5*$F15)/$I$13</f>
        <v>50.028571428571418</v>
      </c>
      <c r="H15" s="20">
        <f>($H$6*$F15)/$I$13</f>
        <v>23.428571428571427</v>
      </c>
      <c r="I15" s="20">
        <f>($H$7*$F15)/$I$13</f>
        <v>10.882539682539681</v>
      </c>
      <c r="L15" s="126"/>
      <c r="M15" s="3" t="s">
        <v>2136</v>
      </c>
      <c r="N15" s="20">
        <v>0</v>
      </c>
      <c r="O15" s="3">
        <f>VLOOKUP($M15,FORMULAS!$O$19:$P$22,2,FALSE)*N15</f>
        <v>0</v>
      </c>
      <c r="P15" s="3">
        <f>VLOOKUP($M15,FORMULAS!$O$19:$Q$22,3,FALSE)*N15</f>
        <v>0</v>
      </c>
      <c r="Q15" s="3">
        <f>VLOOKUP($M15,FORMULAS!$O$19:$R$22,4,FALSE)*N15</f>
        <v>0</v>
      </c>
      <c r="T15" s="126"/>
      <c r="U15" s="3" t="str">
        <f t="shared" si="3"/>
        <v>Bajos en grasas</v>
      </c>
      <c r="V15" s="30">
        <f t="shared" si="4"/>
        <v>0</v>
      </c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25">
      <c r="E16" s="3" t="s">
        <v>2107</v>
      </c>
      <c r="F16" s="3">
        <v>1</v>
      </c>
      <c r="G16" s="20">
        <f t="shared" ref="G16:G19" si="5">($H$5*$F16)/$I$13</f>
        <v>25.014285714285709</v>
      </c>
      <c r="H16" s="20">
        <f t="shared" ref="H16:H19" si="6">($H$6*$F16)/$I$13</f>
        <v>11.714285714285714</v>
      </c>
      <c r="I16" s="20">
        <f t="shared" ref="I16:I19" si="7">($H$7*$F16)/$I$13</f>
        <v>5.4412698412698406</v>
      </c>
      <c r="L16" s="126"/>
      <c r="M16" s="3" t="s">
        <v>2137</v>
      </c>
      <c r="N16" s="20">
        <v>0</v>
      </c>
      <c r="O16" s="3">
        <f>VLOOKUP($M16,FORMULAS!$O$19:$P$22,2,FALSE)*N16</f>
        <v>0</v>
      </c>
      <c r="P16" s="3">
        <f>VLOOKUP($M16,FORMULAS!$O$19:$Q$22,3,FALSE)*N16</f>
        <v>0</v>
      </c>
      <c r="Q16" s="3">
        <f>VLOOKUP($M16,FORMULAS!$O$19:$R$22,4,FALSE)*N16</f>
        <v>0</v>
      </c>
      <c r="T16" s="126"/>
      <c r="U16" s="3" t="str">
        <f t="shared" si="3"/>
        <v>Embutidos</v>
      </c>
      <c r="V16" s="30">
        <f t="shared" si="4"/>
        <v>0</v>
      </c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25">
      <c r="A17" s="131" t="s">
        <v>2096</v>
      </c>
      <c r="B17" s="131"/>
      <c r="E17" s="3" t="s">
        <v>2108</v>
      </c>
      <c r="F17" s="3">
        <v>2</v>
      </c>
      <c r="G17" s="20">
        <f t="shared" si="5"/>
        <v>50.028571428571418</v>
      </c>
      <c r="H17" s="20">
        <f t="shared" si="6"/>
        <v>23.428571428571427</v>
      </c>
      <c r="I17" s="20">
        <f t="shared" si="7"/>
        <v>10.882539682539681</v>
      </c>
      <c r="L17" s="42" t="s">
        <v>2028</v>
      </c>
      <c r="M17" s="3" t="s">
        <v>2028</v>
      </c>
      <c r="N17" s="20">
        <v>0</v>
      </c>
      <c r="O17" s="3">
        <f>VLOOKUP($M17,FORMULAS!$O$23:$P$23,2,FALSE)*N17</f>
        <v>0</v>
      </c>
      <c r="P17" s="3">
        <f>VLOOKUP($M17,FORMULAS!$O$23:$Q$23,3,FALSE)*N17</f>
        <v>0</v>
      </c>
      <c r="Q17" s="3">
        <f>VLOOKUP($M17,FORMULAS!$O$23:$R$23,4,FALSE)*N17</f>
        <v>0</v>
      </c>
      <c r="T17" s="42" t="s">
        <v>2028</v>
      </c>
      <c r="U17" s="3" t="str">
        <f t="shared" si="3"/>
        <v>Leguminosas</v>
      </c>
      <c r="V17" s="30">
        <f t="shared" si="4"/>
        <v>0</v>
      </c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x14ac:dyDescent="0.25">
      <c r="A18" s="11" t="s">
        <v>2097</v>
      </c>
      <c r="B18" s="33">
        <v>4</v>
      </c>
      <c r="E18" s="3" t="s">
        <v>2109</v>
      </c>
      <c r="F18" s="3">
        <v>1</v>
      </c>
      <c r="G18" s="20">
        <f t="shared" si="5"/>
        <v>25.014285714285709</v>
      </c>
      <c r="H18" s="20">
        <f t="shared" si="6"/>
        <v>11.714285714285714</v>
      </c>
      <c r="I18" s="20">
        <f t="shared" si="7"/>
        <v>5.4412698412698406</v>
      </c>
      <c r="L18" s="127" t="s">
        <v>2032</v>
      </c>
      <c r="M18" s="3" t="s">
        <v>2138</v>
      </c>
      <c r="N18" s="20">
        <v>0</v>
      </c>
      <c r="O18" s="3">
        <f>VLOOKUP($M18,FORMULAS!$O$24:$P$27,2,FALSE)*N18</f>
        <v>0</v>
      </c>
      <c r="P18" s="3">
        <f>VLOOKUP($M18,FORMULAS!$O$24:$Q$27,3,FALSE)*N18</f>
        <v>0</v>
      </c>
      <c r="Q18" s="3">
        <f>VLOOKUP($M18,FORMULAS!$O$24:$R$27,4,FALSE)*N18</f>
        <v>0</v>
      </c>
      <c r="T18" s="129" t="s">
        <v>2032</v>
      </c>
      <c r="U18" s="3" t="str">
        <f t="shared" si="3"/>
        <v>Altos en grasas y bajos en CHO</v>
      </c>
      <c r="V18" s="30">
        <f t="shared" si="4"/>
        <v>0</v>
      </c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25">
      <c r="A19" s="11" t="s">
        <v>2098</v>
      </c>
      <c r="B19" s="3">
        <f>B18*4</f>
        <v>16</v>
      </c>
      <c r="E19" s="3" t="s">
        <v>2110</v>
      </c>
      <c r="F19" s="3">
        <v>1</v>
      </c>
      <c r="G19" s="20">
        <f t="shared" si="5"/>
        <v>25.014285714285709</v>
      </c>
      <c r="H19" s="20">
        <f t="shared" si="6"/>
        <v>11.714285714285714</v>
      </c>
      <c r="I19" s="20">
        <f t="shared" si="7"/>
        <v>5.4412698412698406</v>
      </c>
      <c r="L19" s="127"/>
      <c r="M19" s="3" t="s">
        <v>2139</v>
      </c>
      <c r="N19" s="20">
        <v>1</v>
      </c>
      <c r="O19" s="3">
        <f>VLOOKUP($M19,FORMULAS!$O$24:$P$27,2,FALSE)*N19</f>
        <v>12</v>
      </c>
      <c r="P19" s="3">
        <f>VLOOKUP($M19,FORMULAS!$O$24:$Q$27,3,FALSE)*N19</f>
        <v>2</v>
      </c>
      <c r="Q19" s="3">
        <f>VLOOKUP($M19,FORMULAS!$O$24:$R$27,4,FALSE)*N19</f>
        <v>7</v>
      </c>
      <c r="T19" s="130"/>
      <c r="U19" s="3" t="str">
        <f t="shared" si="3"/>
        <v>Medios en grasas y bajor en CHO</v>
      </c>
      <c r="V19" s="30">
        <f t="shared" si="4"/>
        <v>1</v>
      </c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25">
      <c r="A20" s="11" t="s">
        <v>2099</v>
      </c>
      <c r="B20" s="34">
        <v>0.1</v>
      </c>
      <c r="E20" s="3" t="s">
        <v>2111</v>
      </c>
      <c r="F20" s="38">
        <f>SUM(F15:F19)</f>
        <v>7</v>
      </c>
      <c r="G20" s="20">
        <f>SUM(G15:G19)</f>
        <v>175.09999999999997</v>
      </c>
      <c r="H20" s="20">
        <f>SUM(H15:H19)</f>
        <v>81.999999999999986</v>
      </c>
      <c r="I20" s="20">
        <f>SUM(I15:I19)</f>
        <v>38.088888888888889</v>
      </c>
      <c r="L20" s="43" t="s">
        <v>2147</v>
      </c>
      <c r="M20" s="3" t="s">
        <v>2140</v>
      </c>
      <c r="N20" s="20">
        <v>0</v>
      </c>
      <c r="O20" s="3">
        <f>VLOOKUP($M20,FORMULAS!$O$28:$P$28,2,FALSE)*N20</f>
        <v>0</v>
      </c>
      <c r="P20" s="3">
        <f>VLOOKUP($M20,FORMULAS!$O$28:$Q$28,3,FALSE)*N20</f>
        <v>0</v>
      </c>
      <c r="Q20" s="3">
        <f>VLOOKUP($M20,FORMULAS!$O$28:$R$28,4,FALSE)*N20</f>
        <v>0</v>
      </c>
      <c r="T20" s="43" t="s">
        <v>2147</v>
      </c>
      <c r="U20" s="3" t="str">
        <f t="shared" si="3"/>
        <v>Azucares y alimentos azucarados</v>
      </c>
      <c r="V20" s="30">
        <f t="shared" si="4"/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25">
      <c r="A21" s="11" t="s">
        <v>2100</v>
      </c>
      <c r="B21" s="3">
        <f>B2*B20</f>
        <v>8.2000000000000011</v>
      </c>
      <c r="N21" s="21" t="s">
        <v>2111</v>
      </c>
      <c r="O21" s="20">
        <f>SUM(O6:O20)</f>
        <v>87</v>
      </c>
      <c r="P21" s="20">
        <f>SUM(P6:P20)</f>
        <v>25</v>
      </c>
      <c r="Q21" s="20">
        <f>SUM(Q6:Q20)</f>
        <v>18</v>
      </c>
      <c r="T21" s="47"/>
      <c r="U21" s="134" t="s">
        <v>2179</v>
      </c>
      <c r="V21" s="135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</row>
    <row r="22" spans="1:32" x14ac:dyDescent="0.25">
      <c r="A22" s="11" t="s">
        <v>2101</v>
      </c>
      <c r="B22" s="20">
        <f>B2-B21</f>
        <v>73.8</v>
      </c>
      <c r="N22" s="21" t="s">
        <v>2148</v>
      </c>
      <c r="O22" s="49">
        <f>O21-O5</f>
        <v>36.971428571428582</v>
      </c>
      <c r="P22" s="49">
        <f t="shared" ref="P22:Q22" si="8">P21-P5</f>
        <v>1.571428571428573</v>
      </c>
      <c r="Q22" s="49">
        <f t="shared" si="8"/>
        <v>7.1174603174603188</v>
      </c>
      <c r="T22" s="47"/>
      <c r="U22" s="136"/>
      <c r="V22" s="137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</row>
    <row r="23" spans="1:32" x14ac:dyDescent="0.25">
      <c r="A23" s="11" t="s">
        <v>2102</v>
      </c>
      <c r="B23" s="20">
        <f>((B21*7000)/B19)/7</f>
        <v>512.50000000000011</v>
      </c>
      <c r="E23" s="32" t="s">
        <v>2091</v>
      </c>
      <c r="F23" s="45">
        <v>0.95</v>
      </c>
      <c r="G23" s="32" t="s">
        <v>2163</v>
      </c>
      <c r="H23" s="45">
        <v>1.05</v>
      </c>
      <c r="I23" s="45" t="s">
        <v>2172</v>
      </c>
    </row>
    <row r="24" spans="1:32" x14ac:dyDescent="0.25">
      <c r="A24" s="11" t="s">
        <v>2112</v>
      </c>
      <c r="B24" s="20">
        <f>C10-B23</f>
        <v>858.6999999999997</v>
      </c>
      <c r="E24" s="3" t="s">
        <v>2081</v>
      </c>
      <c r="F24" s="30">
        <f>G20*F23</f>
        <v>166.34499999999997</v>
      </c>
      <c r="G24" s="3">
        <f>SUMIF($N:$N,$N$21,$O:$O)</f>
        <v>301</v>
      </c>
      <c r="H24" s="30">
        <f>G20*H23</f>
        <v>183.85499999999996</v>
      </c>
      <c r="I24" s="34">
        <f>G24/G20</f>
        <v>1.7190177041690466</v>
      </c>
    </row>
    <row r="25" spans="1:32" ht="18.75" customHeight="1" x14ac:dyDescent="0.25">
      <c r="E25" s="3" t="s">
        <v>2083</v>
      </c>
      <c r="F25" s="30">
        <f>H20*F23</f>
        <v>77.899999999999977</v>
      </c>
      <c r="G25" s="3">
        <f>SUMIF($N:$N,$N$21,$P:$P)</f>
        <v>87.75</v>
      </c>
      <c r="H25" s="30">
        <f>H20*H23</f>
        <v>86.1</v>
      </c>
      <c r="I25" s="34">
        <f>G25/H20</f>
        <v>1.0701219512195124</v>
      </c>
      <c r="L25" s="15" t="s">
        <v>2149</v>
      </c>
      <c r="T25" s="15" t="s">
        <v>2149</v>
      </c>
    </row>
    <row r="26" spans="1:32" x14ac:dyDescent="0.25">
      <c r="E26" s="3" t="s">
        <v>2094</v>
      </c>
      <c r="F26" s="30">
        <f>I20*F23</f>
        <v>36.184444444444445</v>
      </c>
      <c r="G26" s="3">
        <f>SUMIF($N:$N,$N$21,$Q:$Q)</f>
        <v>70.25</v>
      </c>
      <c r="H26" s="30">
        <f>I20*H23</f>
        <v>39.993333333333332</v>
      </c>
      <c r="I26" s="34">
        <f>G26/I20</f>
        <v>1.8443698949824971</v>
      </c>
      <c r="O26" s="36" t="s">
        <v>2115</v>
      </c>
      <c r="P26" s="36" t="s">
        <v>2116</v>
      </c>
      <c r="Q26" s="36" t="s">
        <v>2117</v>
      </c>
      <c r="W26" s="132" t="s">
        <v>2167</v>
      </c>
      <c r="X26" s="132"/>
      <c r="Y26" s="132" t="s">
        <v>2168</v>
      </c>
      <c r="Z26" s="132"/>
      <c r="AA26" s="132" t="s">
        <v>2169</v>
      </c>
      <c r="AB26" s="132"/>
      <c r="AC26" s="132" t="s">
        <v>2170</v>
      </c>
      <c r="AD26" s="132"/>
      <c r="AE26" s="132" t="s">
        <v>2171</v>
      </c>
      <c r="AF26" s="132"/>
    </row>
    <row r="27" spans="1:32" ht="60" x14ac:dyDescent="0.25">
      <c r="L27" s="39" t="s">
        <v>2114</v>
      </c>
      <c r="M27" s="39" t="s">
        <v>2145</v>
      </c>
      <c r="N27" s="40" t="s">
        <v>2146</v>
      </c>
      <c r="O27" s="50">
        <f>G16-O22</f>
        <v>-11.957142857142873</v>
      </c>
      <c r="P27" s="50">
        <f t="shared" ref="P27:Q27" si="9">H16-P22</f>
        <v>10.142857142857141</v>
      </c>
      <c r="Q27" s="50">
        <f t="shared" si="9"/>
        <v>-1.6761904761904782</v>
      </c>
      <c r="T27" s="39" t="s">
        <v>2114</v>
      </c>
      <c r="U27" s="39" t="s">
        <v>2145</v>
      </c>
      <c r="V27" s="40" t="s">
        <v>2176</v>
      </c>
      <c r="W27" s="40" t="s">
        <v>2164</v>
      </c>
      <c r="X27" s="40" t="s">
        <v>2165</v>
      </c>
      <c r="Y27" s="40" t="s">
        <v>2164</v>
      </c>
      <c r="Z27" s="40" t="s">
        <v>2165</v>
      </c>
      <c r="AA27" s="40" t="s">
        <v>2164</v>
      </c>
      <c r="AB27" s="40" t="s">
        <v>2165</v>
      </c>
      <c r="AC27" s="40" t="s">
        <v>2164</v>
      </c>
      <c r="AD27" s="40" t="s">
        <v>2165</v>
      </c>
      <c r="AE27" s="40" t="s">
        <v>2164</v>
      </c>
      <c r="AF27" s="40" t="s">
        <v>2165</v>
      </c>
    </row>
    <row r="28" spans="1:32" x14ac:dyDescent="0.25">
      <c r="L28" s="128" t="s">
        <v>2118</v>
      </c>
      <c r="M28" s="3" t="s">
        <v>2119</v>
      </c>
      <c r="N28" s="20">
        <v>0.5</v>
      </c>
      <c r="O28" s="3">
        <f>VLOOKUP($M28,FORMULAS!$O$6:$P$8,2,FALSE)*N28</f>
        <v>15</v>
      </c>
      <c r="P28" s="3">
        <f>VLOOKUP($M28,FORMULAS!$O$6:$Q$8,3,FALSE)*N28</f>
        <v>2</v>
      </c>
      <c r="Q28" s="3">
        <f>VLOOKUP($M28,FORMULAS!$O$6:$R$8,4,FALSE)*N28</f>
        <v>0.5</v>
      </c>
      <c r="T28" s="128" t="s">
        <v>2118</v>
      </c>
      <c r="U28" s="3" t="str">
        <f t="shared" ref="U28:V31" si="10">M28</f>
        <v>Altos en CHO y bajos en grasas</v>
      </c>
      <c r="V28" s="30">
        <f t="shared" si="10"/>
        <v>0.5</v>
      </c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25">
      <c r="L29" s="128"/>
      <c r="M29" s="3" t="s">
        <v>2120</v>
      </c>
      <c r="N29" s="20">
        <v>0</v>
      </c>
      <c r="O29" s="3">
        <f>VLOOKUP($M29,FORMULAS!$O$6:$P$8,2,FALSE)*N29</f>
        <v>0</v>
      </c>
      <c r="P29" s="3">
        <f>VLOOKUP($M29,FORMULAS!$O$6:$Q$8,3,FALSE)*N29</f>
        <v>0</v>
      </c>
      <c r="Q29" s="3">
        <f>VLOOKUP($M29,FORMULAS!$O$6:$R$8,4,FALSE)*N29</f>
        <v>0</v>
      </c>
      <c r="T29" s="128"/>
      <c r="U29" s="3" t="str">
        <f t="shared" si="10"/>
        <v>Medios en CHO y bajos en grasas</v>
      </c>
      <c r="V29" s="30">
        <f t="shared" si="10"/>
        <v>0</v>
      </c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25">
      <c r="E30" s="37" t="s">
        <v>2081</v>
      </c>
      <c r="F30" s="37" t="s">
        <v>2174</v>
      </c>
      <c r="G30" s="37" t="s">
        <v>2175</v>
      </c>
      <c r="L30" s="124" t="s">
        <v>2026</v>
      </c>
      <c r="M30" s="3" t="s">
        <v>2122</v>
      </c>
      <c r="N30" s="20">
        <v>0.5</v>
      </c>
      <c r="O30" s="3">
        <f>VLOOKUP($M30,FORMULAS!$O$9:$P$11,2,FALSE)*N30</f>
        <v>10</v>
      </c>
      <c r="P30" s="3">
        <f>VLOOKUP($M30,FORMULAS!$O$9:$Q$11,3,FALSE)*N30</f>
        <v>0.5</v>
      </c>
      <c r="Q30" s="3">
        <f>VLOOKUP($M30,FORMULAS!$O$9:$R$11,4,FALSE)*N30</f>
        <v>0</v>
      </c>
      <c r="T30" s="124" t="s">
        <v>2026</v>
      </c>
      <c r="U30" s="3" t="str">
        <f t="shared" si="10"/>
        <v>Medias en CHO</v>
      </c>
      <c r="V30" s="30">
        <f t="shared" si="10"/>
        <v>0.5</v>
      </c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25">
      <c r="E31" s="3" t="s">
        <v>2162</v>
      </c>
      <c r="F31" s="30">
        <f>H5/2</f>
        <v>87.549999999999983</v>
      </c>
      <c r="G31" s="30">
        <f>H5*10/100</f>
        <v>17.509999999999994</v>
      </c>
      <c r="L31" s="124"/>
      <c r="M31" s="3" t="s">
        <v>2123</v>
      </c>
      <c r="N31" s="20">
        <v>0</v>
      </c>
      <c r="O31" s="3">
        <f>VLOOKUP($M31,FORMULAS!$O$9:$P$11,2,FALSE)*N31</f>
        <v>0</v>
      </c>
      <c r="P31" s="3">
        <f>VLOOKUP($M31,FORMULAS!$O$9:$Q$11,3,FALSE)*N31</f>
        <v>0</v>
      </c>
      <c r="Q31" s="3">
        <f>VLOOKUP($M31,FORMULAS!$O$9:$R$11,4,FALSE)*N31</f>
        <v>0</v>
      </c>
      <c r="T31" s="124"/>
      <c r="U31" s="3" t="str">
        <f t="shared" si="10"/>
        <v>Bajas en CHO</v>
      </c>
      <c r="V31" s="30">
        <f t="shared" si="10"/>
        <v>0</v>
      </c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25">
      <c r="E32" s="3" t="s">
        <v>2163</v>
      </c>
      <c r="F32" s="30">
        <f>SUMIF($L:$L,$L$6,$O:$O)</f>
        <v>105</v>
      </c>
      <c r="G32" s="30">
        <f>SUMIF($M:$M,$M$108,$O:$O)</f>
        <v>30</v>
      </c>
      <c r="L32" s="123" t="s">
        <v>2027</v>
      </c>
      <c r="M32" s="3" t="s">
        <v>2125</v>
      </c>
      <c r="N32" s="20">
        <v>0</v>
      </c>
      <c r="O32" s="3">
        <f>VLOOKUP($M32,FORMULAS!$O$12:$P$13,2,FALSE)*N32</f>
        <v>0</v>
      </c>
      <c r="P32" s="3">
        <f>VLOOKUP($M32,FORMULAS!$O$12:$Q$13,3,FALSE)*N32</f>
        <v>0</v>
      </c>
      <c r="Q32" s="3">
        <f>VLOOKUP($M32,FORMULAS!$O$12:$R$13,4,FALSE)*N32</f>
        <v>0</v>
      </c>
      <c r="T32" s="123" t="s">
        <v>2027</v>
      </c>
      <c r="U32" s="3" t="str">
        <f t="shared" ref="U32:V33" si="11">M32</f>
        <v>Bajos en CHO</v>
      </c>
      <c r="V32" s="30">
        <f t="shared" si="11"/>
        <v>0</v>
      </c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2:32" x14ac:dyDescent="0.25">
      <c r="L33" s="123"/>
      <c r="M33" s="3" t="s">
        <v>2126</v>
      </c>
      <c r="N33" s="20">
        <v>0</v>
      </c>
      <c r="O33" s="3">
        <f>VLOOKUP($M33,FORMULAS!$O$12:$P$13,2,FALSE)*N33</f>
        <v>0</v>
      </c>
      <c r="P33" s="3">
        <f>VLOOKUP($M33,FORMULAS!$O$12:$Q$13,3,FALSE)*N33</f>
        <v>0</v>
      </c>
      <c r="Q33" s="3">
        <f>VLOOKUP($M33,FORMULAS!$O$12:$R$13,4,FALSE)*N33</f>
        <v>0</v>
      </c>
      <c r="T33" s="123"/>
      <c r="U33" s="3" t="str">
        <f t="shared" si="11"/>
        <v>Libre consumo</v>
      </c>
      <c r="V33" s="30">
        <f t="shared" si="11"/>
        <v>0</v>
      </c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2:32" x14ac:dyDescent="0.25">
      <c r="L34" s="125" t="s">
        <v>2031</v>
      </c>
      <c r="M34" s="3" t="s">
        <v>2130</v>
      </c>
      <c r="N34" s="20">
        <v>0</v>
      </c>
      <c r="O34" s="3">
        <f>VLOOKUP($M34,FORMULAS!$O$14:$P$18,2,FALSE)*N34</f>
        <v>0</v>
      </c>
      <c r="P34" s="3">
        <f>VLOOKUP($M34,FORMULAS!$O$14:$Q$18,3,FALSE)*N34</f>
        <v>0</v>
      </c>
      <c r="Q34" s="3">
        <f>VLOOKUP($M34,FORMULAS!$O$14:$R$18,4,FALSE)*N34</f>
        <v>0</v>
      </c>
      <c r="T34" s="125" t="s">
        <v>2031</v>
      </c>
      <c r="U34" s="3" t="str">
        <f t="shared" ref="U34:U42" si="12">M34</f>
        <v>Descremados - bajos en grasas</v>
      </c>
      <c r="V34" s="30">
        <f t="shared" ref="V34:V42" si="13">N34</f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2:32" x14ac:dyDescent="0.25">
      <c r="L35" s="125"/>
      <c r="M35" s="3" t="s">
        <v>2129</v>
      </c>
      <c r="N35" s="20">
        <v>1</v>
      </c>
      <c r="O35" s="3">
        <f>VLOOKUP($M35,FORMULAS!$O$14:$P$18,2,FALSE)*N35</f>
        <v>11</v>
      </c>
      <c r="P35" s="3">
        <f>VLOOKUP($M35,FORMULAS!$O$14:$Q$18,3,FALSE)*N35</f>
        <v>8</v>
      </c>
      <c r="Q35" s="3">
        <f>VLOOKUP($M35,FORMULAS!$O$14:$R$18,4,FALSE)*N35</f>
        <v>4</v>
      </c>
      <c r="T35" s="125"/>
      <c r="U35" s="3" t="str">
        <f t="shared" si="12"/>
        <v>Semidescremados - medios en grasas</v>
      </c>
      <c r="V35" s="30">
        <f t="shared" si="13"/>
        <v>1</v>
      </c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2:32" x14ac:dyDescent="0.25">
      <c r="L36" s="126" t="s">
        <v>2133</v>
      </c>
      <c r="M36" s="3" t="s">
        <v>2135</v>
      </c>
      <c r="N36" s="20">
        <v>0</v>
      </c>
      <c r="O36" s="3">
        <f>VLOOKUP($M36,FORMULAS!$O$19:$P$22,2,FALSE)*N36</f>
        <v>0</v>
      </c>
      <c r="P36" s="3">
        <f>VLOOKUP($M36,FORMULAS!$O$19:$Q$22,3,FALSE)*N36</f>
        <v>0</v>
      </c>
      <c r="Q36" s="3">
        <f>VLOOKUP($M36,FORMULAS!$O$19:$R$22,4,FALSE)*N36</f>
        <v>0</v>
      </c>
      <c r="T36" s="126" t="s">
        <v>2133</v>
      </c>
      <c r="U36" s="3" t="str">
        <f t="shared" si="12"/>
        <v>Medios en grasas</v>
      </c>
      <c r="V36" s="30">
        <f t="shared" si="13"/>
        <v>0</v>
      </c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2:32" x14ac:dyDescent="0.25">
      <c r="L37" s="126"/>
      <c r="M37" s="3" t="s">
        <v>2136</v>
      </c>
      <c r="N37" s="20">
        <v>0</v>
      </c>
      <c r="O37" s="3">
        <f>VLOOKUP($M37,FORMULAS!$O$19:$P$22,2,FALSE)*N37</f>
        <v>0</v>
      </c>
      <c r="P37" s="3">
        <f>VLOOKUP($M37,FORMULAS!$O$19:$Q$22,3,FALSE)*N37</f>
        <v>0</v>
      </c>
      <c r="Q37" s="3">
        <f>VLOOKUP($M37,FORMULAS!$O$19:$R$22,4,FALSE)*N37</f>
        <v>0</v>
      </c>
      <c r="T37" s="126"/>
      <c r="U37" s="3" t="str">
        <f t="shared" si="12"/>
        <v>Bajos en grasas</v>
      </c>
      <c r="V37" s="30">
        <f t="shared" si="13"/>
        <v>0</v>
      </c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2:32" x14ac:dyDescent="0.25">
      <c r="L38" s="126"/>
      <c r="M38" s="3" t="s">
        <v>2137</v>
      </c>
      <c r="N38" s="20">
        <v>0</v>
      </c>
      <c r="O38" s="3">
        <f>VLOOKUP($M38,FORMULAS!$O$19:$P$22,2,FALSE)*N38</f>
        <v>0</v>
      </c>
      <c r="P38" s="3">
        <f>VLOOKUP($M38,FORMULAS!$O$19:$Q$22,3,FALSE)*N38</f>
        <v>0</v>
      </c>
      <c r="Q38" s="3">
        <f>VLOOKUP($M38,FORMULAS!$O$19:$R$22,4,FALSE)*N38</f>
        <v>0</v>
      </c>
      <c r="T38" s="126"/>
      <c r="U38" s="3" t="str">
        <f t="shared" si="12"/>
        <v>Embutidos</v>
      </c>
      <c r="V38" s="30">
        <f t="shared" si="13"/>
        <v>0</v>
      </c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2:32" x14ac:dyDescent="0.25">
      <c r="L39" s="42" t="s">
        <v>2028</v>
      </c>
      <c r="M39" s="3" t="s">
        <v>2028</v>
      </c>
      <c r="N39" s="20">
        <v>0</v>
      </c>
      <c r="O39" s="3">
        <f>VLOOKUP($M39,FORMULAS!$O$23:$P$23,2,FALSE)*N39</f>
        <v>0</v>
      </c>
      <c r="P39" s="3">
        <f>VLOOKUP($M39,FORMULAS!$O$23:$Q$23,3,FALSE)*N39</f>
        <v>0</v>
      </c>
      <c r="Q39" s="3">
        <f>VLOOKUP($M39,FORMULAS!$O$23:$R$23,4,FALSE)*N39</f>
        <v>0</v>
      </c>
      <c r="T39" s="42" t="s">
        <v>2028</v>
      </c>
      <c r="U39" s="3" t="str">
        <f t="shared" si="12"/>
        <v>Leguminosas</v>
      </c>
      <c r="V39" s="30">
        <f t="shared" si="13"/>
        <v>0</v>
      </c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2:32" x14ac:dyDescent="0.25">
      <c r="L40" s="127" t="s">
        <v>2032</v>
      </c>
      <c r="M40" s="3" t="s">
        <v>2138</v>
      </c>
      <c r="N40" s="20">
        <v>0.5</v>
      </c>
      <c r="O40" s="3">
        <f>VLOOKUP($M40,FORMULAS!$O$24:$P$27,2,FALSE)*N40</f>
        <v>4</v>
      </c>
      <c r="P40" s="3">
        <f>VLOOKUP($M40,FORMULAS!$O$24:$Q$27,3,FALSE)*N40</f>
        <v>2</v>
      </c>
      <c r="Q40" s="3">
        <f>VLOOKUP($M40,FORMULAS!$O$24:$R$27,4,FALSE)*N40</f>
        <v>5</v>
      </c>
      <c r="T40" s="129" t="s">
        <v>2032</v>
      </c>
      <c r="U40" s="3" t="str">
        <f t="shared" si="12"/>
        <v>Altos en grasas y bajos en CHO</v>
      </c>
      <c r="V40" s="30">
        <f t="shared" si="13"/>
        <v>0.5</v>
      </c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2:32" x14ac:dyDescent="0.25">
      <c r="L41" s="127"/>
      <c r="M41" s="3" t="s">
        <v>2139</v>
      </c>
      <c r="N41" s="20">
        <v>0</v>
      </c>
      <c r="O41" s="3">
        <f>VLOOKUP($M41,FORMULAS!$O$24:$P$27,2,FALSE)*N41</f>
        <v>0</v>
      </c>
      <c r="P41" s="3">
        <f>VLOOKUP($M41,FORMULAS!$O$24:$Q$27,3,FALSE)*N41</f>
        <v>0</v>
      </c>
      <c r="Q41" s="3">
        <f>VLOOKUP($M41,FORMULAS!$O$24:$R$27,4,FALSE)*N41</f>
        <v>0</v>
      </c>
      <c r="T41" s="130"/>
      <c r="U41" s="3" t="str">
        <f t="shared" si="12"/>
        <v>Medios en grasas y bajor en CHO</v>
      </c>
      <c r="V41" s="30">
        <f t="shared" si="13"/>
        <v>0</v>
      </c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2:32" x14ac:dyDescent="0.25">
      <c r="L42" s="43" t="s">
        <v>2147</v>
      </c>
      <c r="M42" s="3" t="s">
        <v>2140</v>
      </c>
      <c r="N42" s="20">
        <v>0</v>
      </c>
      <c r="O42" s="3">
        <f>VLOOKUP($M42,FORMULAS!$O$28:$P$28,2,FALSE)*N42</f>
        <v>0</v>
      </c>
      <c r="P42" s="3">
        <f>VLOOKUP($M42,FORMULAS!$O$28:$Q$28,3,FALSE)*N42</f>
        <v>0</v>
      </c>
      <c r="Q42" s="3">
        <f>VLOOKUP($M42,FORMULAS!$O$28:$R$28,4,FALSE)*N42</f>
        <v>0</v>
      </c>
      <c r="T42" s="43" t="s">
        <v>2147</v>
      </c>
      <c r="U42" s="3" t="str">
        <f t="shared" si="12"/>
        <v>Azucares y alimentos azucarados</v>
      </c>
      <c r="V42" s="30">
        <f t="shared" si="13"/>
        <v>0</v>
      </c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2:32" x14ac:dyDescent="0.25">
      <c r="N43" s="21" t="s">
        <v>2111</v>
      </c>
      <c r="O43" s="20">
        <f>SUM(O28:O42)</f>
        <v>40</v>
      </c>
      <c r="P43" s="20">
        <f>SUM(P28:P42)</f>
        <v>12.5</v>
      </c>
      <c r="Q43" s="20">
        <f>SUM(Q28:Q42)</f>
        <v>9.5</v>
      </c>
      <c r="T43" s="47"/>
      <c r="U43" s="134" t="s">
        <v>2179</v>
      </c>
      <c r="V43" s="135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</row>
    <row r="44" spans="12:32" x14ac:dyDescent="0.25">
      <c r="N44" s="21" t="s">
        <v>2148</v>
      </c>
      <c r="O44" s="49">
        <f>O43-O27</f>
        <v>51.95714285714287</v>
      </c>
      <c r="P44" s="49">
        <f t="shared" ref="P44:Q44" si="14">P43-P27</f>
        <v>2.3571428571428594</v>
      </c>
      <c r="Q44" s="49">
        <f t="shared" si="14"/>
        <v>11.176190476190477</v>
      </c>
      <c r="T44" s="47"/>
      <c r="U44" s="136"/>
      <c r="V44" s="137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</row>
    <row r="47" spans="12:32" x14ac:dyDescent="0.25">
      <c r="L47" s="15" t="s">
        <v>2150</v>
      </c>
      <c r="T47" s="15" t="s">
        <v>2150</v>
      </c>
    </row>
    <row r="48" spans="12:32" x14ac:dyDescent="0.25">
      <c r="O48" s="36" t="s">
        <v>2115</v>
      </c>
      <c r="P48" s="36" t="s">
        <v>2116</v>
      </c>
      <c r="Q48" s="36" t="s">
        <v>2117</v>
      </c>
      <c r="W48" s="132" t="s">
        <v>2167</v>
      </c>
      <c r="X48" s="132"/>
      <c r="Y48" s="132" t="s">
        <v>2168</v>
      </c>
      <c r="Z48" s="132"/>
      <c r="AA48" s="132" t="s">
        <v>2169</v>
      </c>
      <c r="AB48" s="132"/>
      <c r="AC48" s="132" t="s">
        <v>2170</v>
      </c>
      <c r="AD48" s="132"/>
      <c r="AE48" s="132" t="s">
        <v>2171</v>
      </c>
      <c r="AF48" s="132"/>
    </row>
    <row r="49" spans="12:32" ht="60" x14ac:dyDescent="0.25">
      <c r="L49" s="39" t="s">
        <v>2114</v>
      </c>
      <c r="M49" s="39" t="s">
        <v>2145</v>
      </c>
      <c r="N49" s="40" t="s">
        <v>2146</v>
      </c>
      <c r="O49" s="50">
        <f>G17-O44</f>
        <v>-1.9285714285714519</v>
      </c>
      <c r="P49" s="50">
        <f t="shared" ref="P49:Q49" si="15">H17-P44</f>
        <v>21.071428571428569</v>
      </c>
      <c r="Q49" s="50">
        <f t="shared" si="15"/>
        <v>-0.29365079365079616</v>
      </c>
      <c r="T49" s="39" t="s">
        <v>2114</v>
      </c>
      <c r="U49" s="39" t="s">
        <v>2145</v>
      </c>
      <c r="V49" s="40" t="s">
        <v>2176</v>
      </c>
      <c r="W49" s="40" t="s">
        <v>2164</v>
      </c>
      <c r="X49" s="40" t="s">
        <v>2165</v>
      </c>
      <c r="Y49" s="40" t="s">
        <v>2164</v>
      </c>
      <c r="Z49" s="40" t="s">
        <v>2165</v>
      </c>
      <c r="AA49" s="40" t="s">
        <v>2164</v>
      </c>
      <c r="AB49" s="40" t="s">
        <v>2165</v>
      </c>
      <c r="AC49" s="40" t="s">
        <v>2164</v>
      </c>
      <c r="AD49" s="40" t="s">
        <v>2165</v>
      </c>
      <c r="AE49" s="40" t="s">
        <v>2164</v>
      </c>
      <c r="AF49" s="40" t="s">
        <v>2165</v>
      </c>
    </row>
    <row r="50" spans="12:32" x14ac:dyDescent="0.25">
      <c r="L50" s="128" t="s">
        <v>2118</v>
      </c>
      <c r="M50" s="3" t="s">
        <v>2119</v>
      </c>
      <c r="N50" s="20">
        <v>1</v>
      </c>
      <c r="O50" s="3">
        <f>VLOOKUP($M50,FORMULAS!$O$6:$P$8,2,FALSE)*N50</f>
        <v>30</v>
      </c>
      <c r="P50" s="3">
        <f>VLOOKUP($M50,FORMULAS!$O$6:$Q$8,3,FALSE)*N50</f>
        <v>4</v>
      </c>
      <c r="Q50" s="3">
        <f>VLOOKUP($M50,FORMULAS!$O$6:$R$8,4,FALSE)*N50</f>
        <v>1</v>
      </c>
      <c r="T50" s="128" t="s">
        <v>2118</v>
      </c>
      <c r="U50" s="3" t="str">
        <f t="shared" ref="U50:V53" si="16">M50</f>
        <v>Altos en CHO y bajos en grasas</v>
      </c>
      <c r="V50" s="30">
        <f t="shared" si="16"/>
        <v>1</v>
      </c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2:32" x14ac:dyDescent="0.25">
      <c r="L51" s="128"/>
      <c r="M51" s="3" t="s">
        <v>2120</v>
      </c>
      <c r="N51" s="20">
        <v>0</v>
      </c>
      <c r="O51" s="3">
        <f>VLOOKUP($M51,FORMULAS!$O$6:$P$8,2,FALSE)*N51</f>
        <v>0</v>
      </c>
      <c r="P51" s="3">
        <f>VLOOKUP($M51,FORMULAS!$O$6:$Q$8,3,FALSE)*N51</f>
        <v>0</v>
      </c>
      <c r="Q51" s="3">
        <f>VLOOKUP($M51,FORMULAS!$O$6:$R$8,4,FALSE)*N51</f>
        <v>0</v>
      </c>
      <c r="T51" s="128"/>
      <c r="U51" s="3" t="str">
        <f t="shared" si="16"/>
        <v>Medios en CHO y bajos en grasas</v>
      </c>
      <c r="V51" s="30">
        <f t="shared" si="16"/>
        <v>0</v>
      </c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2:32" x14ac:dyDescent="0.25">
      <c r="L52" s="124" t="s">
        <v>2026</v>
      </c>
      <c r="M52" s="3" t="s">
        <v>2122</v>
      </c>
      <c r="N52" s="20">
        <v>1</v>
      </c>
      <c r="O52" s="3">
        <f>VLOOKUP($M52,FORMULAS!$O$9:$P$11,2,FALSE)*N52</f>
        <v>20</v>
      </c>
      <c r="P52" s="3">
        <f>VLOOKUP($M52,FORMULAS!$O$9:$Q$11,3,FALSE)*N52</f>
        <v>1</v>
      </c>
      <c r="Q52" s="3">
        <f>VLOOKUP($M52,FORMULAS!$O$9:$R$11,4,FALSE)*N52</f>
        <v>0</v>
      </c>
      <c r="T52" s="124" t="s">
        <v>2026</v>
      </c>
      <c r="U52" s="3" t="str">
        <f t="shared" si="16"/>
        <v>Medias en CHO</v>
      </c>
      <c r="V52" s="30">
        <f t="shared" si="16"/>
        <v>1</v>
      </c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2:32" x14ac:dyDescent="0.25">
      <c r="L53" s="124"/>
      <c r="M53" s="3" t="s">
        <v>2123</v>
      </c>
      <c r="N53" s="20">
        <v>0</v>
      </c>
      <c r="O53" s="3">
        <f>VLOOKUP($M53,FORMULAS!$O$9:$P$11,2,FALSE)*N53</f>
        <v>0</v>
      </c>
      <c r="P53" s="3">
        <f>VLOOKUP($M53,FORMULAS!$O$9:$Q$11,3,FALSE)*N53</f>
        <v>0</v>
      </c>
      <c r="Q53" s="3">
        <f>VLOOKUP($M53,FORMULAS!$O$9:$R$11,4,FALSE)*N53</f>
        <v>0</v>
      </c>
      <c r="T53" s="124"/>
      <c r="U53" s="3" t="str">
        <f t="shared" si="16"/>
        <v>Bajas en CHO</v>
      </c>
      <c r="V53" s="30">
        <f t="shared" si="16"/>
        <v>0</v>
      </c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2:32" x14ac:dyDescent="0.25">
      <c r="L54" s="123" t="s">
        <v>2027</v>
      </c>
      <c r="M54" s="3" t="s">
        <v>2125</v>
      </c>
      <c r="N54" s="20">
        <v>2</v>
      </c>
      <c r="O54" s="3">
        <f>VLOOKUP($M54,FORMULAS!$O$12:$P$13,2,FALSE)*N54</f>
        <v>10</v>
      </c>
      <c r="P54" s="3">
        <f>VLOOKUP($M54,FORMULAS!$O$12:$Q$13,3,FALSE)*N54</f>
        <v>2</v>
      </c>
      <c r="Q54" s="3">
        <f>VLOOKUP($M54,FORMULAS!$O$12:$R$13,4,FALSE)*N54</f>
        <v>0</v>
      </c>
      <c r="T54" s="123" t="s">
        <v>2027</v>
      </c>
      <c r="U54" s="3" t="str">
        <f t="shared" ref="U54:V55" si="17">M54</f>
        <v>Bajos en CHO</v>
      </c>
      <c r="V54" s="30">
        <f t="shared" si="17"/>
        <v>2</v>
      </c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2:32" x14ac:dyDescent="0.25">
      <c r="L55" s="123"/>
      <c r="M55" s="3" t="s">
        <v>2126</v>
      </c>
      <c r="N55" s="20">
        <v>0</v>
      </c>
      <c r="O55" s="3">
        <f>VLOOKUP($M55,FORMULAS!$O$12:$P$13,2,FALSE)*N55</f>
        <v>0</v>
      </c>
      <c r="P55" s="3">
        <f>VLOOKUP($M55,FORMULAS!$O$12:$Q$13,3,FALSE)*N55</f>
        <v>0</v>
      </c>
      <c r="Q55" s="3">
        <f>VLOOKUP($M55,FORMULAS!$O$12:$R$13,4,FALSE)*N55</f>
        <v>0</v>
      </c>
      <c r="T55" s="123"/>
      <c r="U55" s="3" t="str">
        <f t="shared" si="17"/>
        <v>Libre consumo</v>
      </c>
      <c r="V55" s="30">
        <f t="shared" si="17"/>
        <v>0</v>
      </c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2:32" x14ac:dyDescent="0.25">
      <c r="L56" s="125" t="s">
        <v>2031</v>
      </c>
      <c r="M56" s="3" t="s">
        <v>2130</v>
      </c>
      <c r="N56" s="20">
        <v>0</v>
      </c>
      <c r="O56" s="3">
        <f>VLOOKUP($M56,FORMULAS!$O$14:$P$18,2,FALSE)*N56</f>
        <v>0</v>
      </c>
      <c r="P56" s="3">
        <f>VLOOKUP($M56,FORMULAS!$O$14:$Q$18,3,FALSE)*N56</f>
        <v>0</v>
      </c>
      <c r="Q56" s="3">
        <f>VLOOKUP($M56,FORMULAS!$O$14:$R$18,4,FALSE)*N56</f>
        <v>0</v>
      </c>
      <c r="T56" s="125" t="s">
        <v>2031</v>
      </c>
      <c r="U56" s="3" t="str">
        <f t="shared" ref="U56:U64" si="18">M56</f>
        <v>Descremados - bajos en grasas</v>
      </c>
      <c r="V56" s="30">
        <f t="shared" ref="V56:V64" si="19">N56</f>
        <v>0</v>
      </c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2:32" x14ac:dyDescent="0.25">
      <c r="L57" s="125"/>
      <c r="M57" s="3" t="s">
        <v>2129</v>
      </c>
      <c r="N57" s="20">
        <v>0</v>
      </c>
      <c r="O57" s="3">
        <f>VLOOKUP($M57,FORMULAS!$O$14:$P$18,2,FALSE)*N57</f>
        <v>0</v>
      </c>
      <c r="P57" s="3">
        <f>VLOOKUP($M57,FORMULAS!$O$14:$Q$18,3,FALSE)*N57</f>
        <v>0</v>
      </c>
      <c r="Q57" s="3">
        <f>VLOOKUP($M57,FORMULAS!$O$14:$R$18,4,FALSE)*N57</f>
        <v>0</v>
      </c>
      <c r="T57" s="125"/>
      <c r="U57" s="3" t="str">
        <f t="shared" si="18"/>
        <v>Semidescremados - medios en grasas</v>
      </c>
      <c r="V57" s="30">
        <f t="shared" si="19"/>
        <v>0</v>
      </c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2:32" x14ac:dyDescent="0.25">
      <c r="L58" s="126" t="s">
        <v>2133</v>
      </c>
      <c r="M58" s="3" t="s">
        <v>2135</v>
      </c>
      <c r="N58" s="20">
        <v>1</v>
      </c>
      <c r="O58" s="3">
        <f>VLOOKUP($M58,FORMULAS!$O$19:$P$22,2,FALSE)*N58</f>
        <v>0</v>
      </c>
      <c r="P58" s="3">
        <f>VLOOKUP($M58,FORMULAS!$O$19:$Q$22,3,FALSE)*N58</f>
        <v>11</v>
      </c>
      <c r="Q58" s="3">
        <f>VLOOKUP($M58,FORMULAS!$O$19:$R$22,4,FALSE)*N58</f>
        <v>7</v>
      </c>
      <c r="T58" s="126" t="s">
        <v>2133</v>
      </c>
      <c r="U58" s="3" t="str">
        <f t="shared" si="18"/>
        <v>Medios en grasas</v>
      </c>
      <c r="V58" s="30">
        <f t="shared" si="19"/>
        <v>1</v>
      </c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2:32" x14ac:dyDescent="0.25">
      <c r="L59" s="126"/>
      <c r="M59" s="3" t="s">
        <v>2136</v>
      </c>
      <c r="N59" s="20">
        <v>0</v>
      </c>
      <c r="O59" s="3">
        <f>VLOOKUP($M59,FORMULAS!$O$19:$P$22,2,FALSE)*N59</f>
        <v>0</v>
      </c>
      <c r="P59" s="3">
        <f>VLOOKUP($M59,FORMULAS!$O$19:$Q$22,3,FALSE)*N59</f>
        <v>0</v>
      </c>
      <c r="Q59" s="3">
        <f>VLOOKUP($M59,FORMULAS!$O$19:$R$22,4,FALSE)*N59</f>
        <v>0</v>
      </c>
      <c r="T59" s="126"/>
      <c r="U59" s="3" t="str">
        <f t="shared" si="18"/>
        <v>Bajos en grasas</v>
      </c>
      <c r="V59" s="30">
        <f t="shared" si="19"/>
        <v>0</v>
      </c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2:32" x14ac:dyDescent="0.25">
      <c r="L60" s="126"/>
      <c r="M60" s="3" t="s">
        <v>2137</v>
      </c>
      <c r="N60" s="20">
        <v>0</v>
      </c>
      <c r="O60" s="3">
        <f>VLOOKUP($M60,FORMULAS!$O$19:$P$22,2,FALSE)*N60</f>
        <v>0</v>
      </c>
      <c r="P60" s="3">
        <f>VLOOKUP($M60,FORMULAS!$O$19:$Q$22,3,FALSE)*N60</f>
        <v>0</v>
      </c>
      <c r="Q60" s="3">
        <f>VLOOKUP($M60,FORMULAS!$O$19:$R$22,4,FALSE)*N60</f>
        <v>0</v>
      </c>
      <c r="T60" s="126"/>
      <c r="U60" s="3" t="str">
        <f t="shared" si="18"/>
        <v>Embutidos</v>
      </c>
      <c r="V60" s="30">
        <f t="shared" si="19"/>
        <v>0</v>
      </c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2:32" x14ac:dyDescent="0.25">
      <c r="L61" s="42" t="s">
        <v>2028</v>
      </c>
      <c r="M61" s="3" t="s">
        <v>2028</v>
      </c>
      <c r="N61" s="20">
        <v>0.75</v>
      </c>
      <c r="O61" s="3">
        <f>VLOOKUP($M61,FORMULAS!$O$23:$P$23,2,FALSE)*N61</f>
        <v>15</v>
      </c>
      <c r="P61" s="3">
        <f>VLOOKUP($M61,FORMULAS!$O$23:$Q$23,3,FALSE)*N61</f>
        <v>6.75</v>
      </c>
      <c r="Q61" s="3">
        <f>VLOOKUP($M61,FORMULAS!$O$23:$R$23,4,FALSE)*N61</f>
        <v>0.75</v>
      </c>
      <c r="T61" s="42" t="s">
        <v>2028</v>
      </c>
      <c r="U61" s="3" t="str">
        <f t="shared" si="18"/>
        <v>Leguminosas</v>
      </c>
      <c r="V61" s="30">
        <f t="shared" si="19"/>
        <v>0.75</v>
      </c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2:32" x14ac:dyDescent="0.25">
      <c r="L62" s="127" t="s">
        <v>2032</v>
      </c>
      <c r="M62" s="3" t="s">
        <v>2134</v>
      </c>
      <c r="N62" s="20">
        <v>1</v>
      </c>
      <c r="O62" s="3">
        <f>VLOOKUP($M62,FORMULAS!$O$24:$P$27,2,FALSE)*N62</f>
        <v>1</v>
      </c>
      <c r="P62" s="3">
        <f>VLOOKUP($M62,FORMULAS!$O$24:$Q$27,3,FALSE)*N62</f>
        <v>1</v>
      </c>
      <c r="Q62" s="3">
        <f>VLOOKUP($M62,FORMULAS!$O$24:$R$27,4,FALSE)*N62</f>
        <v>12</v>
      </c>
      <c r="T62" s="129" t="s">
        <v>2032</v>
      </c>
      <c r="U62" s="3" t="str">
        <f t="shared" si="18"/>
        <v>Altos en grasas</v>
      </c>
      <c r="V62" s="30">
        <f t="shared" si="19"/>
        <v>1</v>
      </c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2:32" x14ac:dyDescent="0.25">
      <c r="L63" s="127"/>
      <c r="M63" s="3" t="s">
        <v>2139</v>
      </c>
      <c r="N63" s="20">
        <v>0</v>
      </c>
      <c r="O63" s="3">
        <f>VLOOKUP($M63,FORMULAS!$O$24:$P$27,2,FALSE)*N63</f>
        <v>0</v>
      </c>
      <c r="P63" s="3">
        <f>VLOOKUP($M63,FORMULAS!$O$24:$Q$27,3,FALSE)*N63</f>
        <v>0</v>
      </c>
      <c r="Q63" s="3">
        <f>VLOOKUP($M63,FORMULAS!$O$24:$R$27,4,FALSE)*N63</f>
        <v>0</v>
      </c>
      <c r="T63" s="130"/>
      <c r="U63" s="3" t="str">
        <f t="shared" si="18"/>
        <v>Medios en grasas y bajor en CHO</v>
      </c>
      <c r="V63" s="30">
        <f t="shared" si="19"/>
        <v>0</v>
      </c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2:32" x14ac:dyDescent="0.25">
      <c r="L64" s="43" t="s">
        <v>2147</v>
      </c>
      <c r="M64" s="3" t="s">
        <v>2140</v>
      </c>
      <c r="N64" s="20">
        <v>1</v>
      </c>
      <c r="O64" s="3">
        <f>VLOOKUP($M64,FORMULAS!$O$28:$P$28,2,FALSE)*N64</f>
        <v>10</v>
      </c>
      <c r="P64" s="3">
        <f>VLOOKUP($M64,FORMULAS!$O$28:$Q$28,3,FALSE)*N64</f>
        <v>0</v>
      </c>
      <c r="Q64" s="3">
        <f>VLOOKUP($M64,FORMULAS!$O$28:$R$28,4,FALSE)*N64</f>
        <v>0</v>
      </c>
      <c r="T64" s="43" t="s">
        <v>2147</v>
      </c>
      <c r="U64" s="3" t="str">
        <f t="shared" si="18"/>
        <v>Azucares y alimentos azucarados</v>
      </c>
      <c r="V64" s="30">
        <f t="shared" si="19"/>
        <v>1</v>
      </c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2:32" x14ac:dyDescent="0.25">
      <c r="N65" s="21" t="s">
        <v>2111</v>
      </c>
      <c r="O65" s="20">
        <f>SUM(O50:O64)</f>
        <v>86</v>
      </c>
      <c r="P65" s="20">
        <f>SUM(P50:P64)</f>
        <v>25.75</v>
      </c>
      <c r="Q65" s="20">
        <f>SUM(Q50:Q64)</f>
        <v>20.75</v>
      </c>
      <c r="T65" s="47"/>
      <c r="U65" s="134" t="s">
        <v>2179</v>
      </c>
      <c r="V65" s="135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</row>
    <row r="66" spans="12:32" x14ac:dyDescent="0.25">
      <c r="N66" s="21" t="s">
        <v>2148</v>
      </c>
      <c r="O66" s="49">
        <f>O65-O49</f>
        <v>87.928571428571445</v>
      </c>
      <c r="P66" s="49">
        <f t="shared" ref="P66:Q66" si="20">P65-P49</f>
        <v>4.6785714285714306</v>
      </c>
      <c r="Q66" s="49">
        <f t="shared" si="20"/>
        <v>21.043650793650798</v>
      </c>
      <c r="T66" s="47"/>
      <c r="U66" s="136"/>
      <c r="V66" s="137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</row>
    <row r="69" spans="12:32" x14ac:dyDescent="0.25">
      <c r="L69" s="15" t="s">
        <v>2151</v>
      </c>
      <c r="T69" s="15" t="s">
        <v>2151</v>
      </c>
    </row>
    <row r="70" spans="12:32" x14ac:dyDescent="0.25">
      <c r="O70" s="36" t="s">
        <v>2115</v>
      </c>
      <c r="P70" s="36" t="s">
        <v>2116</v>
      </c>
      <c r="Q70" s="36" t="s">
        <v>2117</v>
      </c>
      <c r="W70" s="132" t="s">
        <v>2167</v>
      </c>
      <c r="X70" s="132"/>
      <c r="Y70" s="132" t="s">
        <v>2168</v>
      </c>
      <c r="Z70" s="132"/>
      <c r="AA70" s="132" t="s">
        <v>2169</v>
      </c>
      <c r="AB70" s="132"/>
      <c r="AC70" s="132" t="s">
        <v>2170</v>
      </c>
      <c r="AD70" s="132"/>
      <c r="AE70" s="132" t="s">
        <v>2171</v>
      </c>
      <c r="AF70" s="132"/>
    </row>
    <row r="71" spans="12:32" ht="60" x14ac:dyDescent="0.25">
      <c r="L71" s="39" t="s">
        <v>2114</v>
      </c>
      <c r="M71" s="39" t="s">
        <v>2145</v>
      </c>
      <c r="N71" s="40" t="s">
        <v>2146</v>
      </c>
      <c r="O71" s="41">
        <f>G18-O66</f>
        <v>-62.914285714285739</v>
      </c>
      <c r="P71" s="41">
        <f t="shared" ref="P71:Q71" si="21">H18-P66</f>
        <v>7.0357142857142829</v>
      </c>
      <c r="Q71" s="41">
        <f t="shared" si="21"/>
        <v>-15.602380952380958</v>
      </c>
      <c r="T71" s="39" t="s">
        <v>2114</v>
      </c>
      <c r="U71" s="39" t="s">
        <v>2145</v>
      </c>
      <c r="V71" s="40" t="s">
        <v>2176</v>
      </c>
      <c r="W71" s="40" t="s">
        <v>2164</v>
      </c>
      <c r="X71" s="40" t="s">
        <v>2165</v>
      </c>
      <c r="Y71" s="40" t="s">
        <v>2164</v>
      </c>
      <c r="Z71" s="40" t="s">
        <v>2165</v>
      </c>
      <c r="AA71" s="40" t="s">
        <v>2164</v>
      </c>
      <c r="AB71" s="40" t="s">
        <v>2165</v>
      </c>
      <c r="AC71" s="40" t="s">
        <v>2164</v>
      </c>
      <c r="AD71" s="40" t="s">
        <v>2165</v>
      </c>
      <c r="AE71" s="40" t="s">
        <v>2164</v>
      </c>
      <c r="AF71" s="40" t="s">
        <v>2165</v>
      </c>
    </row>
    <row r="72" spans="12:32" x14ac:dyDescent="0.25">
      <c r="L72" s="128" t="s">
        <v>2118</v>
      </c>
      <c r="M72" s="3" t="s">
        <v>2120</v>
      </c>
      <c r="N72" s="20">
        <v>0</v>
      </c>
      <c r="O72" s="3">
        <f>VLOOKUP($M72,FORMULAS!$O$6:$P$8,2,FALSE)*N72</f>
        <v>0</v>
      </c>
      <c r="P72" s="3">
        <f>VLOOKUP($M72,FORMULAS!$O$6:$Q$8,3,FALSE)*N72</f>
        <v>0</v>
      </c>
      <c r="Q72" s="3">
        <f>VLOOKUP($M72,FORMULAS!$O$6:$R$8,4,FALSE)*N72</f>
        <v>0</v>
      </c>
      <c r="T72" s="128" t="s">
        <v>2118</v>
      </c>
      <c r="U72" s="3" t="str">
        <f t="shared" ref="U72:V75" si="22">M72</f>
        <v>Medios en CHO y bajos en grasas</v>
      </c>
      <c r="V72" s="30">
        <f t="shared" si="22"/>
        <v>0</v>
      </c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2:32" x14ac:dyDescent="0.25">
      <c r="L73" s="128"/>
      <c r="M73" s="3" t="s">
        <v>2120</v>
      </c>
      <c r="N73" s="20">
        <v>0</v>
      </c>
      <c r="O73" s="3">
        <f>VLOOKUP($M73,FORMULAS!$O$6:$P$8,2,FALSE)*N73</f>
        <v>0</v>
      </c>
      <c r="P73" s="3">
        <f>VLOOKUP($M73,FORMULAS!$O$6:$Q$8,3,FALSE)*N73</f>
        <v>0</v>
      </c>
      <c r="Q73" s="3">
        <f>VLOOKUP($M73,FORMULAS!$O$6:$R$8,4,FALSE)*N73</f>
        <v>0</v>
      </c>
      <c r="T73" s="128"/>
      <c r="U73" s="3" t="str">
        <f t="shared" si="22"/>
        <v>Medios en CHO y bajos en grasas</v>
      </c>
      <c r="V73" s="30">
        <f t="shared" si="22"/>
        <v>0</v>
      </c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2:32" x14ac:dyDescent="0.25">
      <c r="L74" s="124" t="s">
        <v>2026</v>
      </c>
      <c r="M74" s="3" t="s">
        <v>2122</v>
      </c>
      <c r="N74" s="20">
        <v>0</v>
      </c>
      <c r="O74" s="3">
        <f>VLOOKUP($M74,FORMULAS!$O$9:$P$11,2,FALSE)*N74</f>
        <v>0</v>
      </c>
      <c r="P74" s="3">
        <f>VLOOKUP($M74,FORMULAS!$O$9:$Q$11,3,FALSE)*N74</f>
        <v>0</v>
      </c>
      <c r="Q74" s="3">
        <f>VLOOKUP($M74,FORMULAS!$O$9:$R$11,4,FALSE)*N74</f>
        <v>0</v>
      </c>
      <c r="T74" s="124" t="s">
        <v>2026</v>
      </c>
      <c r="U74" s="3" t="str">
        <f t="shared" si="22"/>
        <v>Medias en CHO</v>
      </c>
      <c r="V74" s="30">
        <f t="shared" si="22"/>
        <v>0</v>
      </c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2:32" x14ac:dyDescent="0.25">
      <c r="L75" s="124"/>
      <c r="M75" s="3" t="s">
        <v>2123</v>
      </c>
      <c r="N75" s="20">
        <v>0</v>
      </c>
      <c r="O75" s="3">
        <f>VLOOKUP($M75,FORMULAS!$O$9:$P$11,2,FALSE)*N75</f>
        <v>0</v>
      </c>
      <c r="P75" s="3">
        <f>VLOOKUP($M75,FORMULAS!$O$9:$Q$11,3,FALSE)*N75</f>
        <v>0</v>
      </c>
      <c r="Q75" s="3">
        <f>VLOOKUP($M75,FORMULAS!$O$9:$R$11,4,FALSE)*N75</f>
        <v>0</v>
      </c>
      <c r="T75" s="124"/>
      <c r="U75" s="3" t="str">
        <f t="shared" si="22"/>
        <v>Bajas en CHO</v>
      </c>
      <c r="V75" s="30">
        <f t="shared" si="22"/>
        <v>0</v>
      </c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2:32" x14ac:dyDescent="0.25">
      <c r="L76" s="123" t="s">
        <v>2027</v>
      </c>
      <c r="M76" s="3" t="s">
        <v>2125</v>
      </c>
      <c r="N76" s="20">
        <v>0</v>
      </c>
      <c r="O76" s="3">
        <f>VLOOKUP($M76,FORMULAS!$O$12:$P$13,2,FALSE)*N76</f>
        <v>0</v>
      </c>
      <c r="P76" s="3">
        <f>VLOOKUP($M76,FORMULAS!$O$12:$Q$13,3,FALSE)*N76</f>
        <v>0</v>
      </c>
      <c r="Q76" s="3">
        <f>VLOOKUP($M76,FORMULAS!$O$12:$R$13,4,FALSE)*N76</f>
        <v>0</v>
      </c>
      <c r="T76" s="123" t="s">
        <v>2027</v>
      </c>
      <c r="U76" s="3" t="str">
        <f t="shared" ref="U76:V77" si="23">M76</f>
        <v>Bajos en CHO</v>
      </c>
      <c r="V76" s="30">
        <f t="shared" si="23"/>
        <v>0</v>
      </c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2:32" x14ac:dyDescent="0.25">
      <c r="L77" s="123"/>
      <c r="M77" s="3" t="s">
        <v>2126</v>
      </c>
      <c r="N77" s="20">
        <v>0</v>
      </c>
      <c r="O77" s="3">
        <f>VLOOKUP($M77,FORMULAS!$O$12:$P$13,2,FALSE)*N77</f>
        <v>0</v>
      </c>
      <c r="P77" s="3">
        <f>VLOOKUP($M77,FORMULAS!$O$12:$Q$13,3,FALSE)*N77</f>
        <v>0</v>
      </c>
      <c r="Q77" s="3">
        <f>VLOOKUP($M77,FORMULAS!$O$12:$R$13,4,FALSE)*N77</f>
        <v>0</v>
      </c>
      <c r="T77" s="123"/>
      <c r="U77" s="3" t="str">
        <f t="shared" si="23"/>
        <v>Libre consumo</v>
      </c>
      <c r="V77" s="30">
        <f t="shared" si="23"/>
        <v>0</v>
      </c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2:32" x14ac:dyDescent="0.25">
      <c r="L78" s="125" t="s">
        <v>2031</v>
      </c>
      <c r="M78" s="3" t="s">
        <v>2130</v>
      </c>
      <c r="N78" s="20">
        <v>0</v>
      </c>
      <c r="O78" s="3">
        <f>VLOOKUP($M78,FORMULAS!$O$14:$P$18,2,FALSE)*N78</f>
        <v>0</v>
      </c>
      <c r="P78" s="3">
        <f>VLOOKUP($M78,FORMULAS!$O$14:$Q$18,3,FALSE)*N78</f>
        <v>0</v>
      </c>
      <c r="Q78" s="3">
        <f>VLOOKUP($M78,FORMULAS!$O$14:$R$18,4,FALSE)*N78</f>
        <v>0</v>
      </c>
      <c r="T78" s="125" t="s">
        <v>2031</v>
      </c>
      <c r="U78" s="3" t="str">
        <f t="shared" ref="U78:U86" si="24">M78</f>
        <v>Descremados - bajos en grasas</v>
      </c>
      <c r="V78" s="30">
        <f t="shared" ref="V78:V86" si="25">N78</f>
        <v>0</v>
      </c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2:32" x14ac:dyDescent="0.25">
      <c r="L79" s="125"/>
      <c r="M79" s="3" t="s">
        <v>2129</v>
      </c>
      <c r="N79" s="20">
        <v>0</v>
      </c>
      <c r="O79" s="3">
        <f>VLOOKUP($M79,FORMULAS!$O$14:$P$18,2,FALSE)*N79</f>
        <v>0</v>
      </c>
      <c r="P79" s="3">
        <f>VLOOKUP($M79,FORMULAS!$O$14:$Q$18,3,FALSE)*N79</f>
        <v>0</v>
      </c>
      <c r="Q79" s="3">
        <f>VLOOKUP($M79,FORMULAS!$O$14:$R$18,4,FALSE)*N79</f>
        <v>0</v>
      </c>
      <c r="T79" s="125"/>
      <c r="U79" s="3" t="str">
        <f t="shared" si="24"/>
        <v>Semidescremados - medios en grasas</v>
      </c>
      <c r="V79" s="30">
        <f t="shared" si="25"/>
        <v>0</v>
      </c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2:32" x14ac:dyDescent="0.25">
      <c r="L80" s="126" t="s">
        <v>2133</v>
      </c>
      <c r="M80" s="3" t="s">
        <v>2135</v>
      </c>
      <c r="N80" s="20">
        <v>0</v>
      </c>
      <c r="O80" s="3">
        <f>VLOOKUP($M80,FORMULAS!$O$19:$P$22,2,FALSE)*N80</f>
        <v>0</v>
      </c>
      <c r="P80" s="3">
        <f>VLOOKUP($M80,FORMULAS!$O$19:$Q$22,3,FALSE)*N80</f>
        <v>0</v>
      </c>
      <c r="Q80" s="3">
        <f>VLOOKUP($M80,FORMULAS!$O$19:$R$22,4,FALSE)*N80</f>
        <v>0</v>
      </c>
      <c r="T80" s="126" t="s">
        <v>2133</v>
      </c>
      <c r="U80" s="3" t="str">
        <f t="shared" si="24"/>
        <v>Medios en grasas</v>
      </c>
      <c r="V80" s="30">
        <f t="shared" si="25"/>
        <v>0</v>
      </c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2:32" x14ac:dyDescent="0.25">
      <c r="L81" s="126"/>
      <c r="M81" s="3" t="s">
        <v>2136</v>
      </c>
      <c r="N81" s="20">
        <v>0</v>
      </c>
      <c r="O81" s="3">
        <f>VLOOKUP($M81,FORMULAS!$O$19:$P$22,2,FALSE)*N81</f>
        <v>0</v>
      </c>
      <c r="P81" s="3">
        <f>VLOOKUP($M81,FORMULAS!$O$19:$Q$22,3,FALSE)*N81</f>
        <v>0</v>
      </c>
      <c r="Q81" s="3">
        <f>VLOOKUP($M81,FORMULAS!$O$19:$R$22,4,FALSE)*N81</f>
        <v>0</v>
      </c>
      <c r="T81" s="126"/>
      <c r="U81" s="3" t="str">
        <f t="shared" si="24"/>
        <v>Bajos en grasas</v>
      </c>
      <c r="V81" s="30">
        <f t="shared" si="25"/>
        <v>0</v>
      </c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2:32" x14ac:dyDescent="0.25">
      <c r="L82" s="126"/>
      <c r="M82" s="3" t="s">
        <v>2137</v>
      </c>
      <c r="N82" s="20">
        <v>0</v>
      </c>
      <c r="O82" s="3">
        <f>VLOOKUP($M82,FORMULAS!$O$19:$P$22,2,FALSE)*N82</f>
        <v>0</v>
      </c>
      <c r="P82" s="3">
        <f>VLOOKUP($M82,FORMULAS!$O$19:$Q$22,3,FALSE)*N82</f>
        <v>0</v>
      </c>
      <c r="Q82" s="3">
        <f>VLOOKUP($M82,FORMULAS!$O$19:$R$22,4,FALSE)*N82</f>
        <v>0</v>
      </c>
      <c r="T82" s="126"/>
      <c r="U82" s="3" t="str">
        <f t="shared" si="24"/>
        <v>Embutidos</v>
      </c>
      <c r="V82" s="30">
        <f t="shared" si="25"/>
        <v>0</v>
      </c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2:32" x14ac:dyDescent="0.25">
      <c r="L83" s="42" t="s">
        <v>2028</v>
      </c>
      <c r="M83" s="3" t="s">
        <v>2028</v>
      </c>
      <c r="N83" s="20">
        <v>0</v>
      </c>
      <c r="O83" s="3">
        <f>VLOOKUP($M83,FORMULAS!$O$23:$P$23,2,FALSE)*N83</f>
        <v>0</v>
      </c>
      <c r="P83" s="3">
        <f>VLOOKUP($M83,FORMULAS!$O$23:$Q$23,3,FALSE)*N83</f>
        <v>0</v>
      </c>
      <c r="Q83" s="3">
        <f>VLOOKUP($M83,FORMULAS!$O$23:$R$23,4,FALSE)*N83</f>
        <v>0</v>
      </c>
      <c r="T83" s="42" t="s">
        <v>2028</v>
      </c>
      <c r="U83" s="3" t="str">
        <f t="shared" si="24"/>
        <v>Leguminosas</v>
      </c>
      <c r="V83" s="30">
        <f t="shared" si="25"/>
        <v>0</v>
      </c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2:32" x14ac:dyDescent="0.25">
      <c r="L84" s="127" t="s">
        <v>2032</v>
      </c>
      <c r="M84" s="3" t="s">
        <v>2138</v>
      </c>
      <c r="N84" s="20">
        <v>0</v>
      </c>
      <c r="O84" s="3">
        <f>VLOOKUP($M84,FORMULAS!$O$24:$P$27,2,FALSE)*N84</f>
        <v>0</v>
      </c>
      <c r="P84" s="3">
        <f>VLOOKUP($M84,FORMULAS!$O$24:$Q$27,3,FALSE)*N84</f>
        <v>0</v>
      </c>
      <c r="Q84" s="3">
        <f>VLOOKUP($M84,FORMULAS!$O$24:$R$27,4,FALSE)*N84</f>
        <v>0</v>
      </c>
      <c r="T84" s="129" t="s">
        <v>2032</v>
      </c>
      <c r="U84" s="3" t="str">
        <f t="shared" si="24"/>
        <v>Altos en grasas y bajos en CHO</v>
      </c>
      <c r="V84" s="30">
        <f t="shared" si="25"/>
        <v>0</v>
      </c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2:32" x14ac:dyDescent="0.25">
      <c r="L85" s="127"/>
      <c r="M85" s="3" t="s">
        <v>2139</v>
      </c>
      <c r="N85" s="20">
        <v>0</v>
      </c>
      <c r="O85" s="3">
        <f>VLOOKUP($M85,FORMULAS!$O$24:$P$27,2,FALSE)*N85</f>
        <v>0</v>
      </c>
      <c r="P85" s="3">
        <f>VLOOKUP($M85,FORMULAS!$O$24:$Q$27,3,FALSE)*N85</f>
        <v>0</v>
      </c>
      <c r="Q85" s="3">
        <f>VLOOKUP($M85,FORMULAS!$O$24:$R$27,4,FALSE)*N85</f>
        <v>0</v>
      </c>
      <c r="T85" s="130"/>
      <c r="U85" s="3" t="str">
        <f t="shared" si="24"/>
        <v>Medios en grasas y bajor en CHO</v>
      </c>
      <c r="V85" s="30">
        <f t="shared" si="25"/>
        <v>0</v>
      </c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2:32" x14ac:dyDescent="0.25">
      <c r="L86" s="43" t="s">
        <v>2147</v>
      </c>
      <c r="M86" s="3" t="s">
        <v>2140</v>
      </c>
      <c r="N86" s="20">
        <v>0</v>
      </c>
      <c r="O86" s="3">
        <f>VLOOKUP($M86,FORMULAS!$O$28:$P$28,2,FALSE)*N86</f>
        <v>0</v>
      </c>
      <c r="P86" s="3">
        <f>VLOOKUP($M86,FORMULAS!$O$28:$Q$28,3,FALSE)*N86</f>
        <v>0</v>
      </c>
      <c r="Q86" s="3">
        <f>VLOOKUP($M86,FORMULAS!$O$28:$R$28,4,FALSE)*N86</f>
        <v>0</v>
      </c>
      <c r="T86" s="43" t="s">
        <v>2147</v>
      </c>
      <c r="U86" s="3" t="str">
        <f t="shared" si="24"/>
        <v>Azucares y alimentos azucarados</v>
      </c>
      <c r="V86" s="30">
        <f t="shared" si="25"/>
        <v>0</v>
      </c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2:32" x14ac:dyDescent="0.25">
      <c r="N87" s="21" t="s">
        <v>2111</v>
      </c>
      <c r="O87" s="20">
        <f>SUM(O72:O86)</f>
        <v>0</v>
      </c>
      <c r="P87" s="20">
        <f>SUM(P72:P86)</f>
        <v>0</v>
      </c>
      <c r="Q87" s="20">
        <f>SUM(Q72:Q86)</f>
        <v>0</v>
      </c>
      <c r="T87" s="47"/>
      <c r="U87" s="134" t="s">
        <v>2179</v>
      </c>
      <c r="V87" s="135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</row>
    <row r="88" spans="12:32" x14ac:dyDescent="0.25">
      <c r="N88" s="21" t="s">
        <v>2148</v>
      </c>
      <c r="O88" s="49">
        <f>O87-O71</f>
        <v>62.914285714285739</v>
      </c>
      <c r="P88" s="49">
        <f t="shared" ref="P88:Q88" si="26">P87-P71</f>
        <v>-7.0357142857142829</v>
      </c>
      <c r="Q88" s="49">
        <f t="shared" si="26"/>
        <v>15.602380952380958</v>
      </c>
      <c r="T88" s="47"/>
      <c r="U88" s="136"/>
      <c r="V88" s="137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</row>
    <row r="91" spans="12:32" x14ac:dyDescent="0.25">
      <c r="L91" s="15" t="s">
        <v>2178</v>
      </c>
      <c r="T91" s="15" t="s">
        <v>2178</v>
      </c>
    </row>
    <row r="92" spans="12:32" x14ac:dyDescent="0.25">
      <c r="O92" s="36" t="s">
        <v>2115</v>
      </c>
      <c r="P92" s="36" t="s">
        <v>2116</v>
      </c>
      <c r="Q92" s="36" t="s">
        <v>2117</v>
      </c>
      <c r="W92" s="132" t="s">
        <v>2167</v>
      </c>
      <c r="X92" s="132"/>
      <c r="Y92" s="132" t="s">
        <v>2168</v>
      </c>
      <c r="Z92" s="132"/>
      <c r="AA92" s="132" t="s">
        <v>2169</v>
      </c>
      <c r="AB92" s="132"/>
      <c r="AC92" s="132" t="s">
        <v>2170</v>
      </c>
      <c r="AD92" s="132"/>
      <c r="AE92" s="132" t="s">
        <v>2171</v>
      </c>
      <c r="AF92" s="132"/>
    </row>
    <row r="93" spans="12:32" ht="60" x14ac:dyDescent="0.25">
      <c r="L93" s="39" t="s">
        <v>2114</v>
      </c>
      <c r="M93" s="39" t="s">
        <v>2145</v>
      </c>
      <c r="N93" s="40" t="s">
        <v>2146</v>
      </c>
      <c r="O93" s="50">
        <f>G19-O88</f>
        <v>-37.900000000000034</v>
      </c>
      <c r="P93" s="50">
        <f t="shared" ref="P93:Q93" si="27">H19-P88</f>
        <v>18.749999999999996</v>
      </c>
      <c r="Q93" s="50">
        <f t="shared" si="27"/>
        <v>-10.161111111111119</v>
      </c>
      <c r="T93" s="39" t="s">
        <v>2114</v>
      </c>
      <c r="U93" s="39" t="s">
        <v>2145</v>
      </c>
      <c r="V93" s="40" t="s">
        <v>2176</v>
      </c>
      <c r="W93" s="40" t="s">
        <v>2164</v>
      </c>
      <c r="X93" s="40" t="s">
        <v>2165</v>
      </c>
      <c r="Y93" s="40" t="s">
        <v>2164</v>
      </c>
      <c r="Z93" s="40" t="s">
        <v>2165</v>
      </c>
      <c r="AA93" s="40" t="s">
        <v>2164</v>
      </c>
      <c r="AB93" s="40" t="s">
        <v>2165</v>
      </c>
      <c r="AC93" s="40" t="s">
        <v>2164</v>
      </c>
      <c r="AD93" s="40" t="s">
        <v>2165</v>
      </c>
      <c r="AE93" s="40" t="s">
        <v>2164</v>
      </c>
      <c r="AF93" s="40" t="s">
        <v>2165</v>
      </c>
    </row>
    <row r="94" spans="12:32" x14ac:dyDescent="0.25">
      <c r="L94" s="128" t="s">
        <v>2118</v>
      </c>
      <c r="M94" s="3" t="s">
        <v>2119</v>
      </c>
      <c r="N94" s="20">
        <v>1</v>
      </c>
      <c r="O94" s="3">
        <f>VLOOKUP($M94,FORMULAS!$O$6:$P$8,2,FALSE)*N94</f>
        <v>30</v>
      </c>
      <c r="P94" s="3">
        <f>VLOOKUP($M94,FORMULAS!$O$6:$Q$8,3,FALSE)*N94</f>
        <v>4</v>
      </c>
      <c r="Q94" s="3">
        <f>VLOOKUP($M94,FORMULAS!$O$6:$R$8,4,FALSE)*N94</f>
        <v>1</v>
      </c>
      <c r="T94" s="128" t="s">
        <v>2118</v>
      </c>
      <c r="U94" s="3" t="str">
        <f t="shared" ref="U94:V97" si="28">M94</f>
        <v>Altos en CHO y bajos en grasas</v>
      </c>
      <c r="V94" s="30">
        <f t="shared" si="28"/>
        <v>1</v>
      </c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2:32" x14ac:dyDescent="0.25">
      <c r="L95" s="128"/>
      <c r="M95" s="3" t="s">
        <v>2120</v>
      </c>
      <c r="N95" s="20">
        <v>0</v>
      </c>
      <c r="O95" s="3">
        <f>VLOOKUP($M95,FORMULAS!$O$6:$P$8,2,FALSE)*N95</f>
        <v>0</v>
      </c>
      <c r="P95" s="3">
        <f>VLOOKUP($M95,FORMULAS!$O$6:$Q$8,3,FALSE)*N95</f>
        <v>0</v>
      </c>
      <c r="Q95" s="3">
        <f>VLOOKUP($M95,FORMULAS!$O$6:$R$8,4,FALSE)*N95</f>
        <v>0</v>
      </c>
      <c r="T95" s="128"/>
      <c r="U95" s="3" t="str">
        <f t="shared" si="28"/>
        <v>Medios en CHO y bajos en grasas</v>
      </c>
      <c r="V95" s="30">
        <f t="shared" si="28"/>
        <v>0</v>
      </c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2:32" x14ac:dyDescent="0.25">
      <c r="L96" s="124" t="s">
        <v>2026</v>
      </c>
      <c r="M96" s="3" t="s">
        <v>2122</v>
      </c>
      <c r="N96" s="20">
        <v>1.5</v>
      </c>
      <c r="O96" s="3">
        <f>VLOOKUP($M96,FORMULAS!$O$9:$P$11,2,FALSE)*N96</f>
        <v>30</v>
      </c>
      <c r="P96" s="3">
        <f>VLOOKUP($M96,FORMULAS!$O$9:$Q$11,3,FALSE)*N96</f>
        <v>1.5</v>
      </c>
      <c r="Q96" s="3">
        <f>VLOOKUP($M96,FORMULAS!$O$9:$R$11,4,FALSE)*N96</f>
        <v>0</v>
      </c>
      <c r="T96" s="124" t="s">
        <v>2026</v>
      </c>
      <c r="U96" s="3" t="str">
        <f t="shared" si="28"/>
        <v>Medias en CHO</v>
      </c>
      <c r="V96" s="30">
        <f t="shared" si="28"/>
        <v>1.5</v>
      </c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2:32" x14ac:dyDescent="0.25">
      <c r="L97" s="124"/>
      <c r="M97" s="3" t="s">
        <v>2123</v>
      </c>
      <c r="N97" s="20">
        <v>0</v>
      </c>
      <c r="O97" s="3">
        <f>VLOOKUP($M97,FORMULAS!$O$9:$P$11,2,FALSE)*N97</f>
        <v>0</v>
      </c>
      <c r="P97" s="3">
        <f>VLOOKUP($M97,FORMULAS!$O$9:$Q$11,3,FALSE)*N97</f>
        <v>0</v>
      </c>
      <c r="Q97" s="3">
        <f>VLOOKUP($M97,FORMULAS!$O$9:$R$11,4,FALSE)*N97</f>
        <v>0</v>
      </c>
      <c r="T97" s="124"/>
      <c r="U97" s="3" t="str">
        <f t="shared" si="28"/>
        <v>Bajas en CHO</v>
      </c>
      <c r="V97" s="30">
        <f t="shared" si="28"/>
        <v>0</v>
      </c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2:32" x14ac:dyDescent="0.25">
      <c r="L98" s="123" t="s">
        <v>2027</v>
      </c>
      <c r="M98" s="3" t="s">
        <v>2125</v>
      </c>
      <c r="N98" s="20">
        <v>1</v>
      </c>
      <c r="O98" s="3">
        <f>VLOOKUP($M98,FORMULAS!$O$12:$P$13,2,FALSE)*N98</f>
        <v>5</v>
      </c>
      <c r="P98" s="3">
        <f>VLOOKUP($M98,FORMULAS!$O$12:$Q$13,3,FALSE)*N98</f>
        <v>1</v>
      </c>
      <c r="Q98" s="3">
        <f>VLOOKUP($M98,FORMULAS!$O$12:$R$13,4,FALSE)*N98</f>
        <v>0</v>
      </c>
      <c r="T98" s="123" t="s">
        <v>2027</v>
      </c>
      <c r="U98" s="3" t="str">
        <f t="shared" ref="U98:V99" si="29">M98</f>
        <v>Bajos en CHO</v>
      </c>
      <c r="V98" s="30">
        <f t="shared" si="29"/>
        <v>1</v>
      </c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2:32" x14ac:dyDescent="0.25">
      <c r="L99" s="123"/>
      <c r="M99" s="3" t="s">
        <v>2126</v>
      </c>
      <c r="N99" s="20">
        <v>0</v>
      </c>
      <c r="O99" s="3">
        <f>VLOOKUP($M99,FORMULAS!$O$12:$P$13,2,FALSE)*N99</f>
        <v>0</v>
      </c>
      <c r="P99" s="3">
        <f>VLOOKUP($M99,FORMULAS!$O$12:$Q$13,3,FALSE)*N99</f>
        <v>0</v>
      </c>
      <c r="Q99" s="3">
        <f>VLOOKUP($M99,FORMULAS!$O$12:$R$13,4,FALSE)*N99</f>
        <v>0</v>
      </c>
      <c r="T99" s="123"/>
      <c r="U99" s="3" t="str">
        <f t="shared" si="29"/>
        <v>Libre consumo</v>
      </c>
      <c r="V99" s="30">
        <f t="shared" si="29"/>
        <v>0</v>
      </c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2:32" x14ac:dyDescent="0.25">
      <c r="L100" s="125" t="s">
        <v>2031</v>
      </c>
      <c r="M100" s="3" t="s">
        <v>2130</v>
      </c>
      <c r="N100" s="20">
        <v>0</v>
      </c>
      <c r="O100" s="3">
        <f>VLOOKUP($M100,FORMULAS!$O$14:$P$18,2,FALSE)*N100</f>
        <v>0</v>
      </c>
      <c r="P100" s="3">
        <f>VLOOKUP($M100,FORMULAS!$O$14:$Q$18,3,FALSE)*N100</f>
        <v>0</v>
      </c>
      <c r="Q100" s="3">
        <f>VLOOKUP($M100,FORMULAS!$O$14:$R$18,4,FALSE)*N100</f>
        <v>0</v>
      </c>
      <c r="T100" s="125" t="s">
        <v>2031</v>
      </c>
      <c r="U100" s="3" t="str">
        <f t="shared" ref="U100:U108" si="30">M100</f>
        <v>Descremados - bajos en grasas</v>
      </c>
      <c r="V100" s="30">
        <f t="shared" ref="V100:V108" si="31">N100</f>
        <v>0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2:32" x14ac:dyDescent="0.25">
      <c r="L101" s="125"/>
      <c r="M101" s="3" t="s">
        <v>2129</v>
      </c>
      <c r="N101" s="20">
        <v>0</v>
      </c>
      <c r="O101" s="3">
        <f>VLOOKUP($M101,FORMULAS!$O$14:$P$18,2,FALSE)*N101</f>
        <v>0</v>
      </c>
      <c r="P101" s="3">
        <f>VLOOKUP($M101,FORMULAS!$O$14:$Q$18,3,FALSE)*N101</f>
        <v>0</v>
      </c>
      <c r="Q101" s="3">
        <f>VLOOKUP($M101,FORMULAS!$O$14:$R$18,4,FALSE)*N101</f>
        <v>0</v>
      </c>
      <c r="T101" s="125"/>
      <c r="U101" s="3" t="str">
        <f t="shared" si="30"/>
        <v>Semidescremados - medios en grasas</v>
      </c>
      <c r="V101" s="30">
        <f t="shared" si="31"/>
        <v>0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2:32" x14ac:dyDescent="0.25">
      <c r="L102" s="126" t="s">
        <v>2133</v>
      </c>
      <c r="M102" s="3" t="s">
        <v>2135</v>
      </c>
      <c r="N102" s="20">
        <v>1.5</v>
      </c>
      <c r="O102" s="3">
        <f>VLOOKUP($M102,FORMULAS!$O$19:$P$22,2,FALSE)*N102</f>
        <v>0</v>
      </c>
      <c r="P102" s="3">
        <f>VLOOKUP($M102,FORMULAS!$O$19:$Q$22,3,FALSE)*N102</f>
        <v>16.5</v>
      </c>
      <c r="Q102" s="3">
        <f>VLOOKUP($M102,FORMULAS!$O$19:$R$22,4,FALSE)*N102</f>
        <v>10.5</v>
      </c>
      <c r="T102" s="126" t="s">
        <v>2133</v>
      </c>
      <c r="U102" s="3" t="str">
        <f t="shared" si="30"/>
        <v>Medios en grasas</v>
      </c>
      <c r="V102" s="30">
        <f t="shared" si="31"/>
        <v>1.5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2:32" x14ac:dyDescent="0.25">
      <c r="L103" s="126"/>
      <c r="M103" s="3" t="s">
        <v>2136</v>
      </c>
      <c r="N103" s="20">
        <v>0</v>
      </c>
      <c r="O103" s="3">
        <f>VLOOKUP($M103,FORMULAS!$O$19:$P$22,2,FALSE)*N103</f>
        <v>0</v>
      </c>
      <c r="P103" s="3">
        <f>VLOOKUP($M103,FORMULAS!$O$19:$Q$22,3,FALSE)*N103</f>
        <v>0</v>
      </c>
      <c r="Q103" s="3">
        <f>VLOOKUP($M103,FORMULAS!$O$19:$R$22,4,FALSE)*N103</f>
        <v>0</v>
      </c>
      <c r="T103" s="126"/>
      <c r="U103" s="3" t="str">
        <f t="shared" si="30"/>
        <v>Bajos en grasas</v>
      </c>
      <c r="V103" s="30">
        <f t="shared" si="31"/>
        <v>0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2:32" x14ac:dyDescent="0.25">
      <c r="L104" s="126"/>
      <c r="M104" s="3" t="s">
        <v>2137</v>
      </c>
      <c r="N104" s="20">
        <v>0</v>
      </c>
      <c r="O104" s="3">
        <f>VLOOKUP($M104,FORMULAS!$O$19:$P$22,2,FALSE)*N104</f>
        <v>0</v>
      </c>
      <c r="P104" s="3">
        <f>VLOOKUP($M104,FORMULAS!$O$19:$Q$22,3,FALSE)*N104</f>
        <v>0</v>
      </c>
      <c r="Q104" s="3">
        <f>VLOOKUP($M104,FORMULAS!$O$19:$R$22,4,FALSE)*N104</f>
        <v>0</v>
      </c>
      <c r="T104" s="126"/>
      <c r="U104" s="3" t="str">
        <f t="shared" si="30"/>
        <v>Embutidos</v>
      </c>
      <c r="V104" s="30">
        <f t="shared" si="31"/>
        <v>0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2:32" x14ac:dyDescent="0.25">
      <c r="L105" s="42" t="s">
        <v>2028</v>
      </c>
      <c r="M105" s="3" t="s">
        <v>2028</v>
      </c>
      <c r="N105" s="20">
        <v>0</v>
      </c>
      <c r="O105" s="3">
        <f>VLOOKUP($M105,FORMULAS!$O$23:$P$23,2,FALSE)*N105</f>
        <v>0</v>
      </c>
      <c r="P105" s="3">
        <f>VLOOKUP($M105,FORMULAS!$O$23:$Q$23,3,FALSE)*N105</f>
        <v>0</v>
      </c>
      <c r="Q105" s="3">
        <f>VLOOKUP($M105,FORMULAS!$O$23:$R$23,4,FALSE)*N105</f>
        <v>0</v>
      </c>
      <c r="T105" s="42" t="s">
        <v>2028</v>
      </c>
      <c r="U105" s="3" t="str">
        <f t="shared" si="30"/>
        <v>Leguminosas</v>
      </c>
      <c r="V105" s="30">
        <f t="shared" si="31"/>
        <v>0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2:32" x14ac:dyDescent="0.25">
      <c r="L106" s="127" t="s">
        <v>2032</v>
      </c>
      <c r="M106" s="3" t="s">
        <v>2135</v>
      </c>
      <c r="N106" s="20">
        <v>1.5</v>
      </c>
      <c r="O106" s="3">
        <f>VLOOKUP($M106,FORMULAS!$O$24:$P$27,2,FALSE)*N106</f>
        <v>3</v>
      </c>
      <c r="P106" s="3">
        <f>VLOOKUP($M106,FORMULAS!$O$24:$Q$27,3,FALSE)*N106</f>
        <v>1.5</v>
      </c>
      <c r="Q106" s="3">
        <f>VLOOKUP($M106,FORMULAS!$O$24:$R$27,4,FALSE)*N106</f>
        <v>10.5</v>
      </c>
      <c r="T106" s="129" t="s">
        <v>2032</v>
      </c>
      <c r="U106" s="3" t="str">
        <f t="shared" si="30"/>
        <v>Medios en grasas</v>
      </c>
      <c r="V106" s="30">
        <f t="shared" si="31"/>
        <v>1.5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2:32" x14ac:dyDescent="0.25">
      <c r="L107" s="127"/>
      <c r="M107" s="3" t="s">
        <v>2139</v>
      </c>
      <c r="N107" s="20">
        <v>0</v>
      </c>
      <c r="O107" s="3">
        <f>VLOOKUP($M107,FORMULAS!$O$24:$P$27,2,FALSE)*N107</f>
        <v>0</v>
      </c>
      <c r="P107" s="3">
        <f>VLOOKUP($M107,FORMULAS!$O$24:$Q$27,3,FALSE)*N107</f>
        <v>0</v>
      </c>
      <c r="Q107" s="3">
        <f>VLOOKUP($M107,FORMULAS!$O$24:$R$27,4,FALSE)*N107</f>
        <v>0</v>
      </c>
      <c r="T107" s="130"/>
      <c r="U107" s="3" t="str">
        <f t="shared" si="30"/>
        <v>Medios en grasas y bajor en CHO</v>
      </c>
      <c r="V107" s="30">
        <f t="shared" si="31"/>
        <v>0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2:32" x14ac:dyDescent="0.25">
      <c r="L108" s="43" t="s">
        <v>2147</v>
      </c>
      <c r="M108" s="3" t="s">
        <v>2140</v>
      </c>
      <c r="N108" s="20">
        <v>2</v>
      </c>
      <c r="O108" s="3">
        <f>VLOOKUP($M108,FORMULAS!$O$28:$P$28,2,FALSE)*N108</f>
        <v>20</v>
      </c>
      <c r="P108" s="3">
        <f>VLOOKUP($M108,FORMULAS!$O$28:$Q$28,3,FALSE)*N108</f>
        <v>0</v>
      </c>
      <c r="Q108" s="3">
        <f>VLOOKUP($M108,FORMULAS!$O$28:$R$28,4,FALSE)*N108</f>
        <v>0</v>
      </c>
      <c r="T108" s="43" t="s">
        <v>2147</v>
      </c>
      <c r="U108" s="3" t="str">
        <f t="shared" si="30"/>
        <v>Azucares y alimentos azucarados</v>
      </c>
      <c r="V108" s="30">
        <f t="shared" si="31"/>
        <v>2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2:32" x14ac:dyDescent="0.25">
      <c r="N109" s="21" t="s">
        <v>2111</v>
      </c>
      <c r="O109" s="20">
        <f>SUM(O94:O108)</f>
        <v>88</v>
      </c>
      <c r="P109" s="20">
        <f t="shared" ref="P109:Q109" si="32">SUM(P94:P108)</f>
        <v>24.5</v>
      </c>
      <c r="Q109" s="20">
        <f t="shared" si="32"/>
        <v>22</v>
      </c>
      <c r="T109" s="47"/>
      <c r="U109" s="134" t="s">
        <v>2179</v>
      </c>
      <c r="V109" s="135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</row>
    <row r="110" spans="12:32" x14ac:dyDescent="0.25">
      <c r="T110" s="47"/>
      <c r="U110" s="136"/>
      <c r="V110" s="137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</row>
  </sheetData>
  <mergeCells count="121">
    <mergeCell ref="AA109:AB110"/>
    <mergeCell ref="AC109:AD110"/>
    <mergeCell ref="AE109:AF110"/>
    <mergeCell ref="T102:T104"/>
    <mergeCell ref="T106:T107"/>
    <mergeCell ref="U109:V110"/>
    <mergeCell ref="W109:X110"/>
    <mergeCell ref="Y109:Z110"/>
    <mergeCell ref="AC87:AD88"/>
    <mergeCell ref="AE87:AF88"/>
    <mergeCell ref="W92:X92"/>
    <mergeCell ref="Y92:Z92"/>
    <mergeCell ref="AA92:AB92"/>
    <mergeCell ref="AC92:AD92"/>
    <mergeCell ref="AE92:AF92"/>
    <mergeCell ref="T96:T97"/>
    <mergeCell ref="T94:T95"/>
    <mergeCell ref="T98:T99"/>
    <mergeCell ref="T100:T101"/>
    <mergeCell ref="T84:T85"/>
    <mergeCell ref="U87:V88"/>
    <mergeCell ref="W87:X88"/>
    <mergeCell ref="Y87:Z88"/>
    <mergeCell ref="AA87:AB88"/>
    <mergeCell ref="AC65:AD66"/>
    <mergeCell ref="AE65:AF66"/>
    <mergeCell ref="W70:X70"/>
    <mergeCell ref="Y70:Z70"/>
    <mergeCell ref="AA70:AB70"/>
    <mergeCell ref="AC70:AD70"/>
    <mergeCell ref="AE70:AF70"/>
    <mergeCell ref="T72:T73"/>
    <mergeCell ref="T74:T75"/>
    <mergeCell ref="T78:T79"/>
    <mergeCell ref="T80:T82"/>
    <mergeCell ref="T62:T63"/>
    <mergeCell ref="U65:V66"/>
    <mergeCell ref="W65:X66"/>
    <mergeCell ref="Y65:Z66"/>
    <mergeCell ref="AA65:AB66"/>
    <mergeCell ref="AE43:AF44"/>
    <mergeCell ref="W48:X48"/>
    <mergeCell ref="Y48:Z48"/>
    <mergeCell ref="AA48:AB48"/>
    <mergeCell ref="AC48:AD48"/>
    <mergeCell ref="AE48:AF48"/>
    <mergeCell ref="U43:V44"/>
    <mergeCell ref="W43:X44"/>
    <mergeCell ref="Y43:Z44"/>
    <mergeCell ref="AA43:AB44"/>
    <mergeCell ref="AC43:AD44"/>
    <mergeCell ref="AE21:AF22"/>
    <mergeCell ref="W26:X26"/>
    <mergeCell ref="Y26:Z26"/>
    <mergeCell ref="AA26:AB26"/>
    <mergeCell ref="AC26:AD26"/>
    <mergeCell ref="AE26:AF26"/>
    <mergeCell ref="U21:V22"/>
    <mergeCell ref="W21:X22"/>
    <mergeCell ref="Y21:Z22"/>
    <mergeCell ref="AA21:AB22"/>
    <mergeCell ref="AC21:AD22"/>
    <mergeCell ref="W4:X4"/>
    <mergeCell ref="Y4:Z4"/>
    <mergeCell ref="AA4:AB4"/>
    <mergeCell ref="AC4:AD4"/>
    <mergeCell ref="AE4:AF4"/>
    <mergeCell ref="L98:L99"/>
    <mergeCell ref="L100:L101"/>
    <mergeCell ref="L102:L104"/>
    <mergeCell ref="L106:L107"/>
    <mergeCell ref="L18:L19"/>
    <mergeCell ref="L28:L29"/>
    <mergeCell ref="L30:L31"/>
    <mergeCell ref="L50:L51"/>
    <mergeCell ref="L32:L33"/>
    <mergeCell ref="L34:L35"/>
    <mergeCell ref="L36:L38"/>
    <mergeCell ref="L40:L41"/>
    <mergeCell ref="L56:L57"/>
    <mergeCell ref="L52:L53"/>
    <mergeCell ref="L54:L55"/>
    <mergeCell ref="L58:L60"/>
    <mergeCell ref="L62:L63"/>
    <mergeCell ref="L72:L73"/>
    <mergeCell ref="L74:L75"/>
    <mergeCell ref="A1:B1"/>
    <mergeCell ref="A13:B13"/>
    <mergeCell ref="A17:B17"/>
    <mergeCell ref="E12:I12"/>
    <mergeCell ref="E13:H13"/>
    <mergeCell ref="A9:C9"/>
    <mergeCell ref="L10:L11"/>
    <mergeCell ref="L6:L7"/>
    <mergeCell ref="L8:L9"/>
    <mergeCell ref="L12:L13"/>
    <mergeCell ref="L14:L16"/>
    <mergeCell ref="L76:L77"/>
    <mergeCell ref="L96:L97"/>
    <mergeCell ref="L78:L79"/>
    <mergeCell ref="L80:L82"/>
    <mergeCell ref="L84:L85"/>
    <mergeCell ref="L94:L95"/>
    <mergeCell ref="T10:T11"/>
    <mergeCell ref="T6:T7"/>
    <mergeCell ref="T8:T9"/>
    <mergeCell ref="T12:T13"/>
    <mergeCell ref="T14:T16"/>
    <mergeCell ref="T18:T19"/>
    <mergeCell ref="T30:T31"/>
    <mergeCell ref="T28:T29"/>
    <mergeCell ref="T32:T33"/>
    <mergeCell ref="T34:T35"/>
    <mergeCell ref="T36:T38"/>
    <mergeCell ref="T40:T41"/>
    <mergeCell ref="T50:T51"/>
    <mergeCell ref="T56:T57"/>
    <mergeCell ref="T52:T53"/>
    <mergeCell ref="T54:T55"/>
    <mergeCell ref="T58:T60"/>
    <mergeCell ref="T76:T77"/>
  </mergeCells>
  <conditionalFormatting sqref="F20">
    <cfRule type="cellIs" dxfId="35" priority="52" operator="lessThan">
      <formula>$I$13</formula>
    </cfRule>
    <cfRule type="cellIs" dxfId="34" priority="53" operator="greaterThan">
      <formula>$I$13</formula>
    </cfRule>
  </conditionalFormatting>
  <conditionalFormatting sqref="G24">
    <cfRule type="cellIs" dxfId="33" priority="19" operator="lessThan">
      <formula>$F$24</formula>
    </cfRule>
    <cfRule type="cellIs" dxfId="32" priority="22" operator="greaterThan">
      <formula>$H$24</formula>
    </cfRule>
  </conditionalFormatting>
  <conditionalFormatting sqref="G25">
    <cfRule type="cellIs" dxfId="31" priority="18" operator="lessThan">
      <formula>$F$25</formula>
    </cfRule>
    <cfRule type="cellIs" dxfId="30" priority="21" operator="greaterThan">
      <formula>$H$25</formula>
    </cfRule>
  </conditionalFormatting>
  <conditionalFormatting sqref="G26">
    <cfRule type="cellIs" dxfId="29" priority="17" operator="lessThan">
      <formula>$F$26</formula>
    </cfRule>
    <cfRule type="cellIs" dxfId="28" priority="20" operator="greaterThan">
      <formula>$H$26</formula>
    </cfRule>
  </conditionalFormatting>
  <conditionalFormatting sqref="N6:N20">
    <cfRule type="cellIs" dxfId="27" priority="8" operator="greaterThan">
      <formula>0</formula>
    </cfRule>
  </conditionalFormatting>
  <conditionalFormatting sqref="N28:N42">
    <cfRule type="cellIs" dxfId="26" priority="3" operator="greaterThan">
      <formula>0</formula>
    </cfRule>
  </conditionalFormatting>
  <conditionalFormatting sqref="N50:N64">
    <cfRule type="cellIs" dxfId="25" priority="2" operator="greaterThan">
      <formula>0</formula>
    </cfRule>
  </conditionalFormatting>
  <conditionalFormatting sqref="N72:N86">
    <cfRule type="cellIs" dxfId="24" priority="5" operator="greaterThan">
      <formula>0</formula>
    </cfRule>
  </conditionalFormatting>
  <conditionalFormatting sqref="N94:N108">
    <cfRule type="cellIs" dxfId="23" priority="1" operator="greaterThan">
      <formula>0</formula>
    </cfRule>
  </conditionalFormatting>
  <conditionalFormatting sqref="V6:V20">
    <cfRule type="cellIs" dxfId="22" priority="27" operator="greaterThan">
      <formula>0</formula>
    </cfRule>
  </conditionalFormatting>
  <conditionalFormatting sqref="V28:V42">
    <cfRule type="cellIs" dxfId="21" priority="26" operator="greaterThan">
      <formula>0</formula>
    </cfRule>
  </conditionalFormatting>
  <conditionalFormatting sqref="V50:V64">
    <cfRule type="cellIs" dxfId="20" priority="25" operator="greaterThan">
      <formula>0</formula>
    </cfRule>
  </conditionalFormatting>
  <conditionalFormatting sqref="V72:V86">
    <cfRule type="cellIs" dxfId="19" priority="24" operator="greaterThan">
      <formula>0</formula>
    </cfRule>
  </conditionalFormatting>
  <conditionalFormatting sqref="V94:V108">
    <cfRule type="cellIs" dxfId="18" priority="23" operator="greaterThan">
      <formula>0</formula>
    </cfRule>
  </conditionalFormatting>
  <pageMargins left="0.7" right="0.7" top="0.75" bottom="0.75" header="0.3" footer="0.3"/>
  <pageSetup paperSize="9" orientation="portrait" horizontalDpi="4294967292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FBF9C02A-522B-4801-BBA5-400C1CDB0E3E}">
          <x14:formula1>
            <xm:f>FORMULAS!$A$9:$A$15</xm:f>
          </x14:formula1>
          <xm:sqref>B10</xm:sqref>
        </x14:dataValidation>
        <x14:dataValidation type="list" allowBlank="1" showInputMessage="1" showErrorMessage="1" xr:uid="{FB20FD7C-7530-4F68-8F0C-50E4F584AC5B}">
          <x14:formula1>
            <xm:f>FORMULAS!$G$23:$G$26</xm:f>
          </x14:formula1>
          <xm:sqref>A14</xm:sqref>
        </x14:dataValidation>
        <x14:dataValidation type="list" allowBlank="1" showInputMessage="1" showErrorMessage="1" xr:uid="{119C5714-4E67-4418-9999-88A97B4386B7}">
          <x14:formula1>
            <xm:f>FORMULAS!$B$50:$B$53</xm:f>
          </x14:formula1>
          <xm:sqref>B18</xm:sqref>
        </x14:dataValidation>
        <x14:dataValidation type="list" allowBlank="1" showInputMessage="1" showErrorMessage="1" xr:uid="{01F97E75-91E7-4C1A-B94F-DEB26492FD52}">
          <x14:formula1>
            <xm:f>FORMULAS!$A$50:$A$57</xm:f>
          </x14:formula1>
          <xm:sqref>B20</xm:sqref>
        </x14:dataValidation>
        <x14:dataValidation type="list" allowBlank="1" showInputMessage="1" showErrorMessage="1" xr:uid="{55CE4FD7-E1B3-4B24-962F-5677E2C28082}">
          <x14:formula1>
            <xm:f>FORMULAS!$O$28</xm:f>
          </x14:formula1>
          <xm:sqref>M20 M64 M42 M86 M108</xm:sqref>
        </x14:dataValidation>
        <x14:dataValidation type="list" allowBlank="1" showInputMessage="1" showErrorMessage="1" xr:uid="{DF243304-620F-403A-83E6-EE2D0B5C7987}">
          <x14:formula1>
            <xm:f>FORMULAS!$O$24:$O$27</xm:f>
          </x14:formula1>
          <xm:sqref>M18:M19 M62:M63 M40:M41 M84:M85 M106:M107</xm:sqref>
        </x14:dataValidation>
        <x14:dataValidation type="list" allowBlank="1" showInputMessage="1" showErrorMessage="1" xr:uid="{65CD2F82-3910-47B2-8912-556738620695}">
          <x14:formula1>
            <xm:f>FORMULAS!$O$23</xm:f>
          </x14:formula1>
          <xm:sqref>M17 M61 M39 M83 M105</xm:sqref>
        </x14:dataValidation>
        <x14:dataValidation type="list" allowBlank="1" showInputMessage="1" showErrorMessage="1" xr:uid="{A3D175CC-3F91-487E-875B-DC05EF219E1D}">
          <x14:formula1>
            <xm:f>FORMULAS!$O$19:$O$22</xm:f>
          </x14:formula1>
          <xm:sqref>M14:M16 M58:M60 M36:M38 M80:M82 M102:M104</xm:sqref>
        </x14:dataValidation>
        <x14:dataValidation type="list" allowBlank="1" showInputMessage="1" showErrorMessage="1" xr:uid="{5F455134-A6E2-49D4-B978-48C854A1E0C4}">
          <x14:formula1>
            <xm:f>FORMULAS!$O$14:$O$18</xm:f>
          </x14:formula1>
          <xm:sqref>M12:M13 M56:M57 M34:M35 M78:M79 M100:M101</xm:sqref>
        </x14:dataValidation>
        <x14:dataValidation type="list" allowBlank="1" showInputMessage="1" showErrorMessage="1" xr:uid="{7C710D65-29D2-42F6-A5A0-B26B2E022026}">
          <x14:formula1>
            <xm:f>FORMULAS!$O$12:$O$13</xm:f>
          </x14:formula1>
          <xm:sqref>M10:M11 M54:M55 M32:M33 M76:M77 M98:M99</xm:sqref>
        </x14:dataValidation>
        <x14:dataValidation type="list" allowBlank="1" showInputMessage="1" showErrorMessage="1" xr:uid="{262B2AA2-4086-475D-824C-A191B531A160}">
          <x14:formula1>
            <xm:f>FORMULAS!$O$9:$O$11</xm:f>
          </x14:formula1>
          <xm:sqref>M8:M9 M52:M53 M30:M31 M74:M75 M96:M97</xm:sqref>
        </x14:dataValidation>
        <x14:dataValidation type="list" allowBlank="1" showInputMessage="1" showErrorMessage="1" xr:uid="{31BBD4ED-710E-4F71-9DA6-80D67FA00B7A}">
          <x14:formula1>
            <xm:f>FORMULAS!$O$6:$O$8</xm:f>
          </x14:formula1>
          <xm:sqref>U6:U20 U28:U42 U50:U64 U72:U86 U94:U108 M6:M7 M50:M51 M28:M29 M72:M73 M94:M95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1A2E4-926B-4834-8B08-CFBF858E5503}">
  <dimension ref="A1:AF110"/>
  <sheetViews>
    <sheetView zoomScale="84" zoomScaleNormal="124" workbookViewId="0">
      <selection activeCell="I31" sqref="I31"/>
    </sheetView>
  </sheetViews>
  <sheetFormatPr baseColWidth="10" defaultRowHeight="15" x14ac:dyDescent="0.25"/>
  <cols>
    <col min="1" max="1" width="15.28515625" bestFit="1" customWidth="1"/>
    <col min="2" max="2" width="10" customWidth="1"/>
    <col min="3" max="3" width="10.28515625" customWidth="1"/>
    <col min="4" max="4" width="6.5703125" customWidth="1"/>
    <col min="5" max="5" width="14.28515625" bestFit="1" customWidth="1"/>
    <col min="6" max="6" width="12.5703125" bestFit="1" customWidth="1"/>
    <col min="7" max="7" width="11.85546875" bestFit="1" customWidth="1"/>
    <col min="8" max="8" width="12.28515625" bestFit="1" customWidth="1"/>
    <col min="9" max="9" width="13.42578125" bestFit="1" customWidth="1"/>
    <col min="10" max="10" width="6.42578125" customWidth="1"/>
    <col min="11" max="11" width="6.140625" customWidth="1"/>
    <col min="12" max="12" width="30.7109375" bestFit="1" customWidth="1"/>
    <col min="13" max="13" width="35" bestFit="1" customWidth="1"/>
    <col min="15" max="15" width="8.140625" bestFit="1" customWidth="1"/>
    <col min="16" max="16" width="7.5703125" bestFit="1" customWidth="1"/>
    <col min="17" max="17" width="10" bestFit="1" customWidth="1"/>
    <col min="18" max="18" width="6.28515625" customWidth="1"/>
    <col min="19" max="19" width="5.42578125" customWidth="1"/>
    <col min="20" max="20" width="30.7109375" bestFit="1" customWidth="1"/>
    <col min="21" max="21" width="35" bestFit="1" customWidth="1"/>
    <col min="22" max="22" width="6.42578125" customWidth="1"/>
    <col min="23" max="23" width="37.140625" bestFit="1" customWidth="1"/>
    <col min="24" max="24" width="9.140625" bestFit="1" customWidth="1"/>
    <col min="25" max="25" width="37.7109375" bestFit="1" customWidth="1"/>
    <col min="26" max="26" width="9.140625" bestFit="1" customWidth="1"/>
    <col min="27" max="27" width="30.85546875" bestFit="1" customWidth="1"/>
    <col min="28" max="28" width="9.140625" bestFit="1" customWidth="1"/>
    <col min="29" max="29" width="39" bestFit="1" customWidth="1"/>
    <col min="30" max="30" width="9.140625" bestFit="1" customWidth="1"/>
    <col min="31" max="31" width="39" bestFit="1" customWidth="1"/>
    <col min="32" max="32" width="9.140625" bestFit="1" customWidth="1"/>
  </cols>
  <sheetData>
    <row r="1" spans="1:32" ht="15" customHeight="1" x14ac:dyDescent="0.25">
      <c r="A1" s="92" t="s">
        <v>2040</v>
      </c>
      <c r="B1" s="92"/>
      <c r="D1" s="46"/>
      <c r="E1" s="46"/>
      <c r="F1" s="46"/>
      <c r="G1" s="46"/>
      <c r="H1" s="46"/>
      <c r="I1" s="46"/>
      <c r="J1" s="46"/>
    </row>
    <row r="2" spans="1:32" x14ac:dyDescent="0.25">
      <c r="A2" s="19" t="s">
        <v>2041</v>
      </c>
      <c r="B2" s="17">
        <v>85</v>
      </c>
      <c r="D2" s="46"/>
      <c r="E2" s="46"/>
      <c r="F2" s="46"/>
      <c r="G2" s="46"/>
      <c r="H2" s="46"/>
      <c r="I2" s="46"/>
      <c r="J2" s="46"/>
    </row>
    <row r="3" spans="1:32" x14ac:dyDescent="0.25">
      <c r="A3" s="19" t="s">
        <v>2042</v>
      </c>
      <c r="B3" s="17">
        <v>170</v>
      </c>
      <c r="L3" s="15" t="s">
        <v>2037</v>
      </c>
      <c r="T3" s="15" t="s">
        <v>2037</v>
      </c>
    </row>
    <row r="4" spans="1:32" x14ac:dyDescent="0.25">
      <c r="A4" s="19" t="s">
        <v>2043</v>
      </c>
      <c r="B4" s="20">
        <f>B2/((B3*0.01)^2)</f>
        <v>29.411764705882355</v>
      </c>
      <c r="E4" s="32" t="s">
        <v>2091</v>
      </c>
      <c r="F4" s="32" t="s">
        <v>2092</v>
      </c>
      <c r="G4" s="32" t="s">
        <v>2093</v>
      </c>
      <c r="H4" s="32" t="s">
        <v>2036</v>
      </c>
      <c r="O4" s="36" t="s">
        <v>2115</v>
      </c>
      <c r="P4" s="36" t="s">
        <v>2116</v>
      </c>
      <c r="Q4" s="36" t="s">
        <v>2117</v>
      </c>
      <c r="W4" s="132" t="s">
        <v>2167</v>
      </c>
      <c r="X4" s="132"/>
      <c r="Y4" s="132" t="s">
        <v>2168</v>
      </c>
      <c r="Z4" s="132"/>
      <c r="AA4" s="132" t="s">
        <v>2169</v>
      </c>
      <c r="AB4" s="132"/>
      <c r="AC4" s="132" t="s">
        <v>2170</v>
      </c>
      <c r="AD4" s="132"/>
      <c r="AE4" s="132" t="s">
        <v>2171</v>
      </c>
      <c r="AF4" s="132"/>
    </row>
    <row r="5" spans="1:32" ht="14.25" customHeight="1" x14ac:dyDescent="0.25">
      <c r="A5" s="19" t="s">
        <v>2044</v>
      </c>
      <c r="B5" s="3">
        <v>45</v>
      </c>
      <c r="E5" s="3" t="s">
        <v>2081</v>
      </c>
      <c r="F5" s="30">
        <f>100-F6-F7</f>
        <v>46.456652653107597</v>
      </c>
      <c r="G5" s="30">
        <f>(C10*F5)/100</f>
        <v>1022.1624999999999</v>
      </c>
      <c r="H5" s="30">
        <f>G5/4</f>
        <v>255.54062499999998</v>
      </c>
      <c r="L5" s="39" t="s">
        <v>2114</v>
      </c>
      <c r="M5" s="39" t="s">
        <v>2145</v>
      </c>
      <c r="N5" s="40" t="s">
        <v>2146</v>
      </c>
      <c r="O5" s="41">
        <f>G15</f>
        <v>51.108124999999994</v>
      </c>
      <c r="P5" s="41">
        <f t="shared" ref="P5:Q5" si="0">H15</f>
        <v>20.399999999999999</v>
      </c>
      <c r="Q5" s="41">
        <f t="shared" si="0"/>
        <v>17.113055555555555</v>
      </c>
      <c r="T5" s="39" t="s">
        <v>2114</v>
      </c>
      <c r="U5" s="39" t="s">
        <v>2145</v>
      </c>
      <c r="V5" s="40" t="s">
        <v>2176</v>
      </c>
      <c r="W5" s="40" t="s">
        <v>2164</v>
      </c>
      <c r="X5" s="40" t="s">
        <v>2165</v>
      </c>
      <c r="Y5" s="40" t="s">
        <v>2164</v>
      </c>
      <c r="Z5" s="40" t="s">
        <v>2165</v>
      </c>
      <c r="AA5" s="40" t="s">
        <v>2164</v>
      </c>
      <c r="AB5" s="40" t="s">
        <v>2165</v>
      </c>
      <c r="AC5" s="40" t="s">
        <v>2164</v>
      </c>
      <c r="AD5" s="40" t="s">
        <v>2165</v>
      </c>
      <c r="AE5" s="40" t="s">
        <v>2164</v>
      </c>
      <c r="AF5" s="40" t="s">
        <v>2165</v>
      </c>
    </row>
    <row r="6" spans="1:32" x14ac:dyDescent="0.25">
      <c r="A6" s="19" t="s">
        <v>2161</v>
      </c>
      <c r="B6" s="3">
        <v>0</v>
      </c>
      <c r="E6" s="3" t="s">
        <v>2083</v>
      </c>
      <c r="F6" s="30">
        <f>(G6*100)/C10</f>
        <v>18.5433473468924</v>
      </c>
      <c r="G6" s="30">
        <f>H6*4</f>
        <v>408</v>
      </c>
      <c r="H6" s="30">
        <f>B2*B14</f>
        <v>102</v>
      </c>
      <c r="L6" s="128" t="s">
        <v>2118</v>
      </c>
      <c r="M6" s="3" t="s">
        <v>2121</v>
      </c>
      <c r="N6" s="20">
        <v>0.75</v>
      </c>
      <c r="O6" s="3">
        <f>VLOOKUP($M6,FORMULAS!$O$6:$P$8,2,FALSE)*N6</f>
        <v>15</v>
      </c>
      <c r="P6" s="3">
        <f>VLOOKUP($M6,FORMULAS!$O$6:$Q$8,3,FALSE)*N6</f>
        <v>1.5</v>
      </c>
      <c r="Q6" s="3">
        <f>VLOOKUP($M6,FORMULAS!$O$6:$R$8,4,FALSE)*N6</f>
        <v>4.5</v>
      </c>
      <c r="T6" s="128" t="s">
        <v>2118</v>
      </c>
      <c r="U6" s="3" t="str">
        <f t="shared" ref="U6:V9" si="1">M6</f>
        <v>Medios en CHO y medios en grasas</v>
      </c>
      <c r="V6" s="30">
        <f t="shared" si="1"/>
        <v>0.75</v>
      </c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5">
      <c r="E7" s="3" t="s">
        <v>2094</v>
      </c>
      <c r="F7" s="30">
        <v>35</v>
      </c>
      <c r="G7" s="30">
        <f>(C10*F7)/100</f>
        <v>770.08749999999998</v>
      </c>
      <c r="H7" s="30">
        <f>G7/9</f>
        <v>85.56527777777778</v>
      </c>
      <c r="L7" s="128"/>
      <c r="M7" s="3" t="s">
        <v>2120</v>
      </c>
      <c r="N7" s="20">
        <v>0</v>
      </c>
      <c r="O7" s="3">
        <f>VLOOKUP($M7,FORMULAS!$O$6:$P$8,2,FALSE)*N7</f>
        <v>0</v>
      </c>
      <c r="P7" s="3">
        <f>VLOOKUP($M7,FORMULAS!$O$6:$Q$8,3,FALSE)*N7</f>
        <v>0</v>
      </c>
      <c r="Q7" s="3">
        <f>VLOOKUP($M7,FORMULAS!$O$6:$R$8,4,FALSE)*N7</f>
        <v>0</v>
      </c>
      <c r="T7" s="128"/>
      <c r="U7" s="3" t="str">
        <f t="shared" si="1"/>
        <v>Medios en CHO y bajos en grasas</v>
      </c>
      <c r="V7" s="30">
        <f t="shared" si="1"/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5">
      <c r="E8" s="21" t="s">
        <v>2095</v>
      </c>
      <c r="F8" s="30">
        <f>SUM(F5:F7)</f>
        <v>100</v>
      </c>
      <c r="G8" s="30">
        <f>SUM(G5:G7)</f>
        <v>2200.25</v>
      </c>
      <c r="H8" s="30">
        <f>SUM(H5:H7)</f>
        <v>443.10590277777777</v>
      </c>
      <c r="L8" s="124" t="s">
        <v>2026</v>
      </c>
      <c r="M8" s="3" t="s">
        <v>2123</v>
      </c>
      <c r="N8" s="20">
        <v>1</v>
      </c>
      <c r="O8" s="3">
        <f>VLOOKUP($M8,FORMULAS!$O$9:$P$11,2,FALSE)*N8</f>
        <v>10</v>
      </c>
      <c r="P8" s="3">
        <f>VLOOKUP($M8,FORMULAS!$O$9:$Q$11,3,FALSE)*N8</f>
        <v>1</v>
      </c>
      <c r="Q8" s="3">
        <f>VLOOKUP($M8,FORMULAS!$O$9:$R$11,4,FALSE)*N8</f>
        <v>0</v>
      </c>
      <c r="T8" s="124" t="s">
        <v>2026</v>
      </c>
      <c r="U8" s="3" t="str">
        <f t="shared" si="1"/>
        <v>Bajas en CHO</v>
      </c>
      <c r="V8" s="30">
        <f t="shared" si="1"/>
        <v>1</v>
      </c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x14ac:dyDescent="0.25">
      <c r="A9" s="119" t="s">
        <v>2058</v>
      </c>
      <c r="B9" s="119"/>
      <c r="C9" s="119"/>
      <c r="L9" s="124"/>
      <c r="M9" s="3" t="s">
        <v>2123</v>
      </c>
      <c r="N9" s="20">
        <v>0</v>
      </c>
      <c r="O9" s="3">
        <f>VLOOKUP($M9,FORMULAS!$O$9:$P$11,2,FALSE)*N9</f>
        <v>0</v>
      </c>
      <c r="P9" s="3">
        <f>VLOOKUP($M9,FORMULAS!$O$9:$Q$11,3,FALSE)*N9</f>
        <v>0</v>
      </c>
      <c r="Q9" s="3">
        <f>VLOOKUP($M9,FORMULAS!$O$9:$R$11,4,FALSE)*N9</f>
        <v>0</v>
      </c>
      <c r="T9" s="124"/>
      <c r="U9" s="3" t="str">
        <f t="shared" si="1"/>
        <v>Bajas en CHO</v>
      </c>
      <c r="V9" s="30">
        <f t="shared" si="1"/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5">
      <c r="A10" s="21" t="s">
        <v>2047</v>
      </c>
      <c r="B10" s="3" t="s">
        <v>2053</v>
      </c>
      <c r="C10" s="20">
        <f>FORMULAS!J15+B6</f>
        <v>2200.25</v>
      </c>
      <c r="L10" s="123" t="s">
        <v>2027</v>
      </c>
      <c r="M10" s="3" t="s">
        <v>2125</v>
      </c>
      <c r="N10" s="20">
        <v>0</v>
      </c>
      <c r="O10" s="3">
        <f>VLOOKUP($M10,FORMULAS!$O$12:$P$13,2,FALSE)*N10</f>
        <v>0</v>
      </c>
      <c r="P10" s="3">
        <f>VLOOKUP($M10,FORMULAS!$O$12:$Q$13,3,FALSE)*N10</f>
        <v>0</v>
      </c>
      <c r="Q10" s="3">
        <f>VLOOKUP($M10,FORMULAS!$O$12:$R$13,4,FALSE)*N10</f>
        <v>0</v>
      </c>
      <c r="T10" s="123" t="s">
        <v>2027</v>
      </c>
      <c r="U10" s="3" t="str">
        <f t="shared" ref="U10:U11" si="2">M10</f>
        <v>Bajos en CHO</v>
      </c>
      <c r="V10" s="30">
        <f t="shared" ref="V10:V11" si="3">N10</f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25">
      <c r="L11" s="123"/>
      <c r="M11" s="3" t="s">
        <v>2126</v>
      </c>
      <c r="N11" s="20">
        <v>0</v>
      </c>
      <c r="O11" s="3">
        <f>VLOOKUP($M11,FORMULAS!$O$12:$P$13,2,FALSE)*N11</f>
        <v>0</v>
      </c>
      <c r="P11" s="3">
        <f>VLOOKUP($M11,FORMULAS!$O$12:$Q$13,3,FALSE)*N11</f>
        <v>0</v>
      </c>
      <c r="Q11" s="3">
        <f>VLOOKUP($M11,FORMULAS!$O$12:$R$13,4,FALSE)*N11</f>
        <v>0</v>
      </c>
      <c r="T11" s="123"/>
      <c r="U11" s="3" t="str">
        <f t="shared" si="2"/>
        <v>Libre consumo</v>
      </c>
      <c r="V11" s="30">
        <f t="shared" si="3"/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5">
      <c r="E12" s="120" t="s">
        <v>2104</v>
      </c>
      <c r="F12" s="120"/>
      <c r="G12" s="120"/>
      <c r="H12" s="120"/>
      <c r="I12" s="120"/>
      <c r="L12" s="125" t="s">
        <v>2031</v>
      </c>
      <c r="M12" s="3" t="s">
        <v>2128</v>
      </c>
      <c r="N12" s="20">
        <v>0</v>
      </c>
      <c r="O12" s="3">
        <f>VLOOKUP($M12,FORMULAS!$O$14:$P$18,2,FALSE)*N12</f>
        <v>0</v>
      </c>
      <c r="P12" s="3">
        <f>VLOOKUP($M12,FORMULAS!$O$14:$Q$18,3,FALSE)*N12</f>
        <v>0</v>
      </c>
      <c r="Q12" s="3">
        <f>VLOOKUP($M12,FORMULAS!$O$14:$R$18,4,FALSE)*N12</f>
        <v>0</v>
      </c>
      <c r="T12" s="125" t="s">
        <v>2031</v>
      </c>
      <c r="U12" s="3" t="str">
        <f t="shared" ref="U12:U20" si="4">M12</f>
        <v>Enteros - altos en grasas</v>
      </c>
      <c r="V12" s="30">
        <f t="shared" ref="V12:V20" si="5">N12</f>
        <v>0</v>
      </c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25">
      <c r="A13" s="94" t="s">
        <v>2087</v>
      </c>
      <c r="B13" s="94"/>
      <c r="E13" s="120" t="s">
        <v>2143</v>
      </c>
      <c r="F13" s="120"/>
      <c r="G13" s="120"/>
      <c r="H13" s="120"/>
      <c r="I13" s="3">
        <v>5</v>
      </c>
      <c r="L13" s="125"/>
      <c r="M13" s="3" t="s">
        <v>2131</v>
      </c>
      <c r="N13" s="20">
        <v>0</v>
      </c>
      <c r="O13" s="3">
        <f>VLOOKUP($M13,FORMULAS!$O$14:$P$18,2,FALSE)*N13</f>
        <v>0</v>
      </c>
      <c r="P13" s="3">
        <f>VLOOKUP($M13,FORMULAS!$O$14:$Q$18,3,FALSE)*N13</f>
        <v>0</v>
      </c>
      <c r="Q13" s="3">
        <f>VLOOKUP($M13,FORMULAS!$O$14:$R$18,4,FALSE)*N13</f>
        <v>0</v>
      </c>
      <c r="T13" s="125"/>
      <c r="U13" s="3" t="str">
        <f t="shared" si="4"/>
        <v>Descremados y altos en CHO</v>
      </c>
      <c r="V13" s="30">
        <f t="shared" si="5"/>
        <v>0</v>
      </c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25">
      <c r="A14" s="3" t="s">
        <v>2089</v>
      </c>
      <c r="B14" s="3">
        <f>_xlfn.XLOOKUP(A14,FORMULAS!G23:G26,FORMULAS!H23:H26,"ROTO")</f>
        <v>1.2</v>
      </c>
      <c r="E14" s="35" t="s">
        <v>2173</v>
      </c>
      <c r="F14" s="35" t="s">
        <v>2144</v>
      </c>
      <c r="G14" s="37" t="s">
        <v>2115</v>
      </c>
      <c r="H14" s="37" t="s">
        <v>2141</v>
      </c>
      <c r="I14" s="37" t="s">
        <v>2142</v>
      </c>
      <c r="L14" s="126" t="s">
        <v>2133</v>
      </c>
      <c r="M14" s="3" t="s">
        <v>2135</v>
      </c>
      <c r="N14" s="20">
        <v>2.5</v>
      </c>
      <c r="O14" s="3">
        <f>VLOOKUP($M14,FORMULAS!$O$19:$P$22,2,FALSE)*N14</f>
        <v>0</v>
      </c>
      <c r="P14" s="3">
        <f>VLOOKUP($M14,FORMULAS!$O$19:$Q$22,3,FALSE)*N14</f>
        <v>27.5</v>
      </c>
      <c r="Q14" s="3">
        <f>VLOOKUP($M14,FORMULAS!$O$19:$R$22,4,FALSE)*N14</f>
        <v>17.5</v>
      </c>
      <c r="T14" s="126" t="s">
        <v>2133</v>
      </c>
      <c r="U14" s="3" t="str">
        <f t="shared" si="4"/>
        <v>Medios en grasas</v>
      </c>
      <c r="V14" s="30">
        <f t="shared" si="5"/>
        <v>2.5</v>
      </c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25">
      <c r="E15" s="3" t="s">
        <v>2106</v>
      </c>
      <c r="F15" s="3">
        <v>1</v>
      </c>
      <c r="G15" s="30">
        <f>($H$5*$F15)/$I$13</f>
        <v>51.108124999999994</v>
      </c>
      <c r="H15" s="30">
        <f>($H$6*$F15)/$I$13</f>
        <v>20.399999999999999</v>
      </c>
      <c r="I15" s="30">
        <f>($H$7*$F15)/$I$13</f>
        <v>17.113055555555555</v>
      </c>
      <c r="L15" s="126"/>
      <c r="M15" s="3" t="s">
        <v>2136</v>
      </c>
      <c r="N15" s="20">
        <v>0</v>
      </c>
      <c r="O15" s="3">
        <f>VLOOKUP($M15,FORMULAS!$O$19:$P$22,2,FALSE)*N15</f>
        <v>0</v>
      </c>
      <c r="P15" s="3">
        <f>VLOOKUP($M15,FORMULAS!$O$19:$Q$22,3,FALSE)*N15</f>
        <v>0</v>
      </c>
      <c r="Q15" s="3">
        <f>VLOOKUP($M15,FORMULAS!$O$19:$R$22,4,FALSE)*N15</f>
        <v>0</v>
      </c>
      <c r="T15" s="126"/>
      <c r="U15" s="3" t="str">
        <f t="shared" si="4"/>
        <v>Bajos en grasas</v>
      </c>
      <c r="V15" s="30">
        <f t="shared" si="5"/>
        <v>0</v>
      </c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25">
      <c r="E16" s="3" t="s">
        <v>2107</v>
      </c>
      <c r="F16" s="3">
        <v>1</v>
      </c>
      <c r="G16" s="30">
        <f t="shared" ref="G16:G19" si="6">($H$5*$F16)/$I$13</f>
        <v>51.108124999999994</v>
      </c>
      <c r="H16" s="30">
        <f t="shared" ref="H16:H19" si="7">($H$6*$F16)/$I$13</f>
        <v>20.399999999999999</v>
      </c>
      <c r="I16" s="30">
        <f t="shared" ref="I16:I19" si="8">($H$7*$F16)/$I$13</f>
        <v>17.113055555555555</v>
      </c>
      <c r="L16" s="126"/>
      <c r="M16" s="3" t="s">
        <v>2137</v>
      </c>
      <c r="N16" s="20">
        <v>1</v>
      </c>
      <c r="O16" s="3">
        <f>VLOOKUP($M16,FORMULAS!$O$19:$P$22,2,FALSE)*N16</f>
        <v>1</v>
      </c>
      <c r="P16" s="3">
        <f>VLOOKUP($M16,FORMULAS!$O$19:$Q$22,3,FALSE)*N16</f>
        <v>7</v>
      </c>
      <c r="Q16" s="3">
        <f>VLOOKUP($M16,FORMULAS!$O$19:$R$22,4,FALSE)*N16</f>
        <v>7</v>
      </c>
      <c r="T16" s="126"/>
      <c r="U16" s="3" t="str">
        <f t="shared" si="4"/>
        <v>Embutidos</v>
      </c>
      <c r="V16" s="30">
        <f t="shared" si="5"/>
        <v>1</v>
      </c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25">
      <c r="A17" s="131" t="s">
        <v>2096</v>
      </c>
      <c r="B17" s="131"/>
      <c r="E17" s="3" t="s">
        <v>2108</v>
      </c>
      <c r="F17" s="3">
        <v>2</v>
      </c>
      <c r="G17" s="30">
        <f t="shared" si="6"/>
        <v>102.21624999999999</v>
      </c>
      <c r="H17" s="30">
        <f t="shared" si="7"/>
        <v>40.799999999999997</v>
      </c>
      <c r="I17" s="30">
        <f t="shared" si="8"/>
        <v>34.226111111111109</v>
      </c>
      <c r="L17" s="42" t="s">
        <v>2028</v>
      </c>
      <c r="M17" s="3" t="s">
        <v>2028</v>
      </c>
      <c r="N17" s="20">
        <v>0</v>
      </c>
      <c r="O17" s="3">
        <f>VLOOKUP($M17,FORMULAS!$O$23:$P$23,2,FALSE)*N17</f>
        <v>0</v>
      </c>
      <c r="P17" s="3">
        <f>VLOOKUP($M17,FORMULAS!$O$23:$Q$23,3,FALSE)*N17</f>
        <v>0</v>
      </c>
      <c r="Q17" s="3">
        <f>VLOOKUP($M17,FORMULAS!$O$23:$R$23,4,FALSE)*N17</f>
        <v>0</v>
      </c>
      <c r="T17" s="42" t="s">
        <v>2028</v>
      </c>
      <c r="U17" s="3" t="str">
        <f t="shared" si="4"/>
        <v>Leguminosas</v>
      </c>
      <c r="V17" s="30">
        <f t="shared" si="5"/>
        <v>0</v>
      </c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x14ac:dyDescent="0.25">
      <c r="A18" s="11" t="s">
        <v>2097</v>
      </c>
      <c r="B18" s="33">
        <v>6</v>
      </c>
      <c r="E18" s="3" t="s">
        <v>2110</v>
      </c>
      <c r="F18" s="3"/>
      <c r="G18" s="30">
        <f t="shared" si="6"/>
        <v>0</v>
      </c>
      <c r="H18" s="30">
        <f t="shared" si="7"/>
        <v>0</v>
      </c>
      <c r="I18" s="30">
        <f t="shared" si="8"/>
        <v>0</v>
      </c>
      <c r="L18" s="127" t="s">
        <v>2032</v>
      </c>
      <c r="M18" s="3" t="s">
        <v>2135</v>
      </c>
      <c r="N18" s="20">
        <v>0.75</v>
      </c>
      <c r="O18" s="3">
        <f>VLOOKUP($M18,FORMULAS!$O$24:$P$27,2,FALSE)*N18</f>
        <v>1.5</v>
      </c>
      <c r="P18" s="3">
        <f>VLOOKUP($M18,FORMULAS!$O$24:$Q$27,3,FALSE)*N18</f>
        <v>0.75</v>
      </c>
      <c r="Q18" s="3">
        <f>VLOOKUP($M18,FORMULAS!$O$24:$R$27,4,FALSE)*N18</f>
        <v>5.25</v>
      </c>
      <c r="T18" s="129" t="s">
        <v>2032</v>
      </c>
      <c r="U18" s="3" t="str">
        <f t="shared" si="4"/>
        <v>Medios en grasas</v>
      </c>
      <c r="V18" s="30">
        <f t="shared" si="5"/>
        <v>0.75</v>
      </c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25">
      <c r="A19" s="11" t="s">
        <v>2098</v>
      </c>
      <c r="B19" s="3">
        <f>B18*4</f>
        <v>24</v>
      </c>
      <c r="E19" s="3" t="s">
        <v>2177</v>
      </c>
      <c r="F19" s="3">
        <v>1</v>
      </c>
      <c r="G19" s="30">
        <f t="shared" si="6"/>
        <v>51.108124999999994</v>
      </c>
      <c r="H19" s="30">
        <f t="shared" si="7"/>
        <v>20.399999999999999</v>
      </c>
      <c r="I19" s="30">
        <f t="shared" si="8"/>
        <v>17.113055555555555</v>
      </c>
      <c r="L19" s="127"/>
      <c r="M19" s="3" t="s">
        <v>2139</v>
      </c>
      <c r="N19" s="20">
        <v>0</v>
      </c>
      <c r="O19" s="3">
        <f>VLOOKUP($M19,FORMULAS!$O$24:$P$27,2,FALSE)*N19</f>
        <v>0</v>
      </c>
      <c r="P19" s="3">
        <f>VLOOKUP($M19,FORMULAS!$O$24:$Q$27,3,FALSE)*N19</f>
        <v>0</v>
      </c>
      <c r="Q19" s="3">
        <f>VLOOKUP($M19,FORMULAS!$O$24:$R$27,4,FALSE)*N19</f>
        <v>0</v>
      </c>
      <c r="T19" s="130"/>
      <c r="U19" s="3" t="str">
        <f t="shared" si="4"/>
        <v>Medios en grasas y bajor en CHO</v>
      </c>
      <c r="V19" s="30">
        <f t="shared" si="5"/>
        <v>0</v>
      </c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25">
      <c r="A20" s="11" t="s">
        <v>2099</v>
      </c>
      <c r="B20" s="34">
        <v>0.05</v>
      </c>
      <c r="E20" s="3" t="s">
        <v>2111</v>
      </c>
      <c r="F20" s="38">
        <f>SUM(F15:F19)</f>
        <v>5</v>
      </c>
      <c r="G20" s="30">
        <f>SUM(G15:G19)</f>
        <v>255.54062499999998</v>
      </c>
      <c r="H20" s="30">
        <f>SUM(H15:H19)</f>
        <v>102</v>
      </c>
      <c r="I20" s="30">
        <f>SUM(I15:I19)</f>
        <v>85.565277777777766</v>
      </c>
      <c r="L20" s="43" t="s">
        <v>2147</v>
      </c>
      <c r="M20" s="3" t="s">
        <v>2140</v>
      </c>
      <c r="N20" s="20">
        <v>1</v>
      </c>
      <c r="O20" s="3">
        <f>VLOOKUP($M20,FORMULAS!$O$28:$P$28,2,FALSE)*N20</f>
        <v>10</v>
      </c>
      <c r="P20" s="3">
        <f>VLOOKUP($M20,FORMULAS!$O$28:$Q$28,3,FALSE)*N20</f>
        <v>0</v>
      </c>
      <c r="Q20" s="3">
        <f>VLOOKUP($M20,FORMULAS!$O$28:$R$28,4,FALSE)*N20</f>
        <v>0</v>
      </c>
      <c r="T20" s="43" t="s">
        <v>2147</v>
      </c>
      <c r="U20" s="3" t="str">
        <f t="shared" si="4"/>
        <v>Azucares y alimentos azucarados</v>
      </c>
      <c r="V20" s="30">
        <f t="shared" si="5"/>
        <v>1</v>
      </c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25">
      <c r="A21" s="11" t="s">
        <v>2100</v>
      </c>
      <c r="B21" s="20">
        <f>B2*B20</f>
        <v>4.25</v>
      </c>
      <c r="N21" s="21" t="s">
        <v>2111</v>
      </c>
      <c r="O21" s="20">
        <f>SUM(O6:O20)</f>
        <v>37.5</v>
      </c>
      <c r="P21" s="51">
        <f>SUM(P6:P20)</f>
        <v>37.75</v>
      </c>
      <c r="Q21" s="20">
        <f>SUM(Q6:Q20)</f>
        <v>34.25</v>
      </c>
      <c r="T21" s="47"/>
      <c r="U21" s="134" t="s">
        <v>2179</v>
      </c>
      <c r="V21" s="135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</row>
    <row r="22" spans="1:32" x14ac:dyDescent="0.25">
      <c r="A22" s="11" t="s">
        <v>2101</v>
      </c>
      <c r="B22" s="20">
        <f>B2-B21</f>
        <v>80.75</v>
      </c>
      <c r="N22" s="21" t="s">
        <v>2148</v>
      </c>
      <c r="O22" s="49">
        <f>O21-O5</f>
        <v>-13.608124999999994</v>
      </c>
      <c r="P22" s="52">
        <f t="shared" ref="P22:Q22" si="9">P21-P5</f>
        <v>17.350000000000001</v>
      </c>
      <c r="Q22" s="49">
        <f t="shared" si="9"/>
        <v>17.136944444444445</v>
      </c>
      <c r="T22" s="47"/>
      <c r="U22" s="136"/>
      <c r="V22" s="137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</row>
    <row r="23" spans="1:32" x14ac:dyDescent="0.25">
      <c r="A23" s="11" t="s">
        <v>2102</v>
      </c>
      <c r="B23" s="30">
        <f>((B21*7000/1)/B19)/7</f>
        <v>177.08333333333331</v>
      </c>
      <c r="E23" s="32" t="s">
        <v>2091</v>
      </c>
      <c r="F23" s="45">
        <v>0.95</v>
      </c>
      <c r="G23" s="32" t="s">
        <v>2163</v>
      </c>
      <c r="H23" s="45">
        <v>1.05</v>
      </c>
      <c r="I23" s="45" t="s">
        <v>2172</v>
      </c>
      <c r="N23" s="21" t="s">
        <v>2180</v>
      </c>
      <c r="O23" s="3">
        <f>(O21*4)+(P21*4)+(Q21*9)</f>
        <v>609.25</v>
      </c>
    </row>
    <row r="24" spans="1:32" x14ac:dyDescent="0.25">
      <c r="A24" s="11" t="s">
        <v>2112</v>
      </c>
      <c r="B24" s="20">
        <f>C10-B23</f>
        <v>2023.1666666666667</v>
      </c>
      <c r="E24" s="3" t="s">
        <v>2081</v>
      </c>
      <c r="F24" s="30">
        <f>G20*F23</f>
        <v>242.76359374999996</v>
      </c>
      <c r="G24" s="3">
        <f>SUMIF($N:$N,$N$21,$O:$O)</f>
        <v>299</v>
      </c>
      <c r="H24" s="30">
        <f>G20*H23</f>
        <v>268.31765624999997</v>
      </c>
      <c r="I24" s="34">
        <f>G24/G20</f>
        <v>1.170068359972118</v>
      </c>
    </row>
    <row r="25" spans="1:32" ht="18.75" customHeight="1" x14ac:dyDescent="0.25">
      <c r="E25" s="3" t="s">
        <v>2083</v>
      </c>
      <c r="F25" s="30">
        <f>H20*F23</f>
        <v>96.899999999999991</v>
      </c>
      <c r="G25" s="3">
        <f>SUMIF($N:$N,$N$21,$P:$P)</f>
        <v>108.75</v>
      </c>
      <c r="H25" s="30">
        <f>H20*H23</f>
        <v>107.10000000000001</v>
      </c>
      <c r="I25" s="34">
        <f>G25/H20</f>
        <v>1.0661764705882353</v>
      </c>
      <c r="L25" s="15" t="s">
        <v>2149</v>
      </c>
      <c r="T25" s="15" t="s">
        <v>2149</v>
      </c>
    </row>
    <row r="26" spans="1:32" x14ac:dyDescent="0.25">
      <c r="E26" s="3" t="s">
        <v>2094</v>
      </c>
      <c r="F26" s="30">
        <f>I20*F23</f>
        <v>81.287013888888879</v>
      </c>
      <c r="G26" s="3">
        <f>SUMIF($N:$N,$N$21,$Q:$Q)</f>
        <v>77.5</v>
      </c>
      <c r="H26" s="30">
        <f>I20*H23</f>
        <v>89.843541666666653</v>
      </c>
      <c r="I26" s="34">
        <f>G26/I20</f>
        <v>0.90574123070430324</v>
      </c>
      <c r="O26" s="36" t="s">
        <v>2115</v>
      </c>
      <c r="P26" s="36" t="s">
        <v>2116</v>
      </c>
      <c r="Q26" s="36" t="s">
        <v>2117</v>
      </c>
      <c r="W26" s="132" t="s">
        <v>2167</v>
      </c>
      <c r="X26" s="132"/>
      <c r="Y26" s="132" t="s">
        <v>2168</v>
      </c>
      <c r="Z26" s="132"/>
      <c r="AA26" s="132" t="s">
        <v>2169</v>
      </c>
      <c r="AB26" s="132"/>
      <c r="AC26" s="132" t="s">
        <v>2170</v>
      </c>
      <c r="AD26" s="132"/>
      <c r="AE26" s="132" t="s">
        <v>2171</v>
      </c>
      <c r="AF26" s="132"/>
    </row>
    <row r="27" spans="1:32" ht="60" x14ac:dyDescent="0.25">
      <c r="L27" s="39" t="s">
        <v>2114</v>
      </c>
      <c r="M27" s="39" t="s">
        <v>2145</v>
      </c>
      <c r="N27" s="40" t="s">
        <v>2146</v>
      </c>
      <c r="O27" s="41">
        <f>G16-O22</f>
        <v>64.716249999999988</v>
      </c>
      <c r="P27" s="41">
        <f t="shared" ref="P27:Q27" si="10">H16-P22</f>
        <v>3.0499999999999972</v>
      </c>
      <c r="Q27" s="41">
        <f t="shared" si="10"/>
        <v>-2.3888888888890847E-2</v>
      </c>
      <c r="T27" s="39" t="s">
        <v>2114</v>
      </c>
      <c r="U27" s="39" t="s">
        <v>2145</v>
      </c>
      <c r="V27" s="40" t="s">
        <v>2176</v>
      </c>
      <c r="W27" s="40" t="s">
        <v>2164</v>
      </c>
      <c r="X27" s="40" t="s">
        <v>2165</v>
      </c>
      <c r="Y27" s="40" t="s">
        <v>2164</v>
      </c>
      <c r="Z27" s="40" t="s">
        <v>2165</v>
      </c>
      <c r="AA27" s="40" t="s">
        <v>2164</v>
      </c>
      <c r="AB27" s="40" t="s">
        <v>2165</v>
      </c>
      <c r="AC27" s="40" t="s">
        <v>2164</v>
      </c>
      <c r="AD27" s="40" t="s">
        <v>2165</v>
      </c>
      <c r="AE27" s="40" t="s">
        <v>2164</v>
      </c>
      <c r="AF27" s="40" t="s">
        <v>2165</v>
      </c>
    </row>
    <row r="28" spans="1:32" x14ac:dyDescent="0.25">
      <c r="L28" s="128" t="s">
        <v>2118</v>
      </c>
      <c r="M28" s="3" t="s">
        <v>2121</v>
      </c>
      <c r="N28" s="20">
        <v>0</v>
      </c>
      <c r="O28" s="3">
        <f>VLOOKUP($M28,FORMULAS!$O$6:$P$8,2,FALSE)*N28</f>
        <v>0</v>
      </c>
      <c r="P28" s="3">
        <f>VLOOKUP($M28,FORMULAS!$O$6:$Q$8,3,FALSE)*N28</f>
        <v>0</v>
      </c>
      <c r="Q28" s="3">
        <f>VLOOKUP($M28,FORMULAS!$O$6:$R$8,4,FALSE)*N28</f>
        <v>0</v>
      </c>
      <c r="T28" s="128" t="s">
        <v>2118</v>
      </c>
      <c r="U28" s="3" t="str">
        <f t="shared" ref="U28:V31" si="11">M28</f>
        <v>Medios en CHO y medios en grasas</v>
      </c>
      <c r="V28" s="30">
        <f t="shared" si="11"/>
        <v>0</v>
      </c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25">
      <c r="L29" s="128"/>
      <c r="M29" s="3" t="s">
        <v>2120</v>
      </c>
      <c r="N29" s="20">
        <v>1</v>
      </c>
      <c r="O29" s="3">
        <f>VLOOKUP($M29,FORMULAS!$O$6:$P$8,2,FALSE)*N29</f>
        <v>20</v>
      </c>
      <c r="P29" s="3">
        <f>VLOOKUP($M29,FORMULAS!$O$6:$Q$8,3,FALSE)*N29</f>
        <v>3</v>
      </c>
      <c r="Q29" s="3">
        <f>VLOOKUP($M29,FORMULAS!$O$6:$R$8,4,FALSE)*N29</f>
        <v>1</v>
      </c>
      <c r="T29" s="128"/>
      <c r="U29" s="3" t="str">
        <f t="shared" si="11"/>
        <v>Medios en CHO y bajos en grasas</v>
      </c>
      <c r="V29" s="30">
        <f t="shared" si="11"/>
        <v>1</v>
      </c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25">
      <c r="E30" s="37" t="s">
        <v>2081</v>
      </c>
      <c r="F30" s="37" t="s">
        <v>2174</v>
      </c>
      <c r="G30" s="37" t="s">
        <v>2175</v>
      </c>
      <c r="L30" s="124" t="s">
        <v>2026</v>
      </c>
      <c r="M30" s="3" t="s">
        <v>2122</v>
      </c>
      <c r="N30" s="20">
        <v>1</v>
      </c>
      <c r="O30" s="3">
        <f>VLOOKUP($M30,FORMULAS!$O$9:$P$11,2,FALSE)*N30</f>
        <v>20</v>
      </c>
      <c r="P30" s="3">
        <f>VLOOKUP($M30,FORMULAS!$O$9:$Q$11,3,FALSE)*N30</f>
        <v>1</v>
      </c>
      <c r="Q30" s="3">
        <f>VLOOKUP($M30,FORMULAS!$O$9:$R$11,4,FALSE)*N30</f>
        <v>0</v>
      </c>
      <c r="T30" s="124" t="s">
        <v>2026</v>
      </c>
      <c r="U30" s="3" t="str">
        <f t="shared" si="11"/>
        <v>Medias en CHO</v>
      </c>
      <c r="V30" s="30">
        <f t="shared" si="11"/>
        <v>1</v>
      </c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25">
      <c r="E31" s="3" t="s">
        <v>2162</v>
      </c>
      <c r="F31" s="30">
        <f>H5/2</f>
        <v>127.77031249999999</v>
      </c>
      <c r="G31" s="30">
        <f>H5*10/100</f>
        <v>25.554062500000001</v>
      </c>
      <c r="L31" s="124"/>
      <c r="M31" s="3" t="s">
        <v>2123</v>
      </c>
      <c r="N31" s="20">
        <v>0</v>
      </c>
      <c r="O31" s="3">
        <f>VLOOKUP($M31,FORMULAS!$O$9:$P$11,2,FALSE)*N31</f>
        <v>0</v>
      </c>
      <c r="P31" s="3">
        <f>VLOOKUP($M31,FORMULAS!$O$9:$Q$11,3,FALSE)*N31</f>
        <v>0</v>
      </c>
      <c r="Q31" s="3">
        <f>VLOOKUP($M31,FORMULAS!$O$9:$R$11,4,FALSE)*N31</f>
        <v>0</v>
      </c>
      <c r="T31" s="124"/>
      <c r="U31" s="3" t="str">
        <f t="shared" si="11"/>
        <v>Bajas en CHO</v>
      </c>
      <c r="V31" s="30">
        <f t="shared" si="11"/>
        <v>0</v>
      </c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25">
      <c r="E32" s="3" t="s">
        <v>2163</v>
      </c>
      <c r="F32" s="30">
        <f>SUMIF($L:$L,$L$6,$O:$O)</f>
        <v>135</v>
      </c>
      <c r="G32" s="30">
        <f>SUMIF($M:$M,$M$108,$O:$O)</f>
        <v>52.5</v>
      </c>
      <c r="L32" s="123" t="s">
        <v>2027</v>
      </c>
      <c r="M32" s="3" t="s">
        <v>2125</v>
      </c>
      <c r="N32" s="20">
        <v>0</v>
      </c>
      <c r="O32" s="3">
        <f>VLOOKUP($M32,FORMULAS!$O$12:$P$13,2,FALSE)*N32</f>
        <v>0</v>
      </c>
      <c r="P32" s="3">
        <f>VLOOKUP($M32,FORMULAS!$O$12:$Q$13,3,FALSE)*N32</f>
        <v>0</v>
      </c>
      <c r="Q32" s="3">
        <f>VLOOKUP($M32,FORMULAS!$O$12:$R$13,4,FALSE)*N32</f>
        <v>0</v>
      </c>
      <c r="T32" s="123" t="s">
        <v>2027</v>
      </c>
      <c r="U32" s="3" t="str">
        <f t="shared" ref="U32:U33" si="12">M32</f>
        <v>Bajos en CHO</v>
      </c>
      <c r="V32" s="30">
        <f t="shared" ref="V32:V33" si="13">N32</f>
        <v>0</v>
      </c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2:32" x14ac:dyDescent="0.25">
      <c r="L33" s="123"/>
      <c r="M33" s="3" t="s">
        <v>2126</v>
      </c>
      <c r="N33" s="20">
        <v>0</v>
      </c>
      <c r="O33" s="3">
        <f>VLOOKUP($M33,FORMULAS!$O$12:$P$13,2,FALSE)*N33</f>
        <v>0</v>
      </c>
      <c r="P33" s="3">
        <f>VLOOKUP($M33,FORMULAS!$O$12:$Q$13,3,FALSE)*N33</f>
        <v>0</v>
      </c>
      <c r="Q33" s="3">
        <f>VLOOKUP($M33,FORMULAS!$O$12:$R$13,4,FALSE)*N33</f>
        <v>0</v>
      </c>
      <c r="T33" s="123"/>
      <c r="U33" s="3" t="str">
        <f t="shared" si="12"/>
        <v>Libre consumo</v>
      </c>
      <c r="V33" s="30">
        <f t="shared" si="13"/>
        <v>0</v>
      </c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2:32" x14ac:dyDescent="0.25">
      <c r="L34" s="125" t="s">
        <v>2031</v>
      </c>
      <c r="M34" s="3" t="s">
        <v>2130</v>
      </c>
      <c r="N34" s="20">
        <v>1.25</v>
      </c>
      <c r="O34" s="3">
        <f>VLOOKUP($M34,FORMULAS!$O$14:$P$18,2,FALSE)*N34</f>
        <v>15</v>
      </c>
      <c r="P34" s="3">
        <f>VLOOKUP($M34,FORMULAS!$O$14:$Q$18,3,FALSE)*N34</f>
        <v>10</v>
      </c>
      <c r="Q34" s="3">
        <f>VLOOKUP($M34,FORMULAS!$O$14:$R$18,4,FALSE)*N34</f>
        <v>1.25</v>
      </c>
      <c r="T34" s="125" t="s">
        <v>2031</v>
      </c>
      <c r="U34" s="3" t="str">
        <f t="shared" ref="U34:U42" si="14">M34</f>
        <v>Descremados - bajos en grasas</v>
      </c>
      <c r="V34" s="30">
        <f t="shared" ref="V34:V42" si="15">N34</f>
        <v>1.25</v>
      </c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2:32" x14ac:dyDescent="0.25">
      <c r="L35" s="125"/>
      <c r="M35" s="3" t="s">
        <v>2129</v>
      </c>
      <c r="N35" s="20">
        <v>0</v>
      </c>
      <c r="O35" s="3">
        <f>VLOOKUP($M35,FORMULAS!$O$14:$P$18,2,FALSE)*N35</f>
        <v>0</v>
      </c>
      <c r="P35" s="3">
        <f>VLOOKUP($M35,FORMULAS!$O$14:$Q$18,3,FALSE)*N35</f>
        <v>0</v>
      </c>
      <c r="Q35" s="3">
        <f>VLOOKUP($M35,FORMULAS!$O$14:$R$18,4,FALSE)*N35</f>
        <v>0</v>
      </c>
      <c r="T35" s="125"/>
      <c r="U35" s="3" t="str">
        <f t="shared" si="14"/>
        <v>Semidescremados - medios en grasas</v>
      </c>
      <c r="V35" s="30">
        <f t="shared" si="15"/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2:32" x14ac:dyDescent="0.25">
      <c r="L36" s="126" t="s">
        <v>2133</v>
      </c>
      <c r="M36" s="3" t="s">
        <v>2135</v>
      </c>
      <c r="N36" s="20">
        <v>0</v>
      </c>
      <c r="O36" s="3">
        <f>VLOOKUP($M36,FORMULAS!$O$19:$P$22,2,FALSE)*N36</f>
        <v>0</v>
      </c>
      <c r="P36" s="3">
        <f>VLOOKUP($M36,FORMULAS!$O$19:$Q$22,3,FALSE)*N36</f>
        <v>0</v>
      </c>
      <c r="Q36" s="3">
        <f>VLOOKUP($M36,FORMULAS!$O$19:$R$22,4,FALSE)*N36</f>
        <v>0</v>
      </c>
      <c r="T36" s="126" t="s">
        <v>2133</v>
      </c>
      <c r="U36" s="3" t="str">
        <f t="shared" si="14"/>
        <v>Medios en grasas</v>
      </c>
      <c r="V36" s="30">
        <f t="shared" si="15"/>
        <v>0</v>
      </c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2:32" x14ac:dyDescent="0.25">
      <c r="L37" s="126"/>
      <c r="M37" s="3" t="s">
        <v>2136</v>
      </c>
      <c r="N37" s="20">
        <v>0</v>
      </c>
      <c r="O37" s="3">
        <f>VLOOKUP($M37,FORMULAS!$O$19:$P$22,2,FALSE)*N37</f>
        <v>0</v>
      </c>
      <c r="P37" s="3">
        <f>VLOOKUP($M37,FORMULAS!$O$19:$Q$22,3,FALSE)*N37</f>
        <v>0</v>
      </c>
      <c r="Q37" s="3">
        <f>VLOOKUP($M37,FORMULAS!$O$19:$R$22,4,FALSE)*N37</f>
        <v>0</v>
      </c>
      <c r="T37" s="126"/>
      <c r="U37" s="3" t="str">
        <f t="shared" si="14"/>
        <v>Bajos en grasas</v>
      </c>
      <c r="V37" s="30">
        <f t="shared" si="15"/>
        <v>0</v>
      </c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2:32" x14ac:dyDescent="0.25">
      <c r="L38" s="126"/>
      <c r="M38" s="3" t="s">
        <v>2137</v>
      </c>
      <c r="N38" s="20">
        <v>0</v>
      </c>
      <c r="O38" s="3">
        <f>VLOOKUP($M38,FORMULAS!$O$19:$P$22,2,FALSE)*N38</f>
        <v>0</v>
      </c>
      <c r="P38" s="3">
        <f>VLOOKUP($M38,FORMULAS!$O$19:$Q$22,3,FALSE)*N38</f>
        <v>0</v>
      </c>
      <c r="Q38" s="3">
        <f>VLOOKUP($M38,FORMULAS!$O$19:$R$22,4,FALSE)*N38</f>
        <v>0</v>
      </c>
      <c r="T38" s="126"/>
      <c r="U38" s="3" t="str">
        <f t="shared" si="14"/>
        <v>Embutidos</v>
      </c>
      <c r="V38" s="30">
        <f t="shared" si="15"/>
        <v>0</v>
      </c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2:32" x14ac:dyDescent="0.25">
      <c r="L39" s="42" t="s">
        <v>2028</v>
      </c>
      <c r="M39" s="3" t="s">
        <v>2028</v>
      </c>
      <c r="N39" s="20">
        <v>0</v>
      </c>
      <c r="O39" s="3">
        <f>VLOOKUP($M39,FORMULAS!$O$23:$P$23,2,FALSE)*N39</f>
        <v>0</v>
      </c>
      <c r="P39" s="3">
        <f>VLOOKUP($M39,FORMULAS!$O$23:$Q$23,3,FALSE)*N39</f>
        <v>0</v>
      </c>
      <c r="Q39" s="3">
        <f>VLOOKUP($M39,FORMULAS!$O$23:$R$23,4,FALSE)*N39</f>
        <v>0</v>
      </c>
      <c r="T39" s="42" t="s">
        <v>2028</v>
      </c>
      <c r="U39" s="3" t="str">
        <f t="shared" si="14"/>
        <v>Leguminosas</v>
      </c>
      <c r="V39" s="30">
        <f t="shared" si="15"/>
        <v>0</v>
      </c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2:32" x14ac:dyDescent="0.25">
      <c r="L40" s="127" t="s">
        <v>2032</v>
      </c>
      <c r="M40" s="3" t="s">
        <v>2138</v>
      </c>
      <c r="N40" s="20">
        <v>0</v>
      </c>
      <c r="O40" s="3">
        <f>VLOOKUP($M40,FORMULAS!$O$24:$P$27,2,FALSE)*N40</f>
        <v>0</v>
      </c>
      <c r="P40" s="3">
        <f>VLOOKUP($M40,FORMULAS!$O$24:$Q$27,3,FALSE)*N40</f>
        <v>0</v>
      </c>
      <c r="Q40" s="3">
        <f>VLOOKUP($M40,FORMULAS!$O$24:$R$27,4,FALSE)*N40</f>
        <v>0</v>
      </c>
      <c r="T40" s="129" t="s">
        <v>2032</v>
      </c>
      <c r="U40" s="3" t="str">
        <f t="shared" si="14"/>
        <v>Altos en grasas y bajos en CHO</v>
      </c>
      <c r="V40" s="30">
        <f t="shared" si="15"/>
        <v>0</v>
      </c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2:32" x14ac:dyDescent="0.25">
      <c r="L41" s="127"/>
      <c r="M41" s="3" t="s">
        <v>2139</v>
      </c>
      <c r="N41" s="20">
        <v>0</v>
      </c>
      <c r="O41" s="3">
        <f>VLOOKUP($M41,FORMULAS!$O$24:$P$27,2,FALSE)*N41</f>
        <v>0</v>
      </c>
      <c r="P41" s="3">
        <f>VLOOKUP($M41,FORMULAS!$O$24:$Q$27,3,FALSE)*N41</f>
        <v>0</v>
      </c>
      <c r="Q41" s="3">
        <f>VLOOKUP($M41,FORMULAS!$O$24:$R$27,4,FALSE)*N41</f>
        <v>0</v>
      </c>
      <c r="T41" s="130"/>
      <c r="U41" s="3" t="str">
        <f t="shared" si="14"/>
        <v>Medios en grasas y bajor en CHO</v>
      </c>
      <c r="V41" s="30">
        <f t="shared" si="15"/>
        <v>0</v>
      </c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2:32" x14ac:dyDescent="0.25">
      <c r="L42" s="43" t="s">
        <v>2147</v>
      </c>
      <c r="M42" s="3" t="s">
        <v>2140</v>
      </c>
      <c r="N42" s="20">
        <v>1.25</v>
      </c>
      <c r="O42" s="3">
        <f>VLOOKUP($M42,FORMULAS!$O$28:$P$28,2,FALSE)*N42</f>
        <v>12.5</v>
      </c>
      <c r="P42" s="3">
        <f>VLOOKUP($M42,FORMULAS!$O$28:$Q$28,3,FALSE)*N42</f>
        <v>0</v>
      </c>
      <c r="Q42" s="3">
        <f>VLOOKUP($M42,FORMULAS!$O$28:$R$28,4,FALSE)*N42</f>
        <v>0</v>
      </c>
      <c r="T42" s="43" t="s">
        <v>2147</v>
      </c>
      <c r="U42" s="3" t="str">
        <f t="shared" si="14"/>
        <v>Azucares y alimentos azucarados</v>
      </c>
      <c r="V42" s="30">
        <f t="shared" si="15"/>
        <v>1.25</v>
      </c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2:32" x14ac:dyDescent="0.25">
      <c r="N43" s="21" t="s">
        <v>2111</v>
      </c>
      <c r="O43" s="20">
        <f>SUM(O28:O42)</f>
        <v>67.5</v>
      </c>
      <c r="P43" s="20">
        <f>SUM(P28:P42)</f>
        <v>14</v>
      </c>
      <c r="Q43" s="20">
        <f>SUM(Q28:Q42)</f>
        <v>2.25</v>
      </c>
      <c r="T43" s="47"/>
      <c r="U43" s="134" t="s">
        <v>2179</v>
      </c>
      <c r="V43" s="135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</row>
    <row r="44" spans="12:32" x14ac:dyDescent="0.25">
      <c r="N44" s="21" t="s">
        <v>2148</v>
      </c>
      <c r="O44" s="49">
        <f>O43-O27</f>
        <v>2.7837500000000119</v>
      </c>
      <c r="P44" s="49">
        <f t="shared" ref="P44:Q44" si="16">P43-P27</f>
        <v>10.950000000000003</v>
      </c>
      <c r="Q44" s="49">
        <f t="shared" si="16"/>
        <v>2.2738888888888908</v>
      </c>
      <c r="T44" s="47"/>
      <c r="U44" s="136"/>
      <c r="V44" s="137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</row>
    <row r="47" spans="12:32" x14ac:dyDescent="0.25">
      <c r="L47" s="15" t="s">
        <v>2150</v>
      </c>
      <c r="T47" s="15" t="s">
        <v>2150</v>
      </c>
    </row>
    <row r="48" spans="12:32" x14ac:dyDescent="0.25">
      <c r="O48" s="36" t="s">
        <v>2115</v>
      </c>
      <c r="P48" s="36" t="s">
        <v>2116</v>
      </c>
      <c r="Q48" s="36" t="s">
        <v>2117</v>
      </c>
      <c r="W48" s="132" t="s">
        <v>2167</v>
      </c>
      <c r="X48" s="132"/>
      <c r="Y48" s="132" t="s">
        <v>2168</v>
      </c>
      <c r="Z48" s="132"/>
      <c r="AA48" s="132" t="s">
        <v>2169</v>
      </c>
      <c r="AB48" s="132"/>
      <c r="AC48" s="132" t="s">
        <v>2170</v>
      </c>
      <c r="AD48" s="132"/>
      <c r="AE48" s="132" t="s">
        <v>2171</v>
      </c>
      <c r="AF48" s="132"/>
    </row>
    <row r="49" spans="12:32" ht="60" x14ac:dyDescent="0.25">
      <c r="L49" s="39" t="s">
        <v>2114</v>
      </c>
      <c r="M49" s="39" t="s">
        <v>2145</v>
      </c>
      <c r="N49" s="40" t="s">
        <v>2146</v>
      </c>
      <c r="O49" s="41">
        <f>G17-O44</f>
        <v>99.432499999999976</v>
      </c>
      <c r="P49" s="41">
        <f t="shared" ref="P49:Q49" si="17">H17-P44</f>
        <v>29.849999999999994</v>
      </c>
      <c r="Q49" s="41">
        <f t="shared" si="17"/>
        <v>31.952222222222218</v>
      </c>
      <c r="T49" s="39" t="s">
        <v>2114</v>
      </c>
      <c r="U49" s="39" t="s">
        <v>2145</v>
      </c>
      <c r="V49" s="40" t="s">
        <v>2176</v>
      </c>
      <c r="W49" s="40" t="s">
        <v>2164</v>
      </c>
      <c r="X49" s="40" t="s">
        <v>2165</v>
      </c>
      <c r="Y49" s="40" t="s">
        <v>2164</v>
      </c>
      <c r="Z49" s="40" t="s">
        <v>2165</v>
      </c>
      <c r="AA49" s="40" t="s">
        <v>2164</v>
      </c>
      <c r="AB49" s="40" t="s">
        <v>2165</v>
      </c>
      <c r="AC49" s="40" t="s">
        <v>2164</v>
      </c>
      <c r="AD49" s="40" t="s">
        <v>2165</v>
      </c>
      <c r="AE49" s="40" t="s">
        <v>2164</v>
      </c>
      <c r="AF49" s="40" t="s">
        <v>2165</v>
      </c>
    </row>
    <row r="50" spans="12:32" x14ac:dyDescent="0.25">
      <c r="L50" s="128" t="s">
        <v>2118</v>
      </c>
      <c r="M50" s="3" t="s">
        <v>2119</v>
      </c>
      <c r="N50" s="20">
        <v>3</v>
      </c>
      <c r="O50" s="3">
        <f>VLOOKUP($M50,FORMULAS!$O$6:$P$8,2,FALSE)*N50</f>
        <v>90</v>
      </c>
      <c r="P50" s="3">
        <f>VLOOKUP($M50,FORMULAS!$O$6:$Q$8,3,FALSE)*N50</f>
        <v>12</v>
      </c>
      <c r="Q50" s="3">
        <f>VLOOKUP($M50,FORMULAS!$O$6:$R$8,4,FALSE)*N50</f>
        <v>3</v>
      </c>
      <c r="T50" s="128" t="s">
        <v>2118</v>
      </c>
      <c r="U50" s="3" t="str">
        <f t="shared" ref="U50:V53" si="18">M50</f>
        <v>Altos en CHO y bajos en grasas</v>
      </c>
      <c r="V50" s="30">
        <f t="shared" si="18"/>
        <v>3</v>
      </c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2:32" x14ac:dyDescent="0.25">
      <c r="L51" s="128"/>
      <c r="M51" s="3" t="s">
        <v>2120</v>
      </c>
      <c r="N51" s="20">
        <v>0</v>
      </c>
      <c r="O51" s="3">
        <f>VLOOKUP($M51,FORMULAS!$O$6:$P$8,2,FALSE)*N51</f>
        <v>0</v>
      </c>
      <c r="P51" s="3">
        <f>VLOOKUP($M51,FORMULAS!$O$6:$Q$8,3,FALSE)*N51</f>
        <v>0</v>
      </c>
      <c r="Q51" s="3">
        <f>VLOOKUP($M51,FORMULAS!$O$6:$R$8,4,FALSE)*N51</f>
        <v>0</v>
      </c>
      <c r="T51" s="128"/>
      <c r="U51" s="3" t="str">
        <f t="shared" si="18"/>
        <v>Medios en CHO y bajos en grasas</v>
      </c>
      <c r="V51" s="30">
        <f t="shared" si="18"/>
        <v>0</v>
      </c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2:32" x14ac:dyDescent="0.25">
      <c r="L52" s="124" t="s">
        <v>2026</v>
      </c>
      <c r="M52" s="3" t="s">
        <v>2122</v>
      </c>
      <c r="N52" s="20">
        <v>1</v>
      </c>
      <c r="O52" s="3">
        <f>VLOOKUP($M52,FORMULAS!$O$9:$P$11,2,FALSE)*N52</f>
        <v>20</v>
      </c>
      <c r="P52" s="3">
        <f>VLOOKUP($M52,FORMULAS!$O$9:$Q$11,3,FALSE)*N52</f>
        <v>1</v>
      </c>
      <c r="Q52" s="3">
        <f>VLOOKUP($M52,FORMULAS!$O$9:$R$11,4,FALSE)*N52</f>
        <v>0</v>
      </c>
      <c r="T52" s="124" t="s">
        <v>2026</v>
      </c>
      <c r="U52" s="3" t="str">
        <f t="shared" si="18"/>
        <v>Medias en CHO</v>
      </c>
      <c r="V52" s="30">
        <f t="shared" si="18"/>
        <v>1</v>
      </c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2:32" x14ac:dyDescent="0.25">
      <c r="L53" s="124"/>
      <c r="M53" s="3" t="s">
        <v>2123</v>
      </c>
      <c r="N53" s="20">
        <v>0</v>
      </c>
      <c r="O53" s="3">
        <f>VLOOKUP($M53,FORMULAS!$O$9:$P$11,2,FALSE)*N53</f>
        <v>0</v>
      </c>
      <c r="P53" s="3">
        <f>VLOOKUP($M53,FORMULAS!$O$9:$Q$11,3,FALSE)*N53</f>
        <v>0</v>
      </c>
      <c r="Q53" s="3">
        <f>VLOOKUP($M53,FORMULAS!$O$9:$R$11,4,FALSE)*N53</f>
        <v>0</v>
      </c>
      <c r="T53" s="124"/>
      <c r="U53" s="3" t="str">
        <f t="shared" si="18"/>
        <v>Bajas en CHO</v>
      </c>
      <c r="V53" s="30">
        <f t="shared" si="18"/>
        <v>0</v>
      </c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2:32" x14ac:dyDescent="0.25">
      <c r="L54" s="123" t="s">
        <v>2027</v>
      </c>
      <c r="M54" s="3" t="s">
        <v>2125</v>
      </c>
      <c r="N54" s="20">
        <v>2</v>
      </c>
      <c r="O54" s="3">
        <f>VLOOKUP($M54,FORMULAS!$O$12:$P$13,2,FALSE)*N54</f>
        <v>10</v>
      </c>
      <c r="P54" s="3">
        <f>VLOOKUP($M54,FORMULAS!$O$12:$Q$13,3,FALSE)*N54</f>
        <v>2</v>
      </c>
      <c r="Q54" s="3">
        <f>VLOOKUP($M54,FORMULAS!$O$12:$R$13,4,FALSE)*N54</f>
        <v>0</v>
      </c>
      <c r="T54" s="123" t="s">
        <v>2027</v>
      </c>
      <c r="U54" s="3" t="str">
        <f t="shared" ref="U54:U55" si="19">M54</f>
        <v>Bajos en CHO</v>
      </c>
      <c r="V54" s="30">
        <f t="shared" ref="V54:V55" si="20">N54</f>
        <v>2</v>
      </c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2:32" x14ac:dyDescent="0.25">
      <c r="L55" s="123"/>
      <c r="M55" s="3" t="s">
        <v>2126</v>
      </c>
      <c r="N55" s="20">
        <v>0</v>
      </c>
      <c r="O55" s="3">
        <f>VLOOKUP($M55,FORMULAS!$O$12:$P$13,2,FALSE)*N55</f>
        <v>0</v>
      </c>
      <c r="P55" s="3">
        <f>VLOOKUP($M55,FORMULAS!$O$12:$Q$13,3,FALSE)*N55</f>
        <v>0</v>
      </c>
      <c r="Q55" s="3">
        <f>VLOOKUP($M55,FORMULAS!$O$12:$R$13,4,FALSE)*N55</f>
        <v>0</v>
      </c>
      <c r="T55" s="123"/>
      <c r="U55" s="3" t="str">
        <f t="shared" si="19"/>
        <v>Libre consumo</v>
      </c>
      <c r="V55" s="30">
        <f t="shared" si="20"/>
        <v>0</v>
      </c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2:32" x14ac:dyDescent="0.25">
      <c r="L56" s="125" t="s">
        <v>2031</v>
      </c>
      <c r="M56" s="3" t="s">
        <v>2130</v>
      </c>
      <c r="N56" s="20">
        <v>0</v>
      </c>
      <c r="O56" s="3">
        <f>VLOOKUP($M56,FORMULAS!$O$14:$P$18,2,FALSE)*N56</f>
        <v>0</v>
      </c>
      <c r="P56" s="3">
        <f>VLOOKUP($M56,FORMULAS!$O$14:$Q$18,3,FALSE)*N56</f>
        <v>0</v>
      </c>
      <c r="Q56" s="3">
        <f>VLOOKUP($M56,FORMULAS!$O$14:$R$18,4,FALSE)*N56</f>
        <v>0</v>
      </c>
      <c r="T56" s="125" t="s">
        <v>2031</v>
      </c>
      <c r="U56" s="3" t="str">
        <f t="shared" ref="U56:U64" si="21">M56</f>
        <v>Descremados - bajos en grasas</v>
      </c>
      <c r="V56" s="30">
        <f t="shared" ref="V56:V64" si="22">N56</f>
        <v>0</v>
      </c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2:32" x14ac:dyDescent="0.25">
      <c r="L57" s="125"/>
      <c r="M57" s="3" t="s">
        <v>2129</v>
      </c>
      <c r="N57" s="20">
        <v>0</v>
      </c>
      <c r="O57" s="3">
        <f>VLOOKUP($M57,FORMULAS!$O$14:$P$18,2,FALSE)*N57</f>
        <v>0</v>
      </c>
      <c r="P57" s="3">
        <f>VLOOKUP($M57,FORMULAS!$O$14:$Q$18,3,FALSE)*N57</f>
        <v>0</v>
      </c>
      <c r="Q57" s="3">
        <f>VLOOKUP($M57,FORMULAS!$O$14:$R$18,4,FALSE)*N57</f>
        <v>0</v>
      </c>
      <c r="T57" s="125"/>
      <c r="U57" s="3" t="str">
        <f t="shared" si="21"/>
        <v>Semidescremados - medios en grasas</v>
      </c>
      <c r="V57" s="30">
        <f t="shared" si="22"/>
        <v>0</v>
      </c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2:32" x14ac:dyDescent="0.25">
      <c r="L58" s="126" t="s">
        <v>2133</v>
      </c>
      <c r="M58" s="3" t="s">
        <v>2135</v>
      </c>
      <c r="N58" s="20">
        <v>0</v>
      </c>
      <c r="O58" s="3">
        <f>VLOOKUP($M58,FORMULAS!$O$19:$P$22,2,FALSE)*N58</f>
        <v>0</v>
      </c>
      <c r="P58" s="3">
        <f>VLOOKUP($M58,FORMULAS!$O$19:$Q$22,3,FALSE)*N58</f>
        <v>0</v>
      </c>
      <c r="Q58" s="3">
        <f>VLOOKUP($M58,FORMULAS!$O$19:$R$22,4,FALSE)*N58</f>
        <v>0</v>
      </c>
      <c r="T58" s="126" t="s">
        <v>2133</v>
      </c>
      <c r="U58" s="3" t="str">
        <f t="shared" si="21"/>
        <v>Medios en grasas</v>
      </c>
      <c r="V58" s="30">
        <f t="shared" si="22"/>
        <v>0</v>
      </c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2:32" ht="14.45" customHeight="1" x14ac:dyDescent="0.25">
      <c r="L59" s="126"/>
      <c r="M59" s="3" t="s">
        <v>2136</v>
      </c>
      <c r="N59" s="20">
        <v>2</v>
      </c>
      <c r="O59" s="3">
        <f>VLOOKUP($M59,FORMULAS!$O$19:$P$22,2,FALSE)*N59</f>
        <v>0</v>
      </c>
      <c r="P59" s="3">
        <f>VLOOKUP($M59,FORMULAS!$O$19:$Q$22,3,FALSE)*N59</f>
        <v>22</v>
      </c>
      <c r="Q59" s="3">
        <f>VLOOKUP($M59,FORMULAS!$O$19:$R$22,4,FALSE)*N59</f>
        <v>4</v>
      </c>
      <c r="T59" s="126"/>
      <c r="U59" s="3" t="str">
        <f t="shared" si="21"/>
        <v>Bajos en grasas</v>
      </c>
      <c r="V59" s="30">
        <f t="shared" si="22"/>
        <v>2</v>
      </c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2:32" x14ac:dyDescent="0.25">
      <c r="L60" s="126"/>
      <c r="M60" s="3" t="s">
        <v>2137</v>
      </c>
      <c r="N60" s="20">
        <v>0</v>
      </c>
      <c r="O60" s="3">
        <f>VLOOKUP($M60,FORMULAS!$O$19:$P$22,2,FALSE)*N60</f>
        <v>0</v>
      </c>
      <c r="P60" s="3">
        <f>VLOOKUP($M60,FORMULAS!$O$19:$Q$22,3,FALSE)*N60</f>
        <v>0</v>
      </c>
      <c r="Q60" s="3">
        <f>VLOOKUP($M60,FORMULAS!$O$19:$R$22,4,FALSE)*N60</f>
        <v>0</v>
      </c>
      <c r="T60" s="126"/>
      <c r="U60" s="3" t="str">
        <f t="shared" si="21"/>
        <v>Embutidos</v>
      </c>
      <c r="V60" s="30">
        <f t="shared" si="22"/>
        <v>0</v>
      </c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2:32" x14ac:dyDescent="0.25">
      <c r="L61" s="42" t="s">
        <v>2028</v>
      </c>
      <c r="M61" s="3" t="s">
        <v>2028</v>
      </c>
      <c r="N61" s="20">
        <v>0</v>
      </c>
      <c r="O61" s="3">
        <f>VLOOKUP($M61,FORMULAS!$O$23:$P$23,2,FALSE)*N61</f>
        <v>0</v>
      </c>
      <c r="P61" s="3">
        <f>VLOOKUP($M61,FORMULAS!$O$23:$Q$23,3,FALSE)*N61</f>
        <v>0</v>
      </c>
      <c r="Q61" s="3">
        <f>VLOOKUP($M61,FORMULAS!$O$23:$R$23,4,FALSE)*N61</f>
        <v>0</v>
      </c>
      <c r="T61" s="42" t="s">
        <v>2028</v>
      </c>
      <c r="U61" s="3" t="str">
        <f t="shared" si="21"/>
        <v>Leguminosas</v>
      </c>
      <c r="V61" s="30">
        <f t="shared" si="22"/>
        <v>0</v>
      </c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2:32" x14ac:dyDescent="0.25">
      <c r="L62" s="127" t="s">
        <v>2032</v>
      </c>
      <c r="M62" s="3" t="s">
        <v>2135</v>
      </c>
      <c r="N62" s="20">
        <v>1</v>
      </c>
      <c r="O62" s="3">
        <f>VLOOKUP($M62,FORMULAS!$O$24:$P$27,2,FALSE)*N62</f>
        <v>2</v>
      </c>
      <c r="P62" s="3">
        <f>VLOOKUP($M62,FORMULAS!$O$24:$Q$27,3,FALSE)*N62</f>
        <v>1</v>
      </c>
      <c r="Q62" s="3">
        <f>VLOOKUP($M62,FORMULAS!$O$24:$R$27,4,FALSE)*N62</f>
        <v>7</v>
      </c>
      <c r="T62" s="129" t="s">
        <v>2032</v>
      </c>
      <c r="U62" s="3" t="str">
        <f t="shared" si="21"/>
        <v>Medios en grasas</v>
      </c>
      <c r="V62" s="30">
        <f t="shared" si="22"/>
        <v>1</v>
      </c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2:32" x14ac:dyDescent="0.25">
      <c r="L63" s="127"/>
      <c r="M63" s="3" t="s">
        <v>2139</v>
      </c>
      <c r="N63" s="20">
        <v>0</v>
      </c>
      <c r="O63" s="3">
        <f>VLOOKUP($M63,FORMULAS!$O$24:$P$27,2,FALSE)*N63</f>
        <v>0</v>
      </c>
      <c r="P63" s="3">
        <f>VLOOKUP($M63,FORMULAS!$O$24:$Q$27,3,FALSE)*N63</f>
        <v>0</v>
      </c>
      <c r="Q63" s="3">
        <f>VLOOKUP($M63,FORMULAS!$O$24:$R$27,4,FALSE)*N63</f>
        <v>0</v>
      </c>
      <c r="T63" s="130"/>
      <c r="U63" s="3" t="str">
        <f t="shared" si="21"/>
        <v>Medios en grasas y bajor en CHO</v>
      </c>
      <c r="V63" s="30">
        <f t="shared" si="22"/>
        <v>0</v>
      </c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2:32" x14ac:dyDescent="0.25">
      <c r="L64" s="43" t="s">
        <v>2147</v>
      </c>
      <c r="M64" s="3" t="s">
        <v>2140</v>
      </c>
      <c r="N64" s="20">
        <v>1</v>
      </c>
      <c r="O64" s="3">
        <f>VLOOKUP($M64,FORMULAS!$O$28:$P$28,2,FALSE)*N64</f>
        <v>10</v>
      </c>
      <c r="P64" s="3">
        <f>VLOOKUP($M64,FORMULAS!$O$28:$Q$28,3,FALSE)*N64</f>
        <v>0</v>
      </c>
      <c r="Q64" s="3">
        <f>VLOOKUP($M64,FORMULAS!$O$28:$R$28,4,FALSE)*N64</f>
        <v>0</v>
      </c>
      <c r="T64" s="43" t="s">
        <v>2147</v>
      </c>
      <c r="U64" s="3" t="str">
        <f t="shared" si="21"/>
        <v>Azucares y alimentos azucarados</v>
      </c>
      <c r="V64" s="30">
        <f t="shared" si="22"/>
        <v>1</v>
      </c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2:32" x14ac:dyDescent="0.25">
      <c r="N65" s="21" t="s">
        <v>2111</v>
      </c>
      <c r="O65" s="20">
        <f>SUM(O50:O64)</f>
        <v>132</v>
      </c>
      <c r="P65" s="20">
        <f>SUM(P50:P64)</f>
        <v>38</v>
      </c>
      <c r="Q65" s="20">
        <f>SUM(Q50:Q64)</f>
        <v>14</v>
      </c>
      <c r="T65" s="47"/>
      <c r="U65" s="134" t="s">
        <v>2179</v>
      </c>
      <c r="V65" s="135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</row>
    <row r="66" spans="12:32" x14ac:dyDescent="0.25">
      <c r="N66" s="21" t="s">
        <v>2148</v>
      </c>
      <c r="O66" s="49">
        <f>O65-O49</f>
        <v>32.567500000000024</v>
      </c>
      <c r="P66" s="49">
        <f t="shared" ref="P66:Q66" si="23">P65-P49</f>
        <v>8.1500000000000057</v>
      </c>
      <c r="Q66" s="49">
        <f t="shared" si="23"/>
        <v>-17.952222222222218</v>
      </c>
      <c r="T66" s="47"/>
      <c r="U66" s="136"/>
      <c r="V66" s="137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</row>
    <row r="69" spans="12:32" x14ac:dyDescent="0.25">
      <c r="L69" s="15" t="s">
        <v>2151</v>
      </c>
      <c r="T69" s="15" t="s">
        <v>2151</v>
      </c>
    </row>
    <row r="70" spans="12:32" x14ac:dyDescent="0.25">
      <c r="O70" s="36" t="s">
        <v>2115</v>
      </c>
      <c r="P70" s="36" t="s">
        <v>2116</v>
      </c>
      <c r="Q70" s="36" t="s">
        <v>2117</v>
      </c>
      <c r="W70" s="132" t="s">
        <v>2167</v>
      </c>
      <c r="X70" s="132"/>
      <c r="Y70" s="132" t="s">
        <v>2168</v>
      </c>
      <c r="Z70" s="132"/>
      <c r="AA70" s="132" t="s">
        <v>2169</v>
      </c>
      <c r="AB70" s="132"/>
      <c r="AC70" s="132" t="s">
        <v>2170</v>
      </c>
      <c r="AD70" s="132"/>
      <c r="AE70" s="132" t="s">
        <v>2171</v>
      </c>
      <c r="AF70" s="132"/>
    </row>
    <row r="71" spans="12:32" ht="60" x14ac:dyDescent="0.25">
      <c r="L71" s="39" t="s">
        <v>2114</v>
      </c>
      <c r="M71" s="39" t="s">
        <v>2145</v>
      </c>
      <c r="N71" s="40" t="s">
        <v>2146</v>
      </c>
      <c r="O71" s="41">
        <f>G18-O66</f>
        <v>-32.567500000000024</v>
      </c>
      <c r="P71" s="41">
        <f t="shared" ref="P71:Q71" si="24">H18-P66</f>
        <v>-8.1500000000000057</v>
      </c>
      <c r="Q71" s="41">
        <f t="shared" si="24"/>
        <v>17.952222222222218</v>
      </c>
      <c r="T71" s="39" t="s">
        <v>2114</v>
      </c>
      <c r="U71" s="39" t="s">
        <v>2145</v>
      </c>
      <c r="V71" s="40" t="s">
        <v>2176</v>
      </c>
      <c r="W71" s="40" t="s">
        <v>2164</v>
      </c>
      <c r="X71" s="40" t="s">
        <v>2165</v>
      </c>
      <c r="Y71" s="40" t="s">
        <v>2164</v>
      </c>
      <c r="Z71" s="40" t="s">
        <v>2165</v>
      </c>
      <c r="AA71" s="40" t="s">
        <v>2164</v>
      </c>
      <c r="AB71" s="40" t="s">
        <v>2165</v>
      </c>
      <c r="AC71" s="40" t="s">
        <v>2164</v>
      </c>
      <c r="AD71" s="40" t="s">
        <v>2165</v>
      </c>
      <c r="AE71" s="40" t="s">
        <v>2164</v>
      </c>
      <c r="AF71" s="40" t="s">
        <v>2165</v>
      </c>
    </row>
    <row r="72" spans="12:32" x14ac:dyDescent="0.25">
      <c r="L72" s="128" t="s">
        <v>2118</v>
      </c>
      <c r="M72" s="3" t="s">
        <v>2120</v>
      </c>
      <c r="N72" s="20">
        <v>0</v>
      </c>
      <c r="O72" s="3">
        <f>VLOOKUP($M72,FORMULAS!$O$6:$P$8,2,FALSE)*N72</f>
        <v>0</v>
      </c>
      <c r="P72" s="3">
        <f>VLOOKUP($M72,FORMULAS!$O$6:$Q$8,3,FALSE)*N72</f>
        <v>0</v>
      </c>
      <c r="Q72" s="3">
        <f>VLOOKUP($M72,FORMULAS!$O$6:$R$8,4,FALSE)*N72</f>
        <v>0</v>
      </c>
      <c r="T72" s="128" t="s">
        <v>2118</v>
      </c>
      <c r="U72" s="3" t="str">
        <f t="shared" ref="U72:V75" si="25">M72</f>
        <v>Medios en CHO y bajos en grasas</v>
      </c>
      <c r="V72" s="30">
        <f t="shared" si="25"/>
        <v>0</v>
      </c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2:32" x14ac:dyDescent="0.25">
      <c r="L73" s="128"/>
      <c r="M73" s="3" t="s">
        <v>2120</v>
      </c>
      <c r="N73" s="20">
        <v>0</v>
      </c>
      <c r="O73" s="3">
        <f>VLOOKUP($M73,FORMULAS!$O$6:$P$8,2,FALSE)*N73</f>
        <v>0</v>
      </c>
      <c r="P73" s="3">
        <f>VLOOKUP($M73,FORMULAS!$O$6:$Q$8,3,FALSE)*N73</f>
        <v>0</v>
      </c>
      <c r="Q73" s="3">
        <f>VLOOKUP($M73,FORMULAS!$O$6:$R$8,4,FALSE)*N73</f>
        <v>0</v>
      </c>
      <c r="T73" s="128"/>
      <c r="U73" s="3" t="str">
        <f t="shared" si="25"/>
        <v>Medios en CHO y bajos en grasas</v>
      </c>
      <c r="V73" s="30">
        <f t="shared" si="25"/>
        <v>0</v>
      </c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2:32" x14ac:dyDescent="0.25">
      <c r="L74" s="124" t="s">
        <v>2026</v>
      </c>
      <c r="M74" s="3" t="s">
        <v>2122</v>
      </c>
      <c r="N74" s="20">
        <v>0</v>
      </c>
      <c r="O74" s="3">
        <f>VLOOKUP($M74,FORMULAS!$O$9:$P$11,2,FALSE)*N74</f>
        <v>0</v>
      </c>
      <c r="P74" s="3">
        <f>VLOOKUP($M74,FORMULAS!$O$9:$Q$11,3,FALSE)*N74</f>
        <v>0</v>
      </c>
      <c r="Q74" s="3">
        <f>VLOOKUP($M74,FORMULAS!$O$9:$R$11,4,FALSE)*N74</f>
        <v>0</v>
      </c>
      <c r="T74" s="124" t="s">
        <v>2026</v>
      </c>
      <c r="U74" s="3" t="str">
        <f t="shared" si="25"/>
        <v>Medias en CHO</v>
      </c>
      <c r="V74" s="30">
        <f t="shared" si="25"/>
        <v>0</v>
      </c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2:32" x14ac:dyDescent="0.25">
      <c r="L75" s="124"/>
      <c r="M75" s="3" t="s">
        <v>2123</v>
      </c>
      <c r="N75" s="20">
        <v>0</v>
      </c>
      <c r="O75" s="3">
        <f>VLOOKUP($M75,FORMULAS!$O$9:$P$11,2,FALSE)*N75</f>
        <v>0</v>
      </c>
      <c r="P75" s="3">
        <f>VLOOKUP($M75,FORMULAS!$O$9:$Q$11,3,FALSE)*N75</f>
        <v>0</v>
      </c>
      <c r="Q75" s="3">
        <f>VLOOKUP($M75,FORMULAS!$O$9:$R$11,4,FALSE)*N75</f>
        <v>0</v>
      </c>
      <c r="T75" s="124"/>
      <c r="U75" s="3" t="str">
        <f t="shared" si="25"/>
        <v>Bajas en CHO</v>
      </c>
      <c r="V75" s="30">
        <f t="shared" si="25"/>
        <v>0</v>
      </c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2:32" x14ac:dyDescent="0.25">
      <c r="L76" s="123" t="s">
        <v>2027</v>
      </c>
      <c r="M76" s="3" t="s">
        <v>2125</v>
      </c>
      <c r="N76" s="20">
        <v>0</v>
      </c>
      <c r="O76" s="3">
        <f>VLOOKUP($M76,FORMULAS!$O$12:$P$13,2,FALSE)*N76</f>
        <v>0</v>
      </c>
      <c r="P76" s="3">
        <f>VLOOKUP($M76,FORMULAS!$O$12:$Q$13,3,FALSE)*N76</f>
        <v>0</v>
      </c>
      <c r="Q76" s="3">
        <f>VLOOKUP($M76,FORMULAS!$O$12:$R$13,4,FALSE)*N76</f>
        <v>0</v>
      </c>
      <c r="T76" s="123" t="s">
        <v>2027</v>
      </c>
      <c r="U76" s="3" t="str">
        <f t="shared" ref="U76:U77" si="26">M76</f>
        <v>Bajos en CHO</v>
      </c>
      <c r="V76" s="30">
        <f t="shared" ref="V76:V77" si="27">N76</f>
        <v>0</v>
      </c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2:32" x14ac:dyDescent="0.25">
      <c r="L77" s="123"/>
      <c r="M77" s="3" t="s">
        <v>2126</v>
      </c>
      <c r="N77" s="20">
        <v>0</v>
      </c>
      <c r="O77" s="3">
        <f>VLOOKUP($M77,FORMULAS!$O$12:$P$13,2,FALSE)*N77</f>
        <v>0</v>
      </c>
      <c r="P77" s="3">
        <f>VLOOKUP($M77,FORMULAS!$O$12:$Q$13,3,FALSE)*N77</f>
        <v>0</v>
      </c>
      <c r="Q77" s="3">
        <f>VLOOKUP($M77,FORMULAS!$O$12:$R$13,4,FALSE)*N77</f>
        <v>0</v>
      </c>
      <c r="T77" s="123"/>
      <c r="U77" s="3" t="str">
        <f t="shared" si="26"/>
        <v>Libre consumo</v>
      </c>
      <c r="V77" s="30">
        <f t="shared" si="27"/>
        <v>0</v>
      </c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2:32" x14ac:dyDescent="0.25">
      <c r="L78" s="125" t="s">
        <v>2031</v>
      </c>
      <c r="M78" s="3" t="s">
        <v>2130</v>
      </c>
      <c r="N78" s="20">
        <v>0</v>
      </c>
      <c r="O78" s="3">
        <f>VLOOKUP($M78,FORMULAS!$O$14:$P$18,2,FALSE)*N78</f>
        <v>0</v>
      </c>
      <c r="P78" s="3">
        <f>VLOOKUP($M78,FORMULAS!$O$14:$Q$18,3,FALSE)*N78</f>
        <v>0</v>
      </c>
      <c r="Q78" s="3">
        <f>VLOOKUP($M78,FORMULAS!$O$14:$R$18,4,FALSE)*N78</f>
        <v>0</v>
      </c>
      <c r="T78" s="125" t="s">
        <v>2031</v>
      </c>
      <c r="U78" s="3" t="str">
        <f t="shared" ref="U78:U86" si="28">M78</f>
        <v>Descremados - bajos en grasas</v>
      </c>
      <c r="V78" s="30">
        <f t="shared" ref="V78:V86" si="29">N78</f>
        <v>0</v>
      </c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2:32" x14ac:dyDescent="0.25">
      <c r="L79" s="125"/>
      <c r="M79" s="3" t="s">
        <v>2129</v>
      </c>
      <c r="N79" s="20">
        <v>0</v>
      </c>
      <c r="O79" s="3">
        <f>VLOOKUP($M79,FORMULAS!$O$14:$P$18,2,FALSE)*N79</f>
        <v>0</v>
      </c>
      <c r="P79" s="3">
        <f>VLOOKUP($M79,FORMULAS!$O$14:$Q$18,3,FALSE)*N79</f>
        <v>0</v>
      </c>
      <c r="Q79" s="3">
        <f>VLOOKUP($M79,FORMULAS!$O$14:$R$18,4,FALSE)*N79</f>
        <v>0</v>
      </c>
      <c r="T79" s="125"/>
      <c r="U79" s="3" t="str">
        <f t="shared" si="28"/>
        <v>Semidescremados - medios en grasas</v>
      </c>
      <c r="V79" s="30">
        <f t="shared" si="29"/>
        <v>0</v>
      </c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2:32" x14ac:dyDescent="0.25">
      <c r="L80" s="126" t="s">
        <v>2133</v>
      </c>
      <c r="M80" s="3" t="s">
        <v>2135</v>
      </c>
      <c r="N80" s="20">
        <v>0</v>
      </c>
      <c r="O80" s="3">
        <f>VLOOKUP($M80,FORMULAS!$O$19:$P$22,2,FALSE)*N80</f>
        <v>0</v>
      </c>
      <c r="P80" s="3">
        <f>VLOOKUP($M80,FORMULAS!$O$19:$Q$22,3,FALSE)*N80</f>
        <v>0</v>
      </c>
      <c r="Q80" s="3">
        <f>VLOOKUP($M80,FORMULAS!$O$19:$R$22,4,FALSE)*N80</f>
        <v>0</v>
      </c>
      <c r="T80" s="126" t="s">
        <v>2133</v>
      </c>
      <c r="U80" s="3" t="str">
        <f t="shared" si="28"/>
        <v>Medios en grasas</v>
      </c>
      <c r="V80" s="30">
        <f t="shared" si="29"/>
        <v>0</v>
      </c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2:32" x14ac:dyDescent="0.25">
      <c r="L81" s="126"/>
      <c r="M81" s="3" t="s">
        <v>2136</v>
      </c>
      <c r="N81" s="20">
        <v>0</v>
      </c>
      <c r="O81" s="3">
        <f>VLOOKUP($M81,FORMULAS!$O$19:$P$22,2,FALSE)*N81</f>
        <v>0</v>
      </c>
      <c r="P81" s="3">
        <f>VLOOKUP($M81,FORMULAS!$O$19:$Q$22,3,FALSE)*N81</f>
        <v>0</v>
      </c>
      <c r="Q81" s="3">
        <f>VLOOKUP($M81,FORMULAS!$O$19:$R$22,4,FALSE)*N81</f>
        <v>0</v>
      </c>
      <c r="T81" s="126"/>
      <c r="U81" s="3" t="str">
        <f t="shared" si="28"/>
        <v>Bajos en grasas</v>
      </c>
      <c r="V81" s="30">
        <f t="shared" si="29"/>
        <v>0</v>
      </c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2:32" x14ac:dyDescent="0.25">
      <c r="L82" s="126"/>
      <c r="M82" s="3" t="s">
        <v>2137</v>
      </c>
      <c r="N82" s="20">
        <v>0</v>
      </c>
      <c r="O82" s="3">
        <f>VLOOKUP($M82,FORMULAS!$O$19:$P$22,2,FALSE)*N82</f>
        <v>0</v>
      </c>
      <c r="P82" s="3">
        <f>VLOOKUP($M82,FORMULAS!$O$19:$Q$22,3,FALSE)*N82</f>
        <v>0</v>
      </c>
      <c r="Q82" s="3">
        <f>VLOOKUP($M82,FORMULAS!$O$19:$R$22,4,FALSE)*N82</f>
        <v>0</v>
      </c>
      <c r="T82" s="126"/>
      <c r="U82" s="3" t="str">
        <f t="shared" si="28"/>
        <v>Embutidos</v>
      </c>
      <c r="V82" s="30">
        <f t="shared" si="29"/>
        <v>0</v>
      </c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2:32" x14ac:dyDescent="0.25">
      <c r="L83" s="42" t="s">
        <v>2028</v>
      </c>
      <c r="M83" s="3" t="s">
        <v>2028</v>
      </c>
      <c r="N83" s="20">
        <v>0</v>
      </c>
      <c r="O83" s="3">
        <f>VLOOKUP($M83,FORMULAS!$O$23:$P$23,2,FALSE)*N83</f>
        <v>0</v>
      </c>
      <c r="P83" s="3">
        <f>VLOOKUP($M83,FORMULAS!$O$23:$Q$23,3,FALSE)*N83</f>
        <v>0</v>
      </c>
      <c r="Q83" s="3">
        <f>VLOOKUP($M83,FORMULAS!$O$23:$R$23,4,FALSE)*N83</f>
        <v>0</v>
      </c>
      <c r="T83" s="42" t="s">
        <v>2028</v>
      </c>
      <c r="U83" s="3" t="str">
        <f t="shared" si="28"/>
        <v>Leguminosas</v>
      </c>
      <c r="V83" s="30">
        <f t="shared" si="29"/>
        <v>0</v>
      </c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2:32" x14ac:dyDescent="0.25">
      <c r="L84" s="127" t="s">
        <v>2032</v>
      </c>
      <c r="M84" s="3" t="s">
        <v>2138</v>
      </c>
      <c r="N84" s="20">
        <v>0</v>
      </c>
      <c r="O84" s="3">
        <f>VLOOKUP($M84,FORMULAS!$O$24:$P$27,2,FALSE)*N84</f>
        <v>0</v>
      </c>
      <c r="P84" s="3">
        <f>VLOOKUP($M84,FORMULAS!$O$24:$Q$27,3,FALSE)*N84</f>
        <v>0</v>
      </c>
      <c r="Q84" s="3">
        <f>VLOOKUP($M84,FORMULAS!$O$24:$R$27,4,FALSE)*N84</f>
        <v>0</v>
      </c>
      <c r="T84" s="129" t="s">
        <v>2032</v>
      </c>
      <c r="U84" s="3" t="str">
        <f t="shared" si="28"/>
        <v>Altos en grasas y bajos en CHO</v>
      </c>
      <c r="V84" s="30">
        <f t="shared" si="29"/>
        <v>0</v>
      </c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2:32" x14ac:dyDescent="0.25">
      <c r="L85" s="127"/>
      <c r="M85" s="3" t="s">
        <v>2139</v>
      </c>
      <c r="N85" s="20">
        <v>0</v>
      </c>
      <c r="O85" s="3">
        <f>VLOOKUP($M85,FORMULAS!$O$24:$P$27,2,FALSE)*N85</f>
        <v>0</v>
      </c>
      <c r="P85" s="3">
        <f>VLOOKUP($M85,FORMULAS!$O$24:$Q$27,3,FALSE)*N85</f>
        <v>0</v>
      </c>
      <c r="Q85" s="3">
        <f>VLOOKUP($M85,FORMULAS!$O$24:$R$27,4,FALSE)*N85</f>
        <v>0</v>
      </c>
      <c r="T85" s="130"/>
      <c r="U85" s="3" t="str">
        <f t="shared" si="28"/>
        <v>Medios en grasas y bajor en CHO</v>
      </c>
      <c r="V85" s="30">
        <f t="shared" si="29"/>
        <v>0</v>
      </c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2:32" x14ac:dyDescent="0.25">
      <c r="L86" s="43" t="s">
        <v>2147</v>
      </c>
      <c r="M86" s="3" t="s">
        <v>2140</v>
      </c>
      <c r="N86" s="20">
        <v>0</v>
      </c>
      <c r="O86" s="3">
        <f>VLOOKUP($M86,FORMULAS!$O$28:$P$28,2,FALSE)*N86</f>
        <v>0</v>
      </c>
      <c r="P86" s="3">
        <f>VLOOKUP($M86,FORMULAS!$O$28:$Q$28,3,FALSE)*N86</f>
        <v>0</v>
      </c>
      <c r="Q86" s="3">
        <f>VLOOKUP($M86,FORMULAS!$O$28:$R$28,4,FALSE)*N86</f>
        <v>0</v>
      </c>
      <c r="T86" s="43" t="s">
        <v>2147</v>
      </c>
      <c r="U86" s="3" t="str">
        <f t="shared" si="28"/>
        <v>Azucares y alimentos azucarados</v>
      </c>
      <c r="V86" s="30">
        <f t="shared" si="29"/>
        <v>0</v>
      </c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2:32" x14ac:dyDescent="0.25">
      <c r="N87" s="21" t="s">
        <v>2111</v>
      </c>
      <c r="O87" s="20">
        <f>SUM(O72:O86)</f>
        <v>0</v>
      </c>
      <c r="P87" s="20">
        <f>SUM(P72:P86)</f>
        <v>0</v>
      </c>
      <c r="Q87" s="20">
        <f>SUM(Q72:Q86)</f>
        <v>0</v>
      </c>
      <c r="T87" s="47"/>
      <c r="U87" s="134" t="s">
        <v>2179</v>
      </c>
      <c r="V87" s="135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</row>
    <row r="88" spans="12:32" x14ac:dyDescent="0.25">
      <c r="N88" s="21" t="s">
        <v>2148</v>
      </c>
      <c r="O88" s="49">
        <f>O87-O71</f>
        <v>32.567500000000024</v>
      </c>
      <c r="P88" s="49">
        <f t="shared" ref="P88:Q88" si="30">P87-P71</f>
        <v>8.1500000000000057</v>
      </c>
      <c r="Q88" s="49">
        <f t="shared" si="30"/>
        <v>-17.952222222222218</v>
      </c>
      <c r="T88" s="47"/>
      <c r="U88" s="136"/>
      <c r="V88" s="137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</row>
    <row r="91" spans="12:32" x14ac:dyDescent="0.25">
      <c r="L91" s="15" t="s">
        <v>2178</v>
      </c>
      <c r="T91" s="15" t="s">
        <v>2178</v>
      </c>
    </row>
    <row r="92" spans="12:32" x14ac:dyDescent="0.25">
      <c r="O92" s="36" t="s">
        <v>2115</v>
      </c>
      <c r="P92" s="36" t="s">
        <v>2116</v>
      </c>
      <c r="Q92" s="36" t="s">
        <v>2117</v>
      </c>
      <c r="W92" s="132" t="s">
        <v>2167</v>
      </c>
      <c r="X92" s="132"/>
      <c r="Y92" s="132" t="s">
        <v>2168</v>
      </c>
      <c r="Z92" s="132"/>
      <c r="AA92" s="132" t="s">
        <v>2169</v>
      </c>
      <c r="AB92" s="132"/>
      <c r="AC92" s="132" t="s">
        <v>2170</v>
      </c>
      <c r="AD92" s="132"/>
      <c r="AE92" s="132" t="s">
        <v>2171</v>
      </c>
      <c r="AF92" s="132"/>
    </row>
    <row r="93" spans="12:32" ht="60" x14ac:dyDescent="0.25">
      <c r="L93" s="39" t="s">
        <v>2114</v>
      </c>
      <c r="M93" s="39" t="s">
        <v>2145</v>
      </c>
      <c r="N93" s="40" t="s">
        <v>2146</v>
      </c>
      <c r="O93" s="41">
        <f>G19-O88</f>
        <v>18.54062499999997</v>
      </c>
      <c r="P93" s="41">
        <f t="shared" ref="P93:Q93" si="31">H19-P88</f>
        <v>12.249999999999993</v>
      </c>
      <c r="Q93" s="41">
        <f t="shared" si="31"/>
        <v>35.065277777777773</v>
      </c>
      <c r="T93" s="39" t="s">
        <v>2114</v>
      </c>
      <c r="U93" s="39" t="s">
        <v>2145</v>
      </c>
      <c r="V93" s="40" t="s">
        <v>2176</v>
      </c>
      <c r="W93" s="40" t="s">
        <v>2164</v>
      </c>
      <c r="X93" s="40" t="s">
        <v>2165</v>
      </c>
      <c r="Y93" s="40" t="s">
        <v>2164</v>
      </c>
      <c r="Z93" s="40" t="s">
        <v>2165</v>
      </c>
      <c r="AA93" s="40" t="s">
        <v>2164</v>
      </c>
      <c r="AB93" s="40" t="s">
        <v>2165</v>
      </c>
      <c r="AC93" s="40" t="s">
        <v>2164</v>
      </c>
      <c r="AD93" s="40" t="s">
        <v>2165</v>
      </c>
      <c r="AE93" s="40" t="s">
        <v>2164</v>
      </c>
      <c r="AF93" s="40" t="s">
        <v>2165</v>
      </c>
    </row>
    <row r="94" spans="12:32" x14ac:dyDescent="0.25">
      <c r="L94" s="128" t="s">
        <v>2118</v>
      </c>
      <c r="M94" s="3" t="s">
        <v>2119</v>
      </c>
      <c r="N94" s="20">
        <v>1</v>
      </c>
      <c r="O94" s="3">
        <f>VLOOKUP($M94,FORMULAS!$O$6:$P$8,2,FALSE)*N94</f>
        <v>30</v>
      </c>
      <c r="P94" s="3">
        <f>VLOOKUP($M94,FORMULAS!$O$6:$Q$8,3,FALSE)*N94</f>
        <v>4</v>
      </c>
      <c r="Q94" s="3">
        <f>VLOOKUP($M94,FORMULAS!$O$6:$R$8,4,FALSE)*N94</f>
        <v>1</v>
      </c>
      <c r="T94" s="128" t="s">
        <v>2118</v>
      </c>
      <c r="U94" s="3" t="str">
        <f t="shared" ref="U94:V97" si="32">M94</f>
        <v>Altos en CHO y bajos en grasas</v>
      </c>
      <c r="V94" s="30">
        <f t="shared" si="32"/>
        <v>1</v>
      </c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2:32" x14ac:dyDescent="0.25">
      <c r="L95" s="128"/>
      <c r="M95" s="3" t="s">
        <v>2120</v>
      </c>
      <c r="N95" s="20">
        <v>0</v>
      </c>
      <c r="O95" s="3">
        <f>VLOOKUP($M95,FORMULAS!$O$6:$P$8,2,FALSE)*N95</f>
        <v>0</v>
      </c>
      <c r="P95" s="3">
        <f>VLOOKUP($M95,FORMULAS!$O$6:$Q$8,3,FALSE)*N95</f>
        <v>0</v>
      </c>
      <c r="Q95" s="3">
        <f>VLOOKUP($M95,FORMULAS!$O$6:$R$8,4,FALSE)*N95</f>
        <v>0</v>
      </c>
      <c r="T95" s="128"/>
      <c r="U95" s="3" t="str">
        <f t="shared" si="32"/>
        <v>Medios en CHO y bajos en grasas</v>
      </c>
      <c r="V95" s="30">
        <f t="shared" si="32"/>
        <v>0</v>
      </c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2:32" x14ac:dyDescent="0.25">
      <c r="L96" s="124" t="s">
        <v>2026</v>
      </c>
      <c r="M96" s="3" t="s">
        <v>2122</v>
      </c>
      <c r="N96" s="20">
        <v>0</v>
      </c>
      <c r="O96" s="3">
        <f>VLOOKUP($M96,FORMULAS!$O$9:$P$11,2,FALSE)*N96</f>
        <v>0</v>
      </c>
      <c r="P96" s="3">
        <f>VLOOKUP($M96,FORMULAS!$O$9:$Q$11,3,FALSE)*N96</f>
        <v>0</v>
      </c>
      <c r="Q96" s="3">
        <f>VLOOKUP($M96,FORMULAS!$O$9:$R$11,4,FALSE)*N96</f>
        <v>0</v>
      </c>
      <c r="T96" s="124" t="s">
        <v>2026</v>
      </c>
      <c r="U96" s="3" t="str">
        <f t="shared" si="32"/>
        <v>Medias en CHO</v>
      </c>
      <c r="V96" s="30">
        <f t="shared" si="32"/>
        <v>0</v>
      </c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2:32" x14ac:dyDescent="0.25">
      <c r="L97" s="124"/>
      <c r="M97" s="3" t="s">
        <v>2123</v>
      </c>
      <c r="N97" s="20">
        <v>0</v>
      </c>
      <c r="O97" s="3">
        <f>VLOOKUP($M97,FORMULAS!$O$9:$P$11,2,FALSE)*N97</f>
        <v>0</v>
      </c>
      <c r="P97" s="3">
        <f>VLOOKUP($M97,FORMULAS!$O$9:$Q$11,3,FALSE)*N97</f>
        <v>0</v>
      </c>
      <c r="Q97" s="3">
        <f>VLOOKUP($M97,FORMULAS!$O$9:$R$11,4,FALSE)*N97</f>
        <v>0</v>
      </c>
      <c r="T97" s="124"/>
      <c r="U97" s="3" t="str">
        <f t="shared" si="32"/>
        <v>Bajas en CHO</v>
      </c>
      <c r="V97" s="30">
        <f t="shared" si="32"/>
        <v>0</v>
      </c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2:32" x14ac:dyDescent="0.25">
      <c r="L98" s="123" t="s">
        <v>2027</v>
      </c>
      <c r="M98" s="3" t="s">
        <v>2125</v>
      </c>
      <c r="N98" s="20">
        <v>2</v>
      </c>
      <c r="O98" s="3">
        <f>VLOOKUP($M98,FORMULAS!$O$12:$P$13,2,FALSE)*N98</f>
        <v>10</v>
      </c>
      <c r="P98" s="3">
        <f>VLOOKUP($M98,FORMULAS!$O$12:$Q$13,3,FALSE)*N98</f>
        <v>2</v>
      </c>
      <c r="Q98" s="3">
        <f>VLOOKUP($M98,FORMULAS!$O$12:$R$13,4,FALSE)*N98</f>
        <v>0</v>
      </c>
      <c r="T98" s="123" t="s">
        <v>2027</v>
      </c>
      <c r="U98" s="3" t="str">
        <f t="shared" ref="U98:U99" si="33">M98</f>
        <v>Bajos en CHO</v>
      </c>
      <c r="V98" s="30">
        <f t="shared" ref="V98:V99" si="34">N98</f>
        <v>2</v>
      </c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2:32" ht="14.45" customHeight="1" x14ac:dyDescent="0.25">
      <c r="L99" s="123"/>
      <c r="M99" s="3" t="s">
        <v>2126</v>
      </c>
      <c r="N99" s="20">
        <v>0</v>
      </c>
      <c r="O99" s="3">
        <f>VLOOKUP($M99,FORMULAS!$O$12:$P$13,2,FALSE)*N99</f>
        <v>0</v>
      </c>
      <c r="P99" s="3">
        <f>VLOOKUP($M99,FORMULAS!$O$12:$Q$13,3,FALSE)*N99</f>
        <v>0</v>
      </c>
      <c r="Q99" s="3">
        <f>VLOOKUP($M99,FORMULAS!$O$12:$R$13,4,FALSE)*N99</f>
        <v>0</v>
      </c>
      <c r="T99" s="123"/>
      <c r="U99" s="3" t="str">
        <f t="shared" si="33"/>
        <v>Libre consumo</v>
      </c>
      <c r="V99" s="30">
        <f t="shared" si="34"/>
        <v>0</v>
      </c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2:32" x14ac:dyDescent="0.25">
      <c r="L100" s="125" t="s">
        <v>2031</v>
      </c>
      <c r="M100" s="3" t="s">
        <v>2130</v>
      </c>
      <c r="N100" s="20">
        <v>0</v>
      </c>
      <c r="O100" s="3">
        <f>VLOOKUP($M100,FORMULAS!$O$14:$P$18,2,FALSE)*N100</f>
        <v>0</v>
      </c>
      <c r="P100" s="3">
        <f>VLOOKUP($M100,FORMULAS!$O$14:$Q$18,3,FALSE)*N100</f>
        <v>0</v>
      </c>
      <c r="Q100" s="3">
        <f>VLOOKUP($M100,FORMULAS!$O$14:$R$18,4,FALSE)*N100</f>
        <v>0</v>
      </c>
      <c r="T100" s="125" t="s">
        <v>2031</v>
      </c>
      <c r="U100" s="3" t="str">
        <f t="shared" ref="U100:U108" si="35">M100</f>
        <v>Descremados - bajos en grasas</v>
      </c>
      <c r="V100" s="30">
        <f t="shared" ref="V100:V108" si="36">N100</f>
        <v>0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2:32" x14ac:dyDescent="0.25">
      <c r="L101" s="125"/>
      <c r="M101" s="3" t="s">
        <v>2129</v>
      </c>
      <c r="N101" s="20">
        <v>0</v>
      </c>
      <c r="O101" s="3">
        <f>VLOOKUP($M101,FORMULAS!$O$14:$P$18,2,FALSE)*N101</f>
        <v>0</v>
      </c>
      <c r="P101" s="3">
        <f>VLOOKUP($M101,FORMULAS!$O$14:$Q$18,3,FALSE)*N101</f>
        <v>0</v>
      </c>
      <c r="Q101" s="3">
        <f>VLOOKUP($M101,FORMULAS!$O$14:$R$18,4,FALSE)*N101</f>
        <v>0</v>
      </c>
      <c r="T101" s="125"/>
      <c r="U101" s="3" t="str">
        <f t="shared" si="35"/>
        <v>Semidescremados - medios en grasas</v>
      </c>
      <c r="V101" s="30">
        <f t="shared" si="36"/>
        <v>0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2:32" x14ac:dyDescent="0.25">
      <c r="L102" s="126" t="s">
        <v>2133</v>
      </c>
      <c r="M102" s="3" t="s">
        <v>2135</v>
      </c>
      <c r="N102" s="20">
        <v>0</v>
      </c>
      <c r="O102" s="3">
        <f>VLOOKUP($M102,FORMULAS!$O$19:$P$22,2,FALSE)*N102</f>
        <v>0</v>
      </c>
      <c r="P102" s="3">
        <f>VLOOKUP($M102,FORMULAS!$O$19:$Q$22,3,FALSE)*N102</f>
        <v>0</v>
      </c>
      <c r="Q102" s="3">
        <f>VLOOKUP($M102,FORMULAS!$O$19:$R$22,4,FALSE)*N102</f>
        <v>0</v>
      </c>
      <c r="T102" s="126" t="s">
        <v>2133</v>
      </c>
      <c r="U102" s="3" t="str">
        <f t="shared" si="35"/>
        <v>Medios en grasas</v>
      </c>
      <c r="V102" s="30">
        <f t="shared" si="36"/>
        <v>0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2:32" x14ac:dyDescent="0.25">
      <c r="L103" s="126"/>
      <c r="M103" s="3" t="s">
        <v>2136</v>
      </c>
      <c r="N103" s="20">
        <v>1</v>
      </c>
      <c r="O103" s="3">
        <f>VLOOKUP($M103,FORMULAS!$O$19:$P$22,2,FALSE)*N103</f>
        <v>0</v>
      </c>
      <c r="P103" s="3">
        <f>VLOOKUP($M103,FORMULAS!$O$19:$Q$22,3,FALSE)*N103</f>
        <v>11</v>
      </c>
      <c r="Q103" s="3">
        <f>VLOOKUP($M103,FORMULAS!$O$19:$R$22,4,FALSE)*N103</f>
        <v>2</v>
      </c>
      <c r="T103" s="126"/>
      <c r="U103" s="3" t="str">
        <f t="shared" si="35"/>
        <v>Bajos en grasas</v>
      </c>
      <c r="V103" s="30">
        <f t="shared" si="36"/>
        <v>1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2:32" x14ac:dyDescent="0.25">
      <c r="L104" s="126"/>
      <c r="M104" s="3" t="s">
        <v>2137</v>
      </c>
      <c r="N104" s="20">
        <v>0</v>
      </c>
      <c r="O104" s="3">
        <f>VLOOKUP($M104,FORMULAS!$O$19:$P$22,2,FALSE)*N104</f>
        <v>0</v>
      </c>
      <c r="P104" s="3">
        <f>VLOOKUP($M104,FORMULAS!$O$19:$Q$22,3,FALSE)*N104</f>
        <v>0</v>
      </c>
      <c r="Q104" s="3">
        <f>VLOOKUP($M104,FORMULAS!$O$19:$R$22,4,FALSE)*N104</f>
        <v>0</v>
      </c>
      <c r="T104" s="126"/>
      <c r="U104" s="3" t="str">
        <f t="shared" si="35"/>
        <v>Embutidos</v>
      </c>
      <c r="V104" s="30">
        <f t="shared" si="36"/>
        <v>0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2:32" x14ac:dyDescent="0.25">
      <c r="L105" s="42" t="s">
        <v>2028</v>
      </c>
      <c r="M105" s="3" t="s">
        <v>2028</v>
      </c>
      <c r="N105" s="20">
        <v>0</v>
      </c>
      <c r="O105" s="3">
        <f>VLOOKUP($M105,FORMULAS!$O$23:$P$23,2,FALSE)*N105</f>
        <v>0</v>
      </c>
      <c r="P105" s="3">
        <f>VLOOKUP($M105,FORMULAS!$O$23:$Q$23,3,FALSE)*N105</f>
        <v>0</v>
      </c>
      <c r="Q105" s="3">
        <f>VLOOKUP($M105,FORMULAS!$O$23:$R$23,4,FALSE)*N105</f>
        <v>0</v>
      </c>
      <c r="T105" s="42" t="s">
        <v>2028</v>
      </c>
      <c r="U105" s="3" t="str">
        <f t="shared" si="35"/>
        <v>Leguminosas</v>
      </c>
      <c r="V105" s="30">
        <f t="shared" si="36"/>
        <v>0</v>
      </c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2:32" x14ac:dyDescent="0.25">
      <c r="L106" s="127" t="s">
        <v>2032</v>
      </c>
      <c r="M106" s="3" t="s">
        <v>2134</v>
      </c>
      <c r="N106" s="20">
        <v>2</v>
      </c>
      <c r="O106" s="3">
        <f>VLOOKUP($M106,FORMULAS!$O$24:$P$27,2,FALSE)*N106</f>
        <v>2</v>
      </c>
      <c r="P106" s="3">
        <f>VLOOKUP($M106,FORMULAS!$O$24:$Q$27,3,FALSE)*N106</f>
        <v>2</v>
      </c>
      <c r="Q106" s="3">
        <f>VLOOKUP($M106,FORMULAS!$O$24:$R$27,4,FALSE)*N106</f>
        <v>24</v>
      </c>
      <c r="T106" s="129" t="s">
        <v>2032</v>
      </c>
      <c r="U106" s="3" t="str">
        <f t="shared" si="35"/>
        <v>Altos en grasas</v>
      </c>
      <c r="V106" s="30">
        <f t="shared" si="36"/>
        <v>2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2:32" x14ac:dyDescent="0.25">
      <c r="L107" s="127"/>
      <c r="M107" s="3" t="s">
        <v>2139</v>
      </c>
      <c r="N107" s="20">
        <v>0</v>
      </c>
      <c r="O107" s="3">
        <f>VLOOKUP($M107,FORMULAS!$O$24:$P$27,2,FALSE)*N107</f>
        <v>0</v>
      </c>
      <c r="P107" s="3">
        <f>VLOOKUP($M107,FORMULAS!$O$24:$Q$27,3,FALSE)*N107</f>
        <v>0</v>
      </c>
      <c r="Q107" s="3">
        <f>VLOOKUP($M107,FORMULAS!$O$24:$R$27,4,FALSE)*N107</f>
        <v>0</v>
      </c>
      <c r="T107" s="130"/>
      <c r="U107" s="3" t="str">
        <f t="shared" si="35"/>
        <v>Medios en grasas y bajor en CHO</v>
      </c>
      <c r="V107" s="30">
        <f t="shared" si="36"/>
        <v>0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2:32" x14ac:dyDescent="0.25">
      <c r="L108" s="43" t="s">
        <v>2147</v>
      </c>
      <c r="M108" s="3" t="s">
        <v>2140</v>
      </c>
      <c r="N108" s="20">
        <v>2</v>
      </c>
      <c r="O108" s="3">
        <f>VLOOKUP($M108,FORMULAS!$O$28:$P$28,2,FALSE)*N108</f>
        <v>20</v>
      </c>
      <c r="P108" s="3">
        <f>VLOOKUP($M108,FORMULAS!$O$28:$Q$28,3,FALSE)*N108</f>
        <v>0</v>
      </c>
      <c r="Q108" s="3">
        <f>VLOOKUP($M108,FORMULAS!$O$28:$R$28,4,FALSE)*N108</f>
        <v>0</v>
      </c>
      <c r="T108" s="43" t="s">
        <v>2147</v>
      </c>
      <c r="U108" s="3" t="str">
        <f t="shared" si="35"/>
        <v>Azucares y alimentos azucarados</v>
      </c>
      <c r="V108" s="30">
        <f t="shared" si="36"/>
        <v>2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2:32" x14ac:dyDescent="0.25">
      <c r="N109" s="21" t="s">
        <v>2111</v>
      </c>
      <c r="O109" s="20">
        <f>SUM(O94:O108)</f>
        <v>62</v>
      </c>
      <c r="P109" s="20">
        <f t="shared" ref="P109:Q109" si="37">SUM(P94:P108)</f>
        <v>19</v>
      </c>
      <c r="Q109" s="20">
        <f t="shared" si="37"/>
        <v>27</v>
      </c>
      <c r="T109" s="47"/>
      <c r="U109" s="134" t="s">
        <v>2179</v>
      </c>
      <c r="V109" s="135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</row>
    <row r="110" spans="12:32" x14ac:dyDescent="0.25">
      <c r="T110" s="47"/>
      <c r="U110" s="136"/>
      <c r="V110" s="137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</row>
  </sheetData>
  <mergeCells count="121">
    <mergeCell ref="T102:T104"/>
    <mergeCell ref="T106:T107"/>
    <mergeCell ref="U109:V110"/>
    <mergeCell ref="W109:X110"/>
    <mergeCell ref="Y109:Z110"/>
    <mergeCell ref="AA109:AB110"/>
    <mergeCell ref="AC109:AD110"/>
    <mergeCell ref="AE109:AF110"/>
    <mergeCell ref="Y87:Z88"/>
    <mergeCell ref="AA87:AB88"/>
    <mergeCell ref="AC87:AD88"/>
    <mergeCell ref="AE87:AF88"/>
    <mergeCell ref="W92:X92"/>
    <mergeCell ref="Y92:Z92"/>
    <mergeCell ref="AA92:AB92"/>
    <mergeCell ref="AC92:AD92"/>
    <mergeCell ref="AE92:AF92"/>
    <mergeCell ref="W87:X88"/>
    <mergeCell ref="T96:T97"/>
    <mergeCell ref="T100:T101"/>
    <mergeCell ref="T58:T60"/>
    <mergeCell ref="T62:T63"/>
    <mergeCell ref="U65:V66"/>
    <mergeCell ref="W65:X66"/>
    <mergeCell ref="Y65:Z66"/>
    <mergeCell ref="AA65:AB66"/>
    <mergeCell ref="AC65:AD66"/>
    <mergeCell ref="AE65:AF66"/>
    <mergeCell ref="W70:X70"/>
    <mergeCell ref="Y70:Z70"/>
    <mergeCell ref="AA70:AB70"/>
    <mergeCell ref="AC70:AD70"/>
    <mergeCell ref="AE70:AF70"/>
    <mergeCell ref="Y43:Z44"/>
    <mergeCell ref="AA43:AB44"/>
    <mergeCell ref="AC43:AD44"/>
    <mergeCell ref="AE43:AF44"/>
    <mergeCell ref="W48:X48"/>
    <mergeCell ref="Y48:Z48"/>
    <mergeCell ref="AA48:AB48"/>
    <mergeCell ref="AC48:AD48"/>
    <mergeCell ref="AE48:AF48"/>
    <mergeCell ref="T6:T7"/>
    <mergeCell ref="T10:T11"/>
    <mergeCell ref="U21:V22"/>
    <mergeCell ref="W26:X26"/>
    <mergeCell ref="Y26:Z26"/>
    <mergeCell ref="AA26:AB26"/>
    <mergeCell ref="AC26:AD26"/>
    <mergeCell ref="AE26:AF26"/>
    <mergeCell ref="T28:T29"/>
    <mergeCell ref="T8:T9"/>
    <mergeCell ref="T12:T13"/>
    <mergeCell ref="T14:T16"/>
    <mergeCell ref="T18:T19"/>
    <mergeCell ref="W21:X22"/>
    <mergeCell ref="L100:L101"/>
    <mergeCell ref="L102:L104"/>
    <mergeCell ref="L106:L107"/>
    <mergeCell ref="L58:L60"/>
    <mergeCell ref="L62:L63"/>
    <mergeCell ref="L72:L73"/>
    <mergeCell ref="L74:L75"/>
    <mergeCell ref="L78:L79"/>
    <mergeCell ref="L34:L35"/>
    <mergeCell ref="L36:L38"/>
    <mergeCell ref="L40:L41"/>
    <mergeCell ref="L52:L53"/>
    <mergeCell ref="L54:L55"/>
    <mergeCell ref="L76:L77"/>
    <mergeCell ref="L80:L82"/>
    <mergeCell ref="L84:L85"/>
    <mergeCell ref="L94:L95"/>
    <mergeCell ref="L96:L97"/>
    <mergeCell ref="L98:L99"/>
    <mergeCell ref="T76:T77"/>
    <mergeCell ref="T72:T73"/>
    <mergeCell ref="T74:T75"/>
    <mergeCell ref="T78:T79"/>
    <mergeCell ref="T80:T82"/>
    <mergeCell ref="T84:T85"/>
    <mergeCell ref="U87:V88"/>
    <mergeCell ref="T94:T95"/>
    <mergeCell ref="T98:T99"/>
    <mergeCell ref="T50:T51"/>
    <mergeCell ref="T56:T57"/>
    <mergeCell ref="T30:T31"/>
    <mergeCell ref="T32:T33"/>
    <mergeCell ref="T34:T35"/>
    <mergeCell ref="T36:T38"/>
    <mergeCell ref="T40:T41"/>
    <mergeCell ref="U43:V44"/>
    <mergeCell ref="W43:X44"/>
    <mergeCell ref="T52:T53"/>
    <mergeCell ref="T54:T55"/>
    <mergeCell ref="A17:B17"/>
    <mergeCell ref="E12:I12"/>
    <mergeCell ref="E13:H13"/>
    <mergeCell ref="A9:C9"/>
    <mergeCell ref="A1:B1"/>
    <mergeCell ref="A13:B13"/>
    <mergeCell ref="L56:L57"/>
    <mergeCell ref="L8:L9"/>
    <mergeCell ref="L12:L13"/>
    <mergeCell ref="L14:L16"/>
    <mergeCell ref="L18:L19"/>
    <mergeCell ref="L30:L31"/>
    <mergeCell ref="L50:L51"/>
    <mergeCell ref="L6:L7"/>
    <mergeCell ref="L10:L11"/>
    <mergeCell ref="L28:L29"/>
    <mergeCell ref="L32:L33"/>
    <mergeCell ref="W4:X4"/>
    <mergeCell ref="Y4:Z4"/>
    <mergeCell ref="AA4:AB4"/>
    <mergeCell ref="AC4:AD4"/>
    <mergeCell ref="AE4:AF4"/>
    <mergeCell ref="Y21:Z22"/>
    <mergeCell ref="AA21:AB22"/>
    <mergeCell ref="AC21:AD22"/>
    <mergeCell ref="AE21:AF22"/>
  </mergeCells>
  <conditionalFormatting sqref="F20">
    <cfRule type="cellIs" dxfId="17" priority="63" operator="lessThan">
      <formula>$I$13</formula>
    </cfRule>
    <cfRule type="cellIs" dxfId="16" priority="64" operator="greaterThan">
      <formula>$I$13</formula>
    </cfRule>
  </conditionalFormatting>
  <conditionalFormatting sqref="G24">
    <cfRule type="cellIs" dxfId="15" priority="8" operator="lessThan">
      <formula>$F$24</formula>
    </cfRule>
    <cfRule type="cellIs" dxfId="14" priority="11" operator="greaterThan">
      <formula>$H$24</formula>
    </cfRule>
  </conditionalFormatting>
  <conditionalFormatting sqref="G25">
    <cfRule type="cellIs" dxfId="13" priority="7" operator="lessThan">
      <formula>$F$25</formula>
    </cfRule>
    <cfRule type="cellIs" dxfId="12" priority="10" operator="greaterThan">
      <formula>$H$25</formula>
    </cfRule>
  </conditionalFormatting>
  <conditionalFormatting sqref="G26">
    <cfRule type="cellIs" dxfId="11" priority="6" operator="lessThan">
      <formula>$F$26</formula>
    </cfRule>
    <cfRule type="cellIs" dxfId="10" priority="9" operator="greaterThan">
      <formula>$H$26</formula>
    </cfRule>
  </conditionalFormatting>
  <conditionalFormatting sqref="N6:N20">
    <cfRule type="cellIs" dxfId="9" priority="5" operator="greaterThan">
      <formula>0</formula>
    </cfRule>
  </conditionalFormatting>
  <conditionalFormatting sqref="N28:N42">
    <cfRule type="cellIs" dxfId="8" priority="4" operator="greaterThan">
      <formula>0</formula>
    </cfRule>
  </conditionalFormatting>
  <conditionalFormatting sqref="N50:N64">
    <cfRule type="cellIs" dxfId="7" priority="3" operator="greaterThan">
      <formula>0</formula>
    </cfRule>
  </conditionalFormatting>
  <conditionalFormatting sqref="N72:N86">
    <cfRule type="cellIs" dxfId="6" priority="2" operator="greaterThan">
      <formula>0</formula>
    </cfRule>
  </conditionalFormatting>
  <conditionalFormatting sqref="N94:N108">
    <cfRule type="cellIs" dxfId="5" priority="1" operator="greaterThan">
      <formula>0</formula>
    </cfRule>
  </conditionalFormatting>
  <conditionalFormatting sqref="V6:V20">
    <cfRule type="cellIs" dxfId="4" priority="59" operator="greaterThan">
      <formula>0</formula>
    </cfRule>
  </conditionalFormatting>
  <conditionalFormatting sqref="V28:V42">
    <cfRule type="cellIs" dxfId="3" priority="15" operator="greaterThan">
      <formula>0</formula>
    </cfRule>
  </conditionalFormatting>
  <conditionalFormatting sqref="V50:V64">
    <cfRule type="cellIs" dxfId="2" priority="14" operator="greaterThan">
      <formula>0</formula>
    </cfRule>
  </conditionalFormatting>
  <conditionalFormatting sqref="V72:V86">
    <cfRule type="cellIs" dxfId="1" priority="13" operator="greaterThan">
      <formula>0</formula>
    </cfRule>
  </conditionalFormatting>
  <conditionalFormatting sqref="V94:V108">
    <cfRule type="cellIs" dxfId="0" priority="12" operator="greaterThan">
      <formula>0</formula>
    </cfRule>
  </conditionalFormatting>
  <pageMargins left="0.7" right="0.7" top="0.75" bottom="0.75" header="0.3" footer="0.3"/>
  <pageSetup paperSize="9" orientation="portrait" horizontalDpi="4294967292" verticalDpi="0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25FB1867-7EEF-4D78-9B8D-5F1CA76B95E9}">
          <x14:formula1>
            <xm:f>FORMULAS!$A$9:$A$15</xm:f>
          </x14:formula1>
          <xm:sqref>B10</xm:sqref>
        </x14:dataValidation>
        <x14:dataValidation type="list" allowBlank="1" showInputMessage="1" showErrorMessage="1" xr:uid="{4FBA5D8B-93EA-470A-9667-721F4E04ABE6}">
          <x14:formula1>
            <xm:f>FORMULAS!$G$23:$G$26</xm:f>
          </x14:formula1>
          <xm:sqref>A14</xm:sqref>
        </x14:dataValidation>
        <x14:dataValidation type="list" allowBlank="1" showInputMessage="1" showErrorMessage="1" xr:uid="{3447CAA2-E731-4F43-97E2-76BF60E5D5DF}">
          <x14:formula1>
            <xm:f>FORMULAS!$A$50:$A$57</xm:f>
          </x14:formula1>
          <xm:sqref>B20</xm:sqref>
        </x14:dataValidation>
        <x14:dataValidation type="list" allowBlank="1" showInputMessage="1" showErrorMessage="1" xr:uid="{EC05EE06-775E-48BC-85B5-54323A0B1458}">
          <x14:formula1>
            <xm:f>FORMULAS!$B$50:$B$53</xm:f>
          </x14:formula1>
          <xm:sqref>B18</xm:sqref>
        </x14:dataValidation>
        <x14:dataValidation type="list" allowBlank="1" showInputMessage="1" showErrorMessage="1" xr:uid="{99092EBD-2050-4277-B2F1-CC19A8E18F66}">
          <x14:formula1>
            <xm:f>FORMULAS!$O$6:$O$8</xm:f>
          </x14:formula1>
          <xm:sqref>M6:M7 M50:M51 M28:M29 M72:M73 M94:M95 U6:U20 U28:U42 U50:U64 U72:U86 U94:U108</xm:sqref>
        </x14:dataValidation>
        <x14:dataValidation type="list" allowBlank="1" showInputMessage="1" showErrorMessage="1" xr:uid="{136218A1-D58D-4EBE-B264-ECDA5AB15C05}">
          <x14:formula1>
            <xm:f>FORMULAS!$O$9:$O$11</xm:f>
          </x14:formula1>
          <xm:sqref>M8:M9 M52:M53 M30:M31 M74:M75 M96:M97</xm:sqref>
        </x14:dataValidation>
        <x14:dataValidation type="list" allowBlank="1" showInputMessage="1" showErrorMessage="1" xr:uid="{0FA25E0B-1954-4CAA-8FC0-C8D6CF7D4549}">
          <x14:formula1>
            <xm:f>FORMULAS!$O$12:$O$13</xm:f>
          </x14:formula1>
          <xm:sqref>M10:M11 M54:M55 M32:M33 M76:M77 M98:M99</xm:sqref>
        </x14:dataValidation>
        <x14:dataValidation type="list" allowBlank="1" showInputMessage="1" showErrorMessage="1" xr:uid="{B57746C2-52A7-4DD6-81A0-E2F2967921AA}">
          <x14:formula1>
            <xm:f>FORMULAS!$O$14:$O$18</xm:f>
          </x14:formula1>
          <xm:sqref>M12:M13 M56:M57 M34:M35 M78:M79 M100:M101</xm:sqref>
        </x14:dataValidation>
        <x14:dataValidation type="list" allowBlank="1" showInputMessage="1" showErrorMessage="1" xr:uid="{51438BB5-4B23-4B35-A336-F2F201092EEE}">
          <x14:formula1>
            <xm:f>FORMULAS!$O$19:$O$22</xm:f>
          </x14:formula1>
          <xm:sqref>M14:M16 M58:M60 M36:M38 M80:M82 M102:M104</xm:sqref>
        </x14:dataValidation>
        <x14:dataValidation type="list" allowBlank="1" showInputMessage="1" showErrorMessage="1" xr:uid="{7ECCFAE9-4CD2-4BC5-AD6A-FBF08185BBF0}">
          <x14:formula1>
            <xm:f>FORMULAS!$O$23</xm:f>
          </x14:formula1>
          <xm:sqref>M17 M61 M39 M83 M105</xm:sqref>
        </x14:dataValidation>
        <x14:dataValidation type="list" allowBlank="1" showInputMessage="1" showErrorMessage="1" xr:uid="{218449A4-63EF-4B2C-8B15-8E029839AA2C}">
          <x14:formula1>
            <xm:f>FORMULAS!$O$24:$O$27</xm:f>
          </x14:formula1>
          <xm:sqref>M18:M19 M62:M63 M40:M41 M84:M85 M106:M107</xm:sqref>
        </x14:dataValidation>
        <x14:dataValidation type="list" allowBlank="1" showInputMessage="1" showErrorMessage="1" xr:uid="{EBAEE095-F572-4AD7-80DC-C93B095E6A16}">
          <x14:formula1>
            <xm:f>FORMULAS!$O$28</xm:f>
          </x14:formula1>
          <xm:sqref>M20 M64 M42 M86 M108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FORMULAS</vt:lpstr>
      <vt:lpstr>TCA</vt:lpstr>
      <vt:lpstr>DIETA</vt:lpstr>
      <vt:lpstr>MUJER</vt:lpstr>
      <vt:lpstr>HOMBRE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Emmanuel Cruz Gonzalez</dc:creator>
  <cp:lastModifiedBy>Ismael Enrique Yumipanta Rodriguez</cp:lastModifiedBy>
  <dcterms:created xsi:type="dcterms:W3CDTF">2025-05-22T02:54:30Z</dcterms:created>
  <dcterms:modified xsi:type="dcterms:W3CDTF">2026-08-08T17:40:26Z</dcterms:modified>
</cp:coreProperties>
</file>